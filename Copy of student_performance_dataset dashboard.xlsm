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Ex2.xml" ContentType="application/vnd.ms-office.chartex+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DELVIN\Documents\Student Performance Analysis Project\Excel Project\"/>
    </mc:Choice>
  </mc:AlternateContent>
  <xr:revisionPtr revIDLastSave="0" documentId="13_ncr:1_{3A541235-6A4C-473F-BFFB-7BC9DC27804D}" xr6:coauthVersionLast="47" xr6:coauthVersionMax="47" xr10:uidLastSave="{00000000-0000-0000-0000-000000000000}"/>
  <bookViews>
    <workbookView xWindow="-110" yWindow="-110" windowWidth="19420" windowHeight="10300" xr2:uid="{00000000-000D-0000-FFFF-FFFF00000000}"/>
  </bookViews>
  <sheets>
    <sheet name="student_performance_dataset" sheetId="1" r:id="rId1"/>
    <sheet name="working dataset" sheetId="3" r:id="rId2"/>
    <sheet name="pivot tables" sheetId="2" r:id="rId3"/>
    <sheet name="Fidings and Recommendation" sheetId="6" r:id="rId4"/>
    <sheet name="Dashboard" sheetId="5" r:id="rId5"/>
  </sheets>
  <definedNames>
    <definedName name="_xlnm._FilterDatabase" localSheetId="0" hidden="1">student_performance_dataset!$A$1:$R$1001</definedName>
    <definedName name="_xlnm._FilterDatabase" localSheetId="1" hidden="1">'working dataset'!$A$3:$S$1003</definedName>
    <definedName name="_xlchart.v1.0" hidden="1">'working dataset'!$K$4:$K$1003</definedName>
    <definedName name="_xlchart.v1.1" hidden="1">'working dataset'!$K$4:$K$1003</definedName>
    <definedName name="Slicer_extracurricular_activities">#N/A</definedName>
    <definedName name="Slicer_internet_access">#N/A</definedName>
    <definedName name="Slicer_parental_education">#N/A</definedName>
    <definedName name="Slicer_part_time_job">#N/A</definedName>
  </definedNames>
  <calcPr calcId="191029"/>
  <pivotCaches>
    <pivotCache cacheId="0" r:id="rId6"/>
    <pivotCache cacheId="1"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2" l="1"/>
  <c r="C15" i="2"/>
  <c r="C14" i="2"/>
  <c r="C13" i="2"/>
  <c r="C12" i="2"/>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1001" i="3"/>
  <c r="L1002" i="3"/>
  <c r="L1003" i="3"/>
  <c r="L4" i="3"/>
  <c r="P11" i="3"/>
</calcChain>
</file>

<file path=xl/sharedStrings.xml><?xml version="1.0" encoding="utf-8"?>
<sst xmlns="http://schemas.openxmlformats.org/spreadsheetml/2006/main" count="12131" uniqueCount="95">
  <si>
    <t>student_id</t>
  </si>
  <si>
    <t>gender</t>
  </si>
  <si>
    <t>study_time_hours</t>
  </si>
  <si>
    <t>attendance_percent</t>
  </si>
  <si>
    <t>sleep_hours</t>
  </si>
  <si>
    <t>parental_education</t>
  </si>
  <si>
    <t>internet_access</t>
  </si>
  <si>
    <t>extracurricular_activities</t>
  </si>
  <si>
    <t>part_time_job</t>
  </si>
  <si>
    <t>previous_grade</t>
  </si>
  <si>
    <t>final_exam_score</t>
  </si>
  <si>
    <t>final_grade</t>
  </si>
  <si>
    <t>Variable</t>
  </si>
  <si>
    <t>Average</t>
  </si>
  <si>
    <t>Minimum</t>
  </si>
  <si>
    <t>Maximum</t>
  </si>
  <si>
    <t>Median</t>
  </si>
  <si>
    <t>Male</t>
  </si>
  <si>
    <t>Bachelors</t>
  </si>
  <si>
    <t>Yes</t>
  </si>
  <si>
    <t>No</t>
  </si>
  <si>
    <t>A</t>
  </si>
  <si>
    <t>Study time</t>
  </si>
  <si>
    <t>Female</t>
  </si>
  <si>
    <t>High School</t>
  </si>
  <si>
    <t>Attendance</t>
  </si>
  <si>
    <t>Sleep hours</t>
  </si>
  <si>
    <t>None</t>
  </si>
  <si>
    <t>B</t>
  </si>
  <si>
    <t>Preious Grade</t>
  </si>
  <si>
    <t>D</t>
  </si>
  <si>
    <t>Final Exam score</t>
  </si>
  <si>
    <t>C</t>
  </si>
  <si>
    <t>Masters</t>
  </si>
  <si>
    <t>PhD</t>
  </si>
  <si>
    <t>F</t>
  </si>
  <si>
    <t>Grand Total</t>
  </si>
  <si>
    <t>Row Labels</t>
  </si>
  <si>
    <t>Average of final_exam_score</t>
  </si>
  <si>
    <t>`</t>
  </si>
  <si>
    <t>Preivous Grade</t>
  </si>
  <si>
    <t>No of students</t>
  </si>
  <si>
    <t>Factor</t>
  </si>
  <si>
    <t>Finding</t>
  </si>
  <si>
    <t>Study Time</t>
  </si>
  <si>
    <t>Internet Acess</t>
  </si>
  <si>
    <t>Part-Time Job</t>
  </si>
  <si>
    <t>Moderate</t>
  </si>
  <si>
    <t>Weak</t>
  </si>
  <si>
    <t>Needs further analysis</t>
  </si>
  <si>
    <t>Score Range</t>
  </si>
  <si>
    <t>Count of student_id</t>
  </si>
  <si>
    <t>95-100</t>
  </si>
  <si>
    <t>80-84</t>
  </si>
  <si>
    <t>65-69</t>
  </si>
  <si>
    <t>70-74</t>
  </si>
  <si>
    <t>85-89</t>
  </si>
  <si>
    <t>75-79</t>
  </si>
  <si>
    <t>90-94</t>
  </si>
  <si>
    <t>60-64</t>
  </si>
  <si>
    <t>55-59</t>
  </si>
  <si>
    <t>Below 55</t>
  </si>
  <si>
    <t>Sum of student_id</t>
  </si>
  <si>
    <t>EXECUTIVE SUMMATION BRIEF: STUDENTS ACADEMIC PERFORMANCE</t>
  </si>
  <si>
    <t>ID</t>
  </si>
  <si>
    <t>Extracurricular Activities</t>
  </si>
  <si>
    <t>Parental Education</t>
  </si>
  <si>
    <t>Insights</t>
  </si>
  <si>
    <t>Priority</t>
  </si>
  <si>
    <t>Recommendation</t>
  </si>
  <si>
    <t>Study time is positively associated with performance, but it does not fully explain differences in final scores.</t>
  </si>
  <si>
    <t>Higher study time was associated with higher final exam scores,although students with similar study time still show variation in scores.</t>
  </si>
  <si>
    <t>Students with Internet access averaged 84.32 versus 79.29 without access,a 5.03-point difference</t>
  </si>
  <si>
    <t>Students without jobs averaged 84.62 versus 81.35 with jobs,a 3.27-point difference.</t>
  </si>
  <si>
    <t>Students participating in extracurricular activities averaged 83.78, compared with 83.32 for those who did not — a 0.46-point difference.</t>
  </si>
  <si>
    <t>Average final scores varied only slightly across parental education levels, ranging approximately from 83.29 to 85.08.</t>
  </si>
  <si>
    <t>Students with internet access had a noticeably higher average score in this dataset.However, this does not establish that internet access alone causes higher performance.</t>
  </si>
  <si>
    <t>Students with part-time jobs had a lower average score in this dataset, suggesting that balancing work and academics may be relevant to performance.</t>
  </si>
  <si>
    <t>The difference in average performance was very small, indicating that extracurricular participation alone does not explain much of the variation in scores.</t>
  </si>
  <si>
    <t>Parental education showed relatively small differences in average scores and does not appear to explain much of the variation in performance on its own.</t>
  </si>
  <si>
    <t>Encourage structured and effective study habits while providing additional academic support based on individual student needs.</t>
  </si>
  <si>
    <t>Consider expanding access to reliable internet and digital learning resources,particularly where access is limited</t>
  </si>
  <si>
    <t>Consider providing flexible study support and academic resources for students with part time jobs to help them balance employment and their studies</t>
  </si>
  <si>
    <t>Continue supporting extracurricular participation while encouraging students to maintain a balance between academic and extracurricular activities.</t>
  </si>
  <si>
    <t>Avoid using parental education alone to determine student support; focus on individual performance and learning needs.</t>
  </si>
  <si>
    <t>Values</t>
  </si>
  <si>
    <t>Average of study_time_hours</t>
  </si>
  <si>
    <t>Average of attendance_percent</t>
  </si>
  <si>
    <t>Average of sleep_hours</t>
  </si>
  <si>
    <t>KPI section</t>
  </si>
  <si>
    <t>Total Students</t>
  </si>
  <si>
    <t xml:space="preserve"> Avg final Exam Score</t>
  </si>
  <si>
    <t>Avg Study Time</t>
  </si>
  <si>
    <t>Avg Sleep Hours</t>
  </si>
  <si>
    <t>Avg  % Attendance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</si>
</sst>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6"/>
      <color theme="2"/>
      <name val="Calibri"/>
      <family val="2"/>
      <scheme val="minor"/>
    </font>
    <font>
      <sz val="11"/>
      <color rgb="FF00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2060"/>
        <bgColor indexed="64"/>
      </patternFill>
    </fill>
    <fill>
      <patternFill patternType="solid">
        <fgColor theme="0"/>
        <bgColor indexed="64"/>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cellStyleXfs>
  <cellXfs count="19">
    <xf numFmtId="0" fontId="0" fillId="0" borderId="0" xfId="0"/>
    <xf numFmtId="49" fontId="0" fillId="0" borderId="0" xfId="0" applyNumberFormat="1"/>
    <xf numFmtId="164" fontId="0" fillId="0" borderId="0" xfId="0" applyNumberFormat="1"/>
    <xf numFmtId="1" fontId="0" fillId="0" borderId="0" xfId="0" applyNumberFormat="1"/>
    <xf numFmtId="0" fontId="0" fillId="0" borderId="0" xfId="0" pivotButton="1"/>
    <xf numFmtId="0" fontId="0" fillId="0" borderId="0" xfId="0" applyAlignment="1">
      <alignment horizontal="left"/>
    </xf>
    <xf numFmtId="0" fontId="0" fillId="0" borderId="0" xfId="0" applyAlignment="1">
      <alignment vertical="center" wrapText="1"/>
    </xf>
    <xf numFmtId="165" fontId="0" fillId="0" borderId="0" xfId="42" applyNumberFormat="1" applyFont="1"/>
    <xf numFmtId="164" fontId="0" fillId="0" borderId="0" xfId="0" applyNumberFormat="1" applyAlignment="1">
      <alignment horizontal="left"/>
    </xf>
    <xf numFmtId="0" fontId="18" fillId="0" borderId="0" xfId="0" applyFont="1"/>
    <xf numFmtId="0" fontId="0" fillId="0" borderId="0" xfId="0" applyAlignment="1">
      <alignment wrapText="1"/>
    </xf>
    <xf numFmtId="0" fontId="0" fillId="0" borderId="0" xfId="0" applyAlignment="1">
      <alignment horizontal="center" vertical="center" wrapText="1"/>
    </xf>
    <xf numFmtId="0" fontId="0" fillId="34" borderId="0" xfId="0" applyFill="1" applyAlignment="1">
      <alignment wrapText="1"/>
    </xf>
    <xf numFmtId="0" fontId="0" fillId="35" borderId="0" xfId="0" applyFill="1"/>
    <xf numFmtId="0" fontId="20" fillId="0" borderId="0" xfId="0" applyFont="1" applyAlignment="1">
      <alignment horizontal="left" vertical="center"/>
    </xf>
    <xf numFmtId="165" fontId="0" fillId="0" borderId="0" xfId="0" applyNumberFormat="1"/>
    <xf numFmtId="0" fontId="19" fillId="33" borderId="0" xfId="0" applyFont="1" applyFill="1" applyAlignment="1">
      <alignment horizontal="center"/>
    </xf>
    <xf numFmtId="0" fontId="0" fillId="33" borderId="0" xfId="0" applyFill="1" applyAlignment="1">
      <alignment horizontal="center"/>
    </xf>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Relationship between</a:t>
            </a:r>
            <a:r>
              <a:rPr lang="en-US" baseline="0"/>
              <a:t> study time and final exam score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2"/>
                </a:solidFill>
                <a:prstDash val="solid"/>
              </a:ln>
              <a:effectLst/>
            </c:spPr>
            <c:trendlineType val="linear"/>
            <c:dispRSqr val="0"/>
            <c:dispEq val="0"/>
          </c:trendline>
          <c:xVal>
            <c:numRef>
              <c:f>'working dataset'!$C$4:$C$1003</c:f>
              <c:numCache>
                <c:formatCode>0.0</c:formatCode>
                <c:ptCount val="1000"/>
                <c:pt idx="0">
                  <c:v>4</c:v>
                </c:pt>
                <c:pt idx="1">
                  <c:v>6.3</c:v>
                </c:pt>
                <c:pt idx="2">
                  <c:v>4.9000000000000004</c:v>
                </c:pt>
                <c:pt idx="3">
                  <c:v>2.6</c:v>
                </c:pt>
                <c:pt idx="4">
                  <c:v>2.2000000000000002</c:v>
                </c:pt>
                <c:pt idx="5">
                  <c:v>4.2</c:v>
                </c:pt>
                <c:pt idx="6">
                  <c:v>1.5</c:v>
                </c:pt>
                <c:pt idx="7">
                  <c:v>6.2</c:v>
                </c:pt>
                <c:pt idx="8">
                  <c:v>5.3</c:v>
                </c:pt>
                <c:pt idx="9">
                  <c:v>2.8</c:v>
                </c:pt>
                <c:pt idx="10">
                  <c:v>0.9</c:v>
                </c:pt>
                <c:pt idx="11">
                  <c:v>5.5</c:v>
                </c:pt>
                <c:pt idx="12">
                  <c:v>3.3</c:v>
                </c:pt>
                <c:pt idx="13">
                  <c:v>5.4</c:v>
                </c:pt>
                <c:pt idx="14">
                  <c:v>1.1000000000000001</c:v>
                </c:pt>
                <c:pt idx="15">
                  <c:v>2.6</c:v>
                </c:pt>
                <c:pt idx="16">
                  <c:v>3.5</c:v>
                </c:pt>
                <c:pt idx="17">
                  <c:v>3.6</c:v>
                </c:pt>
                <c:pt idx="18">
                  <c:v>2.8</c:v>
                </c:pt>
                <c:pt idx="19">
                  <c:v>4.4000000000000004</c:v>
                </c:pt>
                <c:pt idx="20">
                  <c:v>1.9</c:v>
                </c:pt>
                <c:pt idx="21">
                  <c:v>3.3</c:v>
                </c:pt>
                <c:pt idx="22">
                  <c:v>3.7</c:v>
                </c:pt>
                <c:pt idx="23">
                  <c:v>4.3</c:v>
                </c:pt>
                <c:pt idx="24">
                  <c:v>4.5999999999999996</c:v>
                </c:pt>
                <c:pt idx="25">
                  <c:v>1.8</c:v>
                </c:pt>
                <c:pt idx="26">
                  <c:v>1.2</c:v>
                </c:pt>
                <c:pt idx="27">
                  <c:v>5.4</c:v>
                </c:pt>
                <c:pt idx="28">
                  <c:v>4</c:v>
                </c:pt>
                <c:pt idx="29">
                  <c:v>2.4</c:v>
                </c:pt>
                <c:pt idx="30">
                  <c:v>5.8</c:v>
                </c:pt>
                <c:pt idx="31">
                  <c:v>3.7</c:v>
                </c:pt>
                <c:pt idx="32">
                  <c:v>5.3</c:v>
                </c:pt>
                <c:pt idx="33">
                  <c:v>3.6</c:v>
                </c:pt>
                <c:pt idx="34">
                  <c:v>6.6</c:v>
                </c:pt>
                <c:pt idx="35">
                  <c:v>6.1</c:v>
                </c:pt>
                <c:pt idx="36">
                  <c:v>3.1</c:v>
                </c:pt>
                <c:pt idx="37">
                  <c:v>5</c:v>
                </c:pt>
                <c:pt idx="38">
                  <c:v>4.5</c:v>
                </c:pt>
                <c:pt idx="39">
                  <c:v>5.6</c:v>
                </c:pt>
                <c:pt idx="40">
                  <c:v>2.1</c:v>
                </c:pt>
                <c:pt idx="41">
                  <c:v>4.5</c:v>
                </c:pt>
                <c:pt idx="42">
                  <c:v>5.0999999999999996</c:v>
                </c:pt>
                <c:pt idx="43">
                  <c:v>0.9</c:v>
                </c:pt>
                <c:pt idx="44">
                  <c:v>1.7</c:v>
                </c:pt>
                <c:pt idx="45">
                  <c:v>0.5</c:v>
                </c:pt>
                <c:pt idx="46">
                  <c:v>3.1</c:v>
                </c:pt>
                <c:pt idx="47">
                  <c:v>4.5999999999999996</c:v>
                </c:pt>
                <c:pt idx="48">
                  <c:v>5.8</c:v>
                </c:pt>
                <c:pt idx="49">
                  <c:v>3.6</c:v>
                </c:pt>
                <c:pt idx="50">
                  <c:v>5.9</c:v>
                </c:pt>
                <c:pt idx="51">
                  <c:v>1.4</c:v>
                </c:pt>
                <c:pt idx="52">
                  <c:v>0.9</c:v>
                </c:pt>
                <c:pt idx="53">
                  <c:v>3.4</c:v>
                </c:pt>
                <c:pt idx="54">
                  <c:v>4.0999999999999996</c:v>
                </c:pt>
                <c:pt idx="55">
                  <c:v>3.5</c:v>
                </c:pt>
                <c:pt idx="56">
                  <c:v>0.5</c:v>
                </c:pt>
                <c:pt idx="57">
                  <c:v>3.4</c:v>
                </c:pt>
                <c:pt idx="58">
                  <c:v>1.5</c:v>
                </c:pt>
                <c:pt idx="59">
                  <c:v>4.5</c:v>
                </c:pt>
                <c:pt idx="60">
                  <c:v>4</c:v>
                </c:pt>
                <c:pt idx="61">
                  <c:v>2.1</c:v>
                </c:pt>
                <c:pt idx="62">
                  <c:v>2.7</c:v>
                </c:pt>
                <c:pt idx="63">
                  <c:v>1.9</c:v>
                </c:pt>
                <c:pt idx="64">
                  <c:v>3.4</c:v>
                </c:pt>
                <c:pt idx="65">
                  <c:v>4.9000000000000004</c:v>
                </c:pt>
                <c:pt idx="66">
                  <c:v>2</c:v>
                </c:pt>
                <c:pt idx="67">
                  <c:v>4.3</c:v>
                </c:pt>
                <c:pt idx="68">
                  <c:v>2.7</c:v>
                </c:pt>
                <c:pt idx="69">
                  <c:v>2.2999999999999998</c:v>
                </c:pt>
                <c:pt idx="70">
                  <c:v>3.3</c:v>
                </c:pt>
                <c:pt idx="71">
                  <c:v>1.9</c:v>
                </c:pt>
                <c:pt idx="72">
                  <c:v>2.7</c:v>
                </c:pt>
                <c:pt idx="73">
                  <c:v>1.7</c:v>
                </c:pt>
                <c:pt idx="74">
                  <c:v>6.4</c:v>
                </c:pt>
                <c:pt idx="75">
                  <c:v>3.6</c:v>
                </c:pt>
                <c:pt idx="76">
                  <c:v>2.5</c:v>
                </c:pt>
                <c:pt idx="77">
                  <c:v>3.8</c:v>
                </c:pt>
                <c:pt idx="78">
                  <c:v>3.3</c:v>
                </c:pt>
                <c:pt idx="79">
                  <c:v>3.2</c:v>
                </c:pt>
                <c:pt idx="80">
                  <c:v>4.4000000000000004</c:v>
                </c:pt>
                <c:pt idx="81">
                  <c:v>4.5999999999999996</c:v>
                </c:pt>
                <c:pt idx="82">
                  <c:v>2.7</c:v>
                </c:pt>
                <c:pt idx="83">
                  <c:v>2.6</c:v>
                </c:pt>
                <c:pt idx="84">
                  <c:v>3.1</c:v>
                </c:pt>
                <c:pt idx="85">
                  <c:v>0.5</c:v>
                </c:pt>
                <c:pt idx="86">
                  <c:v>1.2</c:v>
                </c:pt>
                <c:pt idx="87">
                  <c:v>5.6</c:v>
                </c:pt>
                <c:pt idx="88">
                  <c:v>6</c:v>
                </c:pt>
                <c:pt idx="89">
                  <c:v>3.1</c:v>
                </c:pt>
                <c:pt idx="90">
                  <c:v>4.4000000000000004</c:v>
                </c:pt>
                <c:pt idx="91">
                  <c:v>4</c:v>
                </c:pt>
                <c:pt idx="92">
                  <c:v>8.1</c:v>
                </c:pt>
                <c:pt idx="93">
                  <c:v>5.2</c:v>
                </c:pt>
                <c:pt idx="94">
                  <c:v>3.3</c:v>
                </c:pt>
                <c:pt idx="95">
                  <c:v>2.1</c:v>
                </c:pt>
                <c:pt idx="96">
                  <c:v>1.1000000000000001</c:v>
                </c:pt>
                <c:pt idx="97">
                  <c:v>3.8</c:v>
                </c:pt>
                <c:pt idx="98">
                  <c:v>2.4</c:v>
                </c:pt>
                <c:pt idx="99">
                  <c:v>1.4</c:v>
                </c:pt>
                <c:pt idx="100">
                  <c:v>2.5</c:v>
                </c:pt>
                <c:pt idx="101">
                  <c:v>1.9</c:v>
                </c:pt>
                <c:pt idx="102">
                  <c:v>6</c:v>
                </c:pt>
                <c:pt idx="103">
                  <c:v>4.8</c:v>
                </c:pt>
                <c:pt idx="104">
                  <c:v>3.5</c:v>
                </c:pt>
                <c:pt idx="105">
                  <c:v>5.7</c:v>
                </c:pt>
                <c:pt idx="106">
                  <c:v>3.6</c:v>
                </c:pt>
                <c:pt idx="107">
                  <c:v>2.2000000000000002</c:v>
                </c:pt>
                <c:pt idx="108">
                  <c:v>5.8</c:v>
                </c:pt>
                <c:pt idx="109">
                  <c:v>4.3</c:v>
                </c:pt>
                <c:pt idx="110">
                  <c:v>1.9</c:v>
                </c:pt>
                <c:pt idx="111">
                  <c:v>3.2</c:v>
                </c:pt>
                <c:pt idx="112">
                  <c:v>2.2000000000000002</c:v>
                </c:pt>
                <c:pt idx="113">
                  <c:v>1.4</c:v>
                </c:pt>
                <c:pt idx="114">
                  <c:v>4.9000000000000004</c:v>
                </c:pt>
                <c:pt idx="115">
                  <c:v>6.4</c:v>
                </c:pt>
                <c:pt idx="116">
                  <c:v>1.4</c:v>
                </c:pt>
                <c:pt idx="117">
                  <c:v>4.3</c:v>
                </c:pt>
                <c:pt idx="118">
                  <c:v>2.5</c:v>
                </c:pt>
                <c:pt idx="119">
                  <c:v>2.8</c:v>
                </c:pt>
                <c:pt idx="120">
                  <c:v>2.6</c:v>
                </c:pt>
                <c:pt idx="121">
                  <c:v>2.2000000000000002</c:v>
                </c:pt>
                <c:pt idx="122">
                  <c:v>3.6</c:v>
                </c:pt>
                <c:pt idx="123">
                  <c:v>2.2999999999999998</c:v>
                </c:pt>
                <c:pt idx="124">
                  <c:v>3.9</c:v>
                </c:pt>
                <c:pt idx="125">
                  <c:v>3.4</c:v>
                </c:pt>
                <c:pt idx="126">
                  <c:v>3.1</c:v>
                </c:pt>
                <c:pt idx="127">
                  <c:v>2.1</c:v>
                </c:pt>
                <c:pt idx="128">
                  <c:v>2.6</c:v>
                </c:pt>
                <c:pt idx="129">
                  <c:v>4.5999999999999996</c:v>
                </c:pt>
                <c:pt idx="130">
                  <c:v>4.3</c:v>
                </c:pt>
                <c:pt idx="131">
                  <c:v>2</c:v>
                </c:pt>
                <c:pt idx="132">
                  <c:v>3.6</c:v>
                </c:pt>
                <c:pt idx="133">
                  <c:v>4.5999999999999996</c:v>
                </c:pt>
                <c:pt idx="134">
                  <c:v>1</c:v>
                </c:pt>
                <c:pt idx="135">
                  <c:v>4.3</c:v>
                </c:pt>
                <c:pt idx="136">
                  <c:v>2.5</c:v>
                </c:pt>
                <c:pt idx="137">
                  <c:v>4.4000000000000004</c:v>
                </c:pt>
                <c:pt idx="138">
                  <c:v>2.4</c:v>
                </c:pt>
                <c:pt idx="139">
                  <c:v>0.8</c:v>
                </c:pt>
                <c:pt idx="140">
                  <c:v>1.1000000000000001</c:v>
                </c:pt>
                <c:pt idx="141">
                  <c:v>3.6</c:v>
                </c:pt>
                <c:pt idx="142">
                  <c:v>3.9</c:v>
                </c:pt>
                <c:pt idx="143">
                  <c:v>2.1</c:v>
                </c:pt>
                <c:pt idx="144">
                  <c:v>4.5</c:v>
                </c:pt>
                <c:pt idx="145">
                  <c:v>1</c:v>
                </c:pt>
                <c:pt idx="146">
                  <c:v>3.4</c:v>
                </c:pt>
                <c:pt idx="147">
                  <c:v>1.7</c:v>
                </c:pt>
                <c:pt idx="148">
                  <c:v>2.5</c:v>
                </c:pt>
                <c:pt idx="149">
                  <c:v>3.6</c:v>
                </c:pt>
                <c:pt idx="150">
                  <c:v>2.2000000000000002</c:v>
                </c:pt>
                <c:pt idx="151">
                  <c:v>2.9</c:v>
                </c:pt>
                <c:pt idx="152">
                  <c:v>5</c:v>
                </c:pt>
                <c:pt idx="153">
                  <c:v>2.6</c:v>
                </c:pt>
                <c:pt idx="154">
                  <c:v>4.8</c:v>
                </c:pt>
                <c:pt idx="155">
                  <c:v>1.8</c:v>
                </c:pt>
                <c:pt idx="156">
                  <c:v>4.3</c:v>
                </c:pt>
                <c:pt idx="157">
                  <c:v>5.7</c:v>
                </c:pt>
                <c:pt idx="158">
                  <c:v>0.5</c:v>
                </c:pt>
                <c:pt idx="159">
                  <c:v>2.2999999999999998</c:v>
                </c:pt>
                <c:pt idx="160">
                  <c:v>4.4000000000000004</c:v>
                </c:pt>
                <c:pt idx="161">
                  <c:v>3.2</c:v>
                </c:pt>
                <c:pt idx="162">
                  <c:v>4.0999999999999996</c:v>
                </c:pt>
                <c:pt idx="163">
                  <c:v>2.6</c:v>
                </c:pt>
                <c:pt idx="164">
                  <c:v>3.6</c:v>
                </c:pt>
                <c:pt idx="165">
                  <c:v>3.3</c:v>
                </c:pt>
                <c:pt idx="166">
                  <c:v>5.3</c:v>
                </c:pt>
                <c:pt idx="167">
                  <c:v>3.9</c:v>
                </c:pt>
                <c:pt idx="168">
                  <c:v>4</c:v>
                </c:pt>
                <c:pt idx="169">
                  <c:v>2.9</c:v>
                </c:pt>
                <c:pt idx="170">
                  <c:v>2.8</c:v>
                </c:pt>
                <c:pt idx="171">
                  <c:v>2.9</c:v>
                </c:pt>
                <c:pt idx="172">
                  <c:v>4.0999999999999996</c:v>
                </c:pt>
                <c:pt idx="173">
                  <c:v>2.9</c:v>
                </c:pt>
                <c:pt idx="174">
                  <c:v>3.9</c:v>
                </c:pt>
                <c:pt idx="175">
                  <c:v>6.6</c:v>
                </c:pt>
                <c:pt idx="176">
                  <c:v>4.8</c:v>
                </c:pt>
                <c:pt idx="177">
                  <c:v>3</c:v>
                </c:pt>
                <c:pt idx="178">
                  <c:v>5.3</c:v>
                </c:pt>
                <c:pt idx="179">
                  <c:v>2.9</c:v>
                </c:pt>
                <c:pt idx="180">
                  <c:v>0.5</c:v>
                </c:pt>
                <c:pt idx="181">
                  <c:v>2</c:v>
                </c:pt>
                <c:pt idx="182">
                  <c:v>0.7</c:v>
                </c:pt>
                <c:pt idx="183">
                  <c:v>3</c:v>
                </c:pt>
                <c:pt idx="184">
                  <c:v>3.5</c:v>
                </c:pt>
                <c:pt idx="185">
                  <c:v>6</c:v>
                </c:pt>
                <c:pt idx="186">
                  <c:v>4</c:v>
                </c:pt>
                <c:pt idx="187">
                  <c:v>3.2</c:v>
                </c:pt>
                <c:pt idx="188">
                  <c:v>4.7</c:v>
                </c:pt>
                <c:pt idx="189">
                  <c:v>0.5</c:v>
                </c:pt>
                <c:pt idx="190">
                  <c:v>3.9</c:v>
                </c:pt>
                <c:pt idx="191">
                  <c:v>4.7</c:v>
                </c:pt>
                <c:pt idx="192">
                  <c:v>1.3</c:v>
                </c:pt>
                <c:pt idx="193">
                  <c:v>5.2</c:v>
                </c:pt>
                <c:pt idx="194">
                  <c:v>4</c:v>
                </c:pt>
                <c:pt idx="195">
                  <c:v>2.9</c:v>
                </c:pt>
                <c:pt idx="196">
                  <c:v>4.4000000000000004</c:v>
                </c:pt>
                <c:pt idx="197">
                  <c:v>6.9</c:v>
                </c:pt>
                <c:pt idx="198">
                  <c:v>3.8</c:v>
                </c:pt>
                <c:pt idx="199">
                  <c:v>3.9</c:v>
                </c:pt>
                <c:pt idx="200">
                  <c:v>2.8</c:v>
                </c:pt>
                <c:pt idx="201">
                  <c:v>2.2000000000000002</c:v>
                </c:pt>
                <c:pt idx="202">
                  <c:v>4.7</c:v>
                </c:pt>
                <c:pt idx="203">
                  <c:v>2.2000000000000002</c:v>
                </c:pt>
                <c:pt idx="204">
                  <c:v>3.6</c:v>
                </c:pt>
                <c:pt idx="205">
                  <c:v>2.8</c:v>
                </c:pt>
                <c:pt idx="206">
                  <c:v>4.2</c:v>
                </c:pt>
                <c:pt idx="207">
                  <c:v>4</c:v>
                </c:pt>
                <c:pt idx="208">
                  <c:v>5.0999999999999996</c:v>
                </c:pt>
                <c:pt idx="209">
                  <c:v>2.7</c:v>
                </c:pt>
                <c:pt idx="210">
                  <c:v>3.1</c:v>
                </c:pt>
                <c:pt idx="211">
                  <c:v>2</c:v>
                </c:pt>
                <c:pt idx="212">
                  <c:v>2.8</c:v>
                </c:pt>
                <c:pt idx="213">
                  <c:v>4.0999999999999996</c:v>
                </c:pt>
                <c:pt idx="214">
                  <c:v>4.5999999999999996</c:v>
                </c:pt>
                <c:pt idx="215">
                  <c:v>2.1</c:v>
                </c:pt>
                <c:pt idx="216">
                  <c:v>4.8</c:v>
                </c:pt>
                <c:pt idx="217">
                  <c:v>5.5</c:v>
                </c:pt>
                <c:pt idx="218">
                  <c:v>4.0999999999999996</c:v>
                </c:pt>
                <c:pt idx="219">
                  <c:v>6.3</c:v>
                </c:pt>
                <c:pt idx="220">
                  <c:v>2.2999999999999998</c:v>
                </c:pt>
                <c:pt idx="221">
                  <c:v>1.6</c:v>
                </c:pt>
                <c:pt idx="222">
                  <c:v>0.8</c:v>
                </c:pt>
                <c:pt idx="223">
                  <c:v>5.7</c:v>
                </c:pt>
                <c:pt idx="224">
                  <c:v>4.5</c:v>
                </c:pt>
                <c:pt idx="225">
                  <c:v>3.4</c:v>
                </c:pt>
                <c:pt idx="226">
                  <c:v>3.9</c:v>
                </c:pt>
                <c:pt idx="227">
                  <c:v>1.8</c:v>
                </c:pt>
                <c:pt idx="228">
                  <c:v>7.2</c:v>
                </c:pt>
                <c:pt idx="229">
                  <c:v>3.7</c:v>
                </c:pt>
                <c:pt idx="230">
                  <c:v>3.7</c:v>
                </c:pt>
                <c:pt idx="231">
                  <c:v>4.5999999999999996</c:v>
                </c:pt>
                <c:pt idx="232">
                  <c:v>4.2</c:v>
                </c:pt>
                <c:pt idx="233">
                  <c:v>3.8</c:v>
                </c:pt>
                <c:pt idx="234">
                  <c:v>2.2999999999999998</c:v>
                </c:pt>
                <c:pt idx="235">
                  <c:v>4.2</c:v>
                </c:pt>
                <c:pt idx="236">
                  <c:v>6.3</c:v>
                </c:pt>
                <c:pt idx="237">
                  <c:v>5.5</c:v>
                </c:pt>
                <c:pt idx="238">
                  <c:v>5.9</c:v>
                </c:pt>
                <c:pt idx="239">
                  <c:v>2.7</c:v>
                </c:pt>
                <c:pt idx="240">
                  <c:v>2</c:v>
                </c:pt>
                <c:pt idx="241">
                  <c:v>3.3</c:v>
                </c:pt>
                <c:pt idx="242">
                  <c:v>3.6</c:v>
                </c:pt>
                <c:pt idx="243">
                  <c:v>5.0999999999999996</c:v>
                </c:pt>
                <c:pt idx="244">
                  <c:v>1</c:v>
                </c:pt>
                <c:pt idx="245">
                  <c:v>5.8</c:v>
                </c:pt>
                <c:pt idx="246">
                  <c:v>3.3</c:v>
                </c:pt>
                <c:pt idx="247">
                  <c:v>2.9</c:v>
                </c:pt>
                <c:pt idx="248">
                  <c:v>2</c:v>
                </c:pt>
                <c:pt idx="249">
                  <c:v>1</c:v>
                </c:pt>
                <c:pt idx="250">
                  <c:v>4.7</c:v>
                </c:pt>
                <c:pt idx="251">
                  <c:v>3.6</c:v>
                </c:pt>
                <c:pt idx="252">
                  <c:v>1.6</c:v>
                </c:pt>
                <c:pt idx="253">
                  <c:v>1.6</c:v>
                </c:pt>
                <c:pt idx="254">
                  <c:v>3</c:v>
                </c:pt>
                <c:pt idx="255">
                  <c:v>6</c:v>
                </c:pt>
                <c:pt idx="256">
                  <c:v>3.1</c:v>
                </c:pt>
                <c:pt idx="257">
                  <c:v>1.2</c:v>
                </c:pt>
                <c:pt idx="258">
                  <c:v>3.1</c:v>
                </c:pt>
                <c:pt idx="259">
                  <c:v>3.1</c:v>
                </c:pt>
                <c:pt idx="260">
                  <c:v>0.5</c:v>
                </c:pt>
                <c:pt idx="261">
                  <c:v>3.4</c:v>
                </c:pt>
                <c:pt idx="262">
                  <c:v>3.2</c:v>
                </c:pt>
                <c:pt idx="263">
                  <c:v>4.5</c:v>
                </c:pt>
                <c:pt idx="264">
                  <c:v>6.3</c:v>
                </c:pt>
                <c:pt idx="265">
                  <c:v>5.2</c:v>
                </c:pt>
                <c:pt idx="266">
                  <c:v>3.1</c:v>
                </c:pt>
                <c:pt idx="267">
                  <c:v>1.8</c:v>
                </c:pt>
                <c:pt idx="268">
                  <c:v>7.4</c:v>
                </c:pt>
                <c:pt idx="269">
                  <c:v>3.6</c:v>
                </c:pt>
                <c:pt idx="270">
                  <c:v>3.5</c:v>
                </c:pt>
                <c:pt idx="271">
                  <c:v>3.5</c:v>
                </c:pt>
                <c:pt idx="272">
                  <c:v>3.8</c:v>
                </c:pt>
                <c:pt idx="273">
                  <c:v>3.3</c:v>
                </c:pt>
                <c:pt idx="274">
                  <c:v>2.6</c:v>
                </c:pt>
                <c:pt idx="275">
                  <c:v>2.7</c:v>
                </c:pt>
                <c:pt idx="276">
                  <c:v>3.5</c:v>
                </c:pt>
                <c:pt idx="277">
                  <c:v>2.7</c:v>
                </c:pt>
                <c:pt idx="278">
                  <c:v>2.4</c:v>
                </c:pt>
                <c:pt idx="279">
                  <c:v>3.7</c:v>
                </c:pt>
                <c:pt idx="280">
                  <c:v>3.1</c:v>
                </c:pt>
                <c:pt idx="281">
                  <c:v>5.8</c:v>
                </c:pt>
                <c:pt idx="282">
                  <c:v>0.5</c:v>
                </c:pt>
                <c:pt idx="283">
                  <c:v>5.0999999999999996</c:v>
                </c:pt>
                <c:pt idx="284">
                  <c:v>5.4</c:v>
                </c:pt>
                <c:pt idx="285">
                  <c:v>0.5</c:v>
                </c:pt>
                <c:pt idx="286">
                  <c:v>3</c:v>
                </c:pt>
                <c:pt idx="287">
                  <c:v>2.9</c:v>
                </c:pt>
                <c:pt idx="288">
                  <c:v>1.4</c:v>
                </c:pt>
                <c:pt idx="289">
                  <c:v>2.2999999999999998</c:v>
                </c:pt>
                <c:pt idx="290">
                  <c:v>1.8</c:v>
                </c:pt>
                <c:pt idx="291">
                  <c:v>6.1</c:v>
                </c:pt>
                <c:pt idx="292">
                  <c:v>4.9000000000000004</c:v>
                </c:pt>
                <c:pt idx="293">
                  <c:v>5.4</c:v>
                </c:pt>
                <c:pt idx="294">
                  <c:v>4.5999999999999996</c:v>
                </c:pt>
                <c:pt idx="295">
                  <c:v>1.8</c:v>
                </c:pt>
                <c:pt idx="296">
                  <c:v>2.7</c:v>
                </c:pt>
                <c:pt idx="297">
                  <c:v>4.2</c:v>
                </c:pt>
                <c:pt idx="298">
                  <c:v>1.7</c:v>
                </c:pt>
                <c:pt idx="299">
                  <c:v>4.5999999999999996</c:v>
                </c:pt>
                <c:pt idx="300">
                  <c:v>3.1</c:v>
                </c:pt>
                <c:pt idx="301">
                  <c:v>2.9</c:v>
                </c:pt>
                <c:pt idx="302">
                  <c:v>4.5999999999999996</c:v>
                </c:pt>
                <c:pt idx="303">
                  <c:v>4.2</c:v>
                </c:pt>
                <c:pt idx="304">
                  <c:v>3</c:v>
                </c:pt>
                <c:pt idx="305">
                  <c:v>5.2</c:v>
                </c:pt>
                <c:pt idx="306">
                  <c:v>1.9</c:v>
                </c:pt>
                <c:pt idx="307">
                  <c:v>4.4000000000000004</c:v>
                </c:pt>
                <c:pt idx="308">
                  <c:v>4.4000000000000004</c:v>
                </c:pt>
                <c:pt idx="309">
                  <c:v>3</c:v>
                </c:pt>
                <c:pt idx="310">
                  <c:v>4</c:v>
                </c:pt>
                <c:pt idx="311">
                  <c:v>1.6</c:v>
                </c:pt>
                <c:pt idx="312">
                  <c:v>4.9000000000000004</c:v>
                </c:pt>
                <c:pt idx="313">
                  <c:v>3.2</c:v>
                </c:pt>
                <c:pt idx="314">
                  <c:v>2.7</c:v>
                </c:pt>
                <c:pt idx="315">
                  <c:v>5.0999999999999996</c:v>
                </c:pt>
                <c:pt idx="316">
                  <c:v>2.4</c:v>
                </c:pt>
                <c:pt idx="317">
                  <c:v>1.4</c:v>
                </c:pt>
                <c:pt idx="318">
                  <c:v>1.2</c:v>
                </c:pt>
                <c:pt idx="319">
                  <c:v>4.4000000000000004</c:v>
                </c:pt>
                <c:pt idx="320">
                  <c:v>1.6</c:v>
                </c:pt>
                <c:pt idx="321">
                  <c:v>6.1</c:v>
                </c:pt>
                <c:pt idx="322">
                  <c:v>0.5</c:v>
                </c:pt>
                <c:pt idx="323">
                  <c:v>6</c:v>
                </c:pt>
                <c:pt idx="324">
                  <c:v>3.8</c:v>
                </c:pt>
                <c:pt idx="325">
                  <c:v>3.4</c:v>
                </c:pt>
                <c:pt idx="326">
                  <c:v>2.7</c:v>
                </c:pt>
                <c:pt idx="327">
                  <c:v>4.0999999999999996</c:v>
                </c:pt>
                <c:pt idx="328">
                  <c:v>3.4</c:v>
                </c:pt>
                <c:pt idx="329">
                  <c:v>5.2</c:v>
                </c:pt>
                <c:pt idx="330">
                  <c:v>3.7</c:v>
                </c:pt>
                <c:pt idx="331">
                  <c:v>3.7</c:v>
                </c:pt>
                <c:pt idx="332">
                  <c:v>3</c:v>
                </c:pt>
                <c:pt idx="333">
                  <c:v>3.4</c:v>
                </c:pt>
                <c:pt idx="334">
                  <c:v>4</c:v>
                </c:pt>
                <c:pt idx="335">
                  <c:v>0.9</c:v>
                </c:pt>
                <c:pt idx="336">
                  <c:v>1.5</c:v>
                </c:pt>
                <c:pt idx="337">
                  <c:v>4.5999999999999996</c:v>
                </c:pt>
                <c:pt idx="338">
                  <c:v>3.8</c:v>
                </c:pt>
                <c:pt idx="339">
                  <c:v>3.2</c:v>
                </c:pt>
                <c:pt idx="340">
                  <c:v>3.5</c:v>
                </c:pt>
                <c:pt idx="341">
                  <c:v>4</c:v>
                </c:pt>
                <c:pt idx="342">
                  <c:v>2.7</c:v>
                </c:pt>
                <c:pt idx="343">
                  <c:v>2.2999999999999998</c:v>
                </c:pt>
                <c:pt idx="344">
                  <c:v>3.8</c:v>
                </c:pt>
                <c:pt idx="345">
                  <c:v>2</c:v>
                </c:pt>
                <c:pt idx="346">
                  <c:v>4.0999999999999996</c:v>
                </c:pt>
                <c:pt idx="347">
                  <c:v>0.9</c:v>
                </c:pt>
                <c:pt idx="348">
                  <c:v>5</c:v>
                </c:pt>
                <c:pt idx="349">
                  <c:v>4.2</c:v>
                </c:pt>
                <c:pt idx="350">
                  <c:v>3.9</c:v>
                </c:pt>
                <c:pt idx="351">
                  <c:v>5</c:v>
                </c:pt>
                <c:pt idx="352">
                  <c:v>6</c:v>
                </c:pt>
                <c:pt idx="353">
                  <c:v>5</c:v>
                </c:pt>
                <c:pt idx="354">
                  <c:v>0.7</c:v>
                </c:pt>
                <c:pt idx="355">
                  <c:v>1.6</c:v>
                </c:pt>
                <c:pt idx="356">
                  <c:v>2.6</c:v>
                </c:pt>
                <c:pt idx="357">
                  <c:v>3.5</c:v>
                </c:pt>
                <c:pt idx="358">
                  <c:v>4.3</c:v>
                </c:pt>
                <c:pt idx="359">
                  <c:v>2.4</c:v>
                </c:pt>
                <c:pt idx="360">
                  <c:v>3.8</c:v>
                </c:pt>
                <c:pt idx="361">
                  <c:v>2.4</c:v>
                </c:pt>
                <c:pt idx="362">
                  <c:v>2.6</c:v>
                </c:pt>
                <c:pt idx="363">
                  <c:v>1.4</c:v>
                </c:pt>
                <c:pt idx="364">
                  <c:v>2.1</c:v>
                </c:pt>
                <c:pt idx="365">
                  <c:v>1.5</c:v>
                </c:pt>
                <c:pt idx="366">
                  <c:v>2</c:v>
                </c:pt>
                <c:pt idx="367">
                  <c:v>5.0999999999999996</c:v>
                </c:pt>
                <c:pt idx="368">
                  <c:v>2.1</c:v>
                </c:pt>
                <c:pt idx="369">
                  <c:v>7.4</c:v>
                </c:pt>
                <c:pt idx="370">
                  <c:v>4.2</c:v>
                </c:pt>
                <c:pt idx="371">
                  <c:v>3.8</c:v>
                </c:pt>
                <c:pt idx="372">
                  <c:v>2.2000000000000002</c:v>
                </c:pt>
                <c:pt idx="373">
                  <c:v>4.5999999999999996</c:v>
                </c:pt>
                <c:pt idx="374">
                  <c:v>2.6</c:v>
                </c:pt>
                <c:pt idx="375">
                  <c:v>3.7</c:v>
                </c:pt>
                <c:pt idx="376">
                  <c:v>7.3</c:v>
                </c:pt>
                <c:pt idx="377">
                  <c:v>3.4</c:v>
                </c:pt>
                <c:pt idx="378">
                  <c:v>5.2</c:v>
                </c:pt>
                <c:pt idx="379">
                  <c:v>2.4</c:v>
                </c:pt>
                <c:pt idx="380">
                  <c:v>3.4</c:v>
                </c:pt>
                <c:pt idx="381">
                  <c:v>6.2</c:v>
                </c:pt>
                <c:pt idx="382">
                  <c:v>2.6</c:v>
                </c:pt>
                <c:pt idx="383">
                  <c:v>6.2</c:v>
                </c:pt>
                <c:pt idx="384">
                  <c:v>4.5999999999999996</c:v>
                </c:pt>
                <c:pt idx="385">
                  <c:v>2.7</c:v>
                </c:pt>
                <c:pt idx="386">
                  <c:v>4.4000000000000004</c:v>
                </c:pt>
                <c:pt idx="387">
                  <c:v>5</c:v>
                </c:pt>
                <c:pt idx="388">
                  <c:v>4.4000000000000004</c:v>
                </c:pt>
                <c:pt idx="389">
                  <c:v>1.1000000000000001</c:v>
                </c:pt>
                <c:pt idx="390">
                  <c:v>2.4</c:v>
                </c:pt>
                <c:pt idx="391">
                  <c:v>3.1</c:v>
                </c:pt>
                <c:pt idx="392">
                  <c:v>3.4</c:v>
                </c:pt>
                <c:pt idx="393">
                  <c:v>4.4000000000000004</c:v>
                </c:pt>
                <c:pt idx="394">
                  <c:v>3.8</c:v>
                </c:pt>
                <c:pt idx="395">
                  <c:v>1.5</c:v>
                </c:pt>
                <c:pt idx="396">
                  <c:v>4.0999999999999996</c:v>
                </c:pt>
                <c:pt idx="397">
                  <c:v>4.4000000000000004</c:v>
                </c:pt>
                <c:pt idx="398">
                  <c:v>4.3</c:v>
                </c:pt>
                <c:pt idx="399">
                  <c:v>5.0999999999999996</c:v>
                </c:pt>
                <c:pt idx="400">
                  <c:v>4.8</c:v>
                </c:pt>
                <c:pt idx="401">
                  <c:v>4.2</c:v>
                </c:pt>
                <c:pt idx="402">
                  <c:v>3.4</c:v>
                </c:pt>
                <c:pt idx="403">
                  <c:v>1</c:v>
                </c:pt>
                <c:pt idx="404">
                  <c:v>4.0999999999999996</c:v>
                </c:pt>
                <c:pt idx="405">
                  <c:v>3.8</c:v>
                </c:pt>
                <c:pt idx="406">
                  <c:v>3.9</c:v>
                </c:pt>
                <c:pt idx="407">
                  <c:v>1.6</c:v>
                </c:pt>
                <c:pt idx="408">
                  <c:v>1.9</c:v>
                </c:pt>
                <c:pt idx="409">
                  <c:v>5.0999999999999996</c:v>
                </c:pt>
                <c:pt idx="410">
                  <c:v>3.4</c:v>
                </c:pt>
                <c:pt idx="411">
                  <c:v>4.5</c:v>
                </c:pt>
                <c:pt idx="412">
                  <c:v>3.5</c:v>
                </c:pt>
                <c:pt idx="413">
                  <c:v>3.5</c:v>
                </c:pt>
                <c:pt idx="414">
                  <c:v>4.9000000000000004</c:v>
                </c:pt>
                <c:pt idx="415">
                  <c:v>2.7</c:v>
                </c:pt>
                <c:pt idx="416">
                  <c:v>3.6</c:v>
                </c:pt>
                <c:pt idx="417">
                  <c:v>2.8</c:v>
                </c:pt>
                <c:pt idx="418">
                  <c:v>2.8</c:v>
                </c:pt>
                <c:pt idx="419">
                  <c:v>3</c:v>
                </c:pt>
                <c:pt idx="420">
                  <c:v>3.8</c:v>
                </c:pt>
                <c:pt idx="421">
                  <c:v>2.8</c:v>
                </c:pt>
                <c:pt idx="422">
                  <c:v>5.4</c:v>
                </c:pt>
                <c:pt idx="423">
                  <c:v>2.2000000000000002</c:v>
                </c:pt>
                <c:pt idx="424">
                  <c:v>3.2</c:v>
                </c:pt>
                <c:pt idx="425">
                  <c:v>2.8</c:v>
                </c:pt>
                <c:pt idx="426">
                  <c:v>5.7</c:v>
                </c:pt>
                <c:pt idx="427">
                  <c:v>3.8</c:v>
                </c:pt>
                <c:pt idx="428">
                  <c:v>5</c:v>
                </c:pt>
                <c:pt idx="429">
                  <c:v>1.3</c:v>
                </c:pt>
                <c:pt idx="430">
                  <c:v>3.9</c:v>
                </c:pt>
                <c:pt idx="431">
                  <c:v>4.8</c:v>
                </c:pt>
                <c:pt idx="432">
                  <c:v>3.6</c:v>
                </c:pt>
                <c:pt idx="433">
                  <c:v>5.0999999999999996</c:v>
                </c:pt>
                <c:pt idx="434">
                  <c:v>2.7</c:v>
                </c:pt>
                <c:pt idx="435">
                  <c:v>5.6</c:v>
                </c:pt>
                <c:pt idx="436">
                  <c:v>6.9</c:v>
                </c:pt>
                <c:pt idx="437">
                  <c:v>3</c:v>
                </c:pt>
                <c:pt idx="438">
                  <c:v>2.8</c:v>
                </c:pt>
                <c:pt idx="439">
                  <c:v>5.7</c:v>
                </c:pt>
                <c:pt idx="440">
                  <c:v>5.9</c:v>
                </c:pt>
                <c:pt idx="441">
                  <c:v>2.7</c:v>
                </c:pt>
                <c:pt idx="442">
                  <c:v>2.9</c:v>
                </c:pt>
                <c:pt idx="443">
                  <c:v>3.1</c:v>
                </c:pt>
                <c:pt idx="444">
                  <c:v>1.5</c:v>
                </c:pt>
                <c:pt idx="445">
                  <c:v>2.1</c:v>
                </c:pt>
                <c:pt idx="446">
                  <c:v>2</c:v>
                </c:pt>
                <c:pt idx="447">
                  <c:v>2.2999999999999998</c:v>
                </c:pt>
                <c:pt idx="448">
                  <c:v>3.4</c:v>
                </c:pt>
                <c:pt idx="449">
                  <c:v>3.9</c:v>
                </c:pt>
                <c:pt idx="450">
                  <c:v>5.8</c:v>
                </c:pt>
                <c:pt idx="451">
                  <c:v>2</c:v>
                </c:pt>
                <c:pt idx="452">
                  <c:v>5</c:v>
                </c:pt>
                <c:pt idx="453">
                  <c:v>3.2</c:v>
                </c:pt>
                <c:pt idx="454">
                  <c:v>3.4</c:v>
                </c:pt>
                <c:pt idx="455">
                  <c:v>4.5</c:v>
                </c:pt>
                <c:pt idx="456">
                  <c:v>1.8</c:v>
                </c:pt>
                <c:pt idx="457">
                  <c:v>4.0999999999999996</c:v>
                </c:pt>
                <c:pt idx="458">
                  <c:v>3.7</c:v>
                </c:pt>
                <c:pt idx="459">
                  <c:v>4.2</c:v>
                </c:pt>
                <c:pt idx="460">
                  <c:v>3.9</c:v>
                </c:pt>
                <c:pt idx="461">
                  <c:v>7.2</c:v>
                </c:pt>
                <c:pt idx="462">
                  <c:v>2.5</c:v>
                </c:pt>
                <c:pt idx="463">
                  <c:v>2.7</c:v>
                </c:pt>
                <c:pt idx="464">
                  <c:v>2.6</c:v>
                </c:pt>
                <c:pt idx="465">
                  <c:v>2.7</c:v>
                </c:pt>
                <c:pt idx="466">
                  <c:v>2.5</c:v>
                </c:pt>
                <c:pt idx="467">
                  <c:v>5.3</c:v>
                </c:pt>
                <c:pt idx="468">
                  <c:v>5.6</c:v>
                </c:pt>
                <c:pt idx="469">
                  <c:v>2.6</c:v>
                </c:pt>
                <c:pt idx="470">
                  <c:v>2.2999999999999998</c:v>
                </c:pt>
                <c:pt idx="471">
                  <c:v>4.2</c:v>
                </c:pt>
                <c:pt idx="472">
                  <c:v>2.7</c:v>
                </c:pt>
                <c:pt idx="473">
                  <c:v>4.4000000000000004</c:v>
                </c:pt>
                <c:pt idx="474">
                  <c:v>3.8</c:v>
                </c:pt>
                <c:pt idx="475">
                  <c:v>1.2</c:v>
                </c:pt>
                <c:pt idx="476">
                  <c:v>5.8</c:v>
                </c:pt>
                <c:pt idx="477">
                  <c:v>6.2</c:v>
                </c:pt>
                <c:pt idx="478">
                  <c:v>2.6</c:v>
                </c:pt>
                <c:pt idx="479">
                  <c:v>2.9</c:v>
                </c:pt>
                <c:pt idx="480">
                  <c:v>3.9</c:v>
                </c:pt>
                <c:pt idx="481">
                  <c:v>4</c:v>
                </c:pt>
                <c:pt idx="482">
                  <c:v>4.5</c:v>
                </c:pt>
                <c:pt idx="483">
                  <c:v>6.5</c:v>
                </c:pt>
                <c:pt idx="484">
                  <c:v>3.2</c:v>
                </c:pt>
                <c:pt idx="485">
                  <c:v>2.2999999999999998</c:v>
                </c:pt>
                <c:pt idx="486">
                  <c:v>1.4</c:v>
                </c:pt>
                <c:pt idx="487">
                  <c:v>2.4</c:v>
                </c:pt>
                <c:pt idx="488">
                  <c:v>3.5</c:v>
                </c:pt>
                <c:pt idx="489">
                  <c:v>6.2</c:v>
                </c:pt>
                <c:pt idx="490">
                  <c:v>2.7</c:v>
                </c:pt>
                <c:pt idx="491">
                  <c:v>3.8</c:v>
                </c:pt>
                <c:pt idx="492">
                  <c:v>3.5</c:v>
                </c:pt>
                <c:pt idx="493">
                  <c:v>5.3</c:v>
                </c:pt>
                <c:pt idx="494">
                  <c:v>7.3</c:v>
                </c:pt>
                <c:pt idx="495">
                  <c:v>2.7</c:v>
                </c:pt>
                <c:pt idx="496">
                  <c:v>2.8</c:v>
                </c:pt>
                <c:pt idx="497">
                  <c:v>5.0999999999999996</c:v>
                </c:pt>
                <c:pt idx="498">
                  <c:v>4.5</c:v>
                </c:pt>
                <c:pt idx="499">
                  <c:v>6.3</c:v>
                </c:pt>
                <c:pt idx="500">
                  <c:v>4.4000000000000004</c:v>
                </c:pt>
                <c:pt idx="501">
                  <c:v>3</c:v>
                </c:pt>
                <c:pt idx="502">
                  <c:v>4.4000000000000004</c:v>
                </c:pt>
                <c:pt idx="503">
                  <c:v>5.2</c:v>
                </c:pt>
                <c:pt idx="504">
                  <c:v>4.7</c:v>
                </c:pt>
                <c:pt idx="505">
                  <c:v>4.3</c:v>
                </c:pt>
                <c:pt idx="506">
                  <c:v>5.0999999999999996</c:v>
                </c:pt>
                <c:pt idx="507">
                  <c:v>5.3</c:v>
                </c:pt>
                <c:pt idx="508">
                  <c:v>5.6</c:v>
                </c:pt>
                <c:pt idx="509">
                  <c:v>4.5</c:v>
                </c:pt>
                <c:pt idx="510">
                  <c:v>3.2</c:v>
                </c:pt>
                <c:pt idx="511">
                  <c:v>3.7</c:v>
                </c:pt>
                <c:pt idx="512">
                  <c:v>5.3</c:v>
                </c:pt>
                <c:pt idx="513">
                  <c:v>2.2999999999999998</c:v>
                </c:pt>
                <c:pt idx="514">
                  <c:v>4.0999999999999996</c:v>
                </c:pt>
                <c:pt idx="515">
                  <c:v>2.9</c:v>
                </c:pt>
                <c:pt idx="516">
                  <c:v>3.5</c:v>
                </c:pt>
                <c:pt idx="517">
                  <c:v>5.4</c:v>
                </c:pt>
                <c:pt idx="518">
                  <c:v>3.8</c:v>
                </c:pt>
                <c:pt idx="519">
                  <c:v>3.6</c:v>
                </c:pt>
                <c:pt idx="520">
                  <c:v>1.5</c:v>
                </c:pt>
                <c:pt idx="521">
                  <c:v>4.5999999999999996</c:v>
                </c:pt>
                <c:pt idx="522">
                  <c:v>4.5</c:v>
                </c:pt>
                <c:pt idx="523">
                  <c:v>6.7</c:v>
                </c:pt>
                <c:pt idx="524">
                  <c:v>3</c:v>
                </c:pt>
                <c:pt idx="525">
                  <c:v>3.8</c:v>
                </c:pt>
                <c:pt idx="526">
                  <c:v>3.9</c:v>
                </c:pt>
                <c:pt idx="527">
                  <c:v>5.9</c:v>
                </c:pt>
                <c:pt idx="528">
                  <c:v>3.4</c:v>
                </c:pt>
                <c:pt idx="529">
                  <c:v>3.9</c:v>
                </c:pt>
                <c:pt idx="530">
                  <c:v>4.4000000000000004</c:v>
                </c:pt>
                <c:pt idx="531">
                  <c:v>3.8</c:v>
                </c:pt>
                <c:pt idx="532">
                  <c:v>2.8</c:v>
                </c:pt>
                <c:pt idx="533">
                  <c:v>3.8</c:v>
                </c:pt>
                <c:pt idx="534">
                  <c:v>5.0999999999999996</c:v>
                </c:pt>
                <c:pt idx="535">
                  <c:v>2</c:v>
                </c:pt>
                <c:pt idx="536">
                  <c:v>3.7</c:v>
                </c:pt>
                <c:pt idx="537">
                  <c:v>2.4</c:v>
                </c:pt>
                <c:pt idx="538">
                  <c:v>5.3</c:v>
                </c:pt>
                <c:pt idx="539">
                  <c:v>1.2</c:v>
                </c:pt>
                <c:pt idx="540">
                  <c:v>2.7</c:v>
                </c:pt>
                <c:pt idx="541">
                  <c:v>4.0999999999999996</c:v>
                </c:pt>
                <c:pt idx="542">
                  <c:v>5.8</c:v>
                </c:pt>
                <c:pt idx="543">
                  <c:v>3.4</c:v>
                </c:pt>
                <c:pt idx="544">
                  <c:v>2.7</c:v>
                </c:pt>
                <c:pt idx="545">
                  <c:v>6.3</c:v>
                </c:pt>
                <c:pt idx="546">
                  <c:v>1.3</c:v>
                </c:pt>
                <c:pt idx="547">
                  <c:v>0.5</c:v>
                </c:pt>
                <c:pt idx="548">
                  <c:v>4.2</c:v>
                </c:pt>
                <c:pt idx="549">
                  <c:v>2.7</c:v>
                </c:pt>
                <c:pt idx="550">
                  <c:v>2</c:v>
                </c:pt>
                <c:pt idx="551">
                  <c:v>4.5999999999999996</c:v>
                </c:pt>
                <c:pt idx="552">
                  <c:v>3.9</c:v>
                </c:pt>
                <c:pt idx="553">
                  <c:v>2.7</c:v>
                </c:pt>
                <c:pt idx="554">
                  <c:v>1.6</c:v>
                </c:pt>
                <c:pt idx="555">
                  <c:v>4.8</c:v>
                </c:pt>
                <c:pt idx="556">
                  <c:v>4.5</c:v>
                </c:pt>
                <c:pt idx="557">
                  <c:v>3.4</c:v>
                </c:pt>
                <c:pt idx="558">
                  <c:v>6.3</c:v>
                </c:pt>
                <c:pt idx="559">
                  <c:v>1.9</c:v>
                </c:pt>
                <c:pt idx="560">
                  <c:v>1.2</c:v>
                </c:pt>
                <c:pt idx="561">
                  <c:v>2.5</c:v>
                </c:pt>
                <c:pt idx="562">
                  <c:v>3.4</c:v>
                </c:pt>
                <c:pt idx="563">
                  <c:v>3.9</c:v>
                </c:pt>
                <c:pt idx="564">
                  <c:v>3.1</c:v>
                </c:pt>
                <c:pt idx="565">
                  <c:v>4</c:v>
                </c:pt>
                <c:pt idx="566">
                  <c:v>1.6</c:v>
                </c:pt>
                <c:pt idx="567">
                  <c:v>5.7</c:v>
                </c:pt>
                <c:pt idx="568">
                  <c:v>3.4</c:v>
                </c:pt>
                <c:pt idx="569">
                  <c:v>5.2</c:v>
                </c:pt>
                <c:pt idx="570">
                  <c:v>4</c:v>
                </c:pt>
                <c:pt idx="571">
                  <c:v>4.2</c:v>
                </c:pt>
                <c:pt idx="572">
                  <c:v>4.4000000000000004</c:v>
                </c:pt>
                <c:pt idx="573">
                  <c:v>4.2</c:v>
                </c:pt>
                <c:pt idx="574">
                  <c:v>4.5</c:v>
                </c:pt>
                <c:pt idx="575">
                  <c:v>5.5</c:v>
                </c:pt>
                <c:pt idx="576">
                  <c:v>3.8</c:v>
                </c:pt>
                <c:pt idx="577">
                  <c:v>4.5999999999999996</c:v>
                </c:pt>
                <c:pt idx="578">
                  <c:v>3.4</c:v>
                </c:pt>
                <c:pt idx="579">
                  <c:v>5.7</c:v>
                </c:pt>
                <c:pt idx="580">
                  <c:v>2.5</c:v>
                </c:pt>
                <c:pt idx="581">
                  <c:v>6.2</c:v>
                </c:pt>
                <c:pt idx="582">
                  <c:v>3.4</c:v>
                </c:pt>
                <c:pt idx="583">
                  <c:v>1.4</c:v>
                </c:pt>
                <c:pt idx="584">
                  <c:v>3.7</c:v>
                </c:pt>
                <c:pt idx="585">
                  <c:v>2.5</c:v>
                </c:pt>
                <c:pt idx="586">
                  <c:v>4.8</c:v>
                </c:pt>
                <c:pt idx="587">
                  <c:v>2.5</c:v>
                </c:pt>
                <c:pt idx="588">
                  <c:v>2.8</c:v>
                </c:pt>
                <c:pt idx="589">
                  <c:v>0.7</c:v>
                </c:pt>
                <c:pt idx="590">
                  <c:v>2.8</c:v>
                </c:pt>
                <c:pt idx="591">
                  <c:v>0.5</c:v>
                </c:pt>
                <c:pt idx="592">
                  <c:v>1.1000000000000001</c:v>
                </c:pt>
                <c:pt idx="593">
                  <c:v>4.5999999999999996</c:v>
                </c:pt>
                <c:pt idx="594">
                  <c:v>4.7</c:v>
                </c:pt>
                <c:pt idx="595">
                  <c:v>4.0999999999999996</c:v>
                </c:pt>
                <c:pt idx="596">
                  <c:v>2</c:v>
                </c:pt>
                <c:pt idx="597">
                  <c:v>3.4</c:v>
                </c:pt>
                <c:pt idx="598">
                  <c:v>3.5</c:v>
                </c:pt>
                <c:pt idx="599">
                  <c:v>1.8</c:v>
                </c:pt>
                <c:pt idx="600">
                  <c:v>5.8</c:v>
                </c:pt>
                <c:pt idx="601">
                  <c:v>4.8</c:v>
                </c:pt>
                <c:pt idx="602">
                  <c:v>3.2</c:v>
                </c:pt>
                <c:pt idx="603">
                  <c:v>3.5</c:v>
                </c:pt>
                <c:pt idx="604">
                  <c:v>3.8</c:v>
                </c:pt>
                <c:pt idx="605">
                  <c:v>0.5</c:v>
                </c:pt>
                <c:pt idx="606">
                  <c:v>3.1</c:v>
                </c:pt>
                <c:pt idx="607">
                  <c:v>2.5</c:v>
                </c:pt>
                <c:pt idx="608">
                  <c:v>2</c:v>
                </c:pt>
                <c:pt idx="609">
                  <c:v>3.1</c:v>
                </c:pt>
                <c:pt idx="610">
                  <c:v>6.2</c:v>
                </c:pt>
                <c:pt idx="611">
                  <c:v>4.5</c:v>
                </c:pt>
                <c:pt idx="612">
                  <c:v>2.6</c:v>
                </c:pt>
                <c:pt idx="613">
                  <c:v>4.4000000000000004</c:v>
                </c:pt>
                <c:pt idx="614">
                  <c:v>5.6</c:v>
                </c:pt>
                <c:pt idx="615">
                  <c:v>4.9000000000000004</c:v>
                </c:pt>
                <c:pt idx="616">
                  <c:v>3.6</c:v>
                </c:pt>
                <c:pt idx="617">
                  <c:v>2.5</c:v>
                </c:pt>
                <c:pt idx="618">
                  <c:v>4.5</c:v>
                </c:pt>
                <c:pt idx="619">
                  <c:v>4.0999999999999996</c:v>
                </c:pt>
                <c:pt idx="620">
                  <c:v>4.8</c:v>
                </c:pt>
                <c:pt idx="621">
                  <c:v>4.5</c:v>
                </c:pt>
                <c:pt idx="622">
                  <c:v>5.0999999999999996</c:v>
                </c:pt>
                <c:pt idx="623">
                  <c:v>2.7</c:v>
                </c:pt>
                <c:pt idx="624">
                  <c:v>5.5</c:v>
                </c:pt>
                <c:pt idx="625">
                  <c:v>3.8</c:v>
                </c:pt>
                <c:pt idx="626">
                  <c:v>6.6</c:v>
                </c:pt>
                <c:pt idx="627">
                  <c:v>2.5</c:v>
                </c:pt>
                <c:pt idx="628">
                  <c:v>6.1</c:v>
                </c:pt>
                <c:pt idx="629">
                  <c:v>3.8</c:v>
                </c:pt>
                <c:pt idx="630">
                  <c:v>2.5</c:v>
                </c:pt>
                <c:pt idx="631">
                  <c:v>2.8</c:v>
                </c:pt>
                <c:pt idx="632">
                  <c:v>3</c:v>
                </c:pt>
                <c:pt idx="633">
                  <c:v>4.0999999999999996</c:v>
                </c:pt>
                <c:pt idx="634">
                  <c:v>4.3</c:v>
                </c:pt>
                <c:pt idx="635">
                  <c:v>2.6</c:v>
                </c:pt>
                <c:pt idx="636">
                  <c:v>3.5</c:v>
                </c:pt>
                <c:pt idx="637">
                  <c:v>6.7</c:v>
                </c:pt>
                <c:pt idx="638">
                  <c:v>6.1</c:v>
                </c:pt>
                <c:pt idx="639">
                  <c:v>4.2</c:v>
                </c:pt>
                <c:pt idx="640">
                  <c:v>3.6</c:v>
                </c:pt>
                <c:pt idx="641">
                  <c:v>3.7</c:v>
                </c:pt>
                <c:pt idx="642">
                  <c:v>4.4000000000000004</c:v>
                </c:pt>
                <c:pt idx="643">
                  <c:v>2</c:v>
                </c:pt>
                <c:pt idx="644">
                  <c:v>3.1</c:v>
                </c:pt>
                <c:pt idx="645">
                  <c:v>1</c:v>
                </c:pt>
                <c:pt idx="646">
                  <c:v>4.0999999999999996</c:v>
                </c:pt>
                <c:pt idx="647">
                  <c:v>4.5</c:v>
                </c:pt>
                <c:pt idx="648">
                  <c:v>2.8</c:v>
                </c:pt>
                <c:pt idx="649">
                  <c:v>5.9</c:v>
                </c:pt>
                <c:pt idx="650">
                  <c:v>1.7</c:v>
                </c:pt>
                <c:pt idx="651">
                  <c:v>1.3</c:v>
                </c:pt>
                <c:pt idx="652">
                  <c:v>3.8</c:v>
                </c:pt>
                <c:pt idx="653">
                  <c:v>5.0999999999999996</c:v>
                </c:pt>
                <c:pt idx="654">
                  <c:v>6</c:v>
                </c:pt>
                <c:pt idx="655">
                  <c:v>2.8</c:v>
                </c:pt>
                <c:pt idx="656">
                  <c:v>5.0999999999999996</c:v>
                </c:pt>
                <c:pt idx="657">
                  <c:v>3.4</c:v>
                </c:pt>
                <c:pt idx="658">
                  <c:v>3.2</c:v>
                </c:pt>
                <c:pt idx="659">
                  <c:v>4.8</c:v>
                </c:pt>
                <c:pt idx="660">
                  <c:v>4.5</c:v>
                </c:pt>
                <c:pt idx="661">
                  <c:v>1.1000000000000001</c:v>
                </c:pt>
                <c:pt idx="662">
                  <c:v>5.7</c:v>
                </c:pt>
                <c:pt idx="663">
                  <c:v>5.6</c:v>
                </c:pt>
                <c:pt idx="664">
                  <c:v>2.6</c:v>
                </c:pt>
                <c:pt idx="665">
                  <c:v>4.0999999999999996</c:v>
                </c:pt>
                <c:pt idx="666">
                  <c:v>4.2</c:v>
                </c:pt>
                <c:pt idx="667">
                  <c:v>3.9</c:v>
                </c:pt>
                <c:pt idx="668">
                  <c:v>2.7</c:v>
                </c:pt>
                <c:pt idx="669">
                  <c:v>2.5</c:v>
                </c:pt>
                <c:pt idx="670">
                  <c:v>3.5</c:v>
                </c:pt>
                <c:pt idx="671">
                  <c:v>5.3</c:v>
                </c:pt>
                <c:pt idx="672">
                  <c:v>4.3</c:v>
                </c:pt>
                <c:pt idx="673">
                  <c:v>2.9</c:v>
                </c:pt>
                <c:pt idx="674">
                  <c:v>4.7</c:v>
                </c:pt>
                <c:pt idx="675">
                  <c:v>0.5</c:v>
                </c:pt>
                <c:pt idx="676">
                  <c:v>5.2</c:v>
                </c:pt>
                <c:pt idx="677">
                  <c:v>0.9</c:v>
                </c:pt>
                <c:pt idx="678">
                  <c:v>3</c:v>
                </c:pt>
                <c:pt idx="679">
                  <c:v>1.8</c:v>
                </c:pt>
                <c:pt idx="680">
                  <c:v>1.6</c:v>
                </c:pt>
                <c:pt idx="681">
                  <c:v>5.2</c:v>
                </c:pt>
                <c:pt idx="682">
                  <c:v>2.8</c:v>
                </c:pt>
                <c:pt idx="683">
                  <c:v>4</c:v>
                </c:pt>
                <c:pt idx="684">
                  <c:v>3.4</c:v>
                </c:pt>
                <c:pt idx="685">
                  <c:v>4.2</c:v>
                </c:pt>
                <c:pt idx="686">
                  <c:v>3.6</c:v>
                </c:pt>
                <c:pt idx="687">
                  <c:v>1.6</c:v>
                </c:pt>
                <c:pt idx="688">
                  <c:v>5</c:v>
                </c:pt>
                <c:pt idx="689">
                  <c:v>2.8</c:v>
                </c:pt>
                <c:pt idx="690">
                  <c:v>1.2</c:v>
                </c:pt>
                <c:pt idx="691">
                  <c:v>2.9</c:v>
                </c:pt>
                <c:pt idx="692">
                  <c:v>5.8</c:v>
                </c:pt>
                <c:pt idx="693">
                  <c:v>4.8</c:v>
                </c:pt>
                <c:pt idx="694">
                  <c:v>3</c:v>
                </c:pt>
                <c:pt idx="695">
                  <c:v>3</c:v>
                </c:pt>
                <c:pt idx="696">
                  <c:v>3</c:v>
                </c:pt>
                <c:pt idx="697">
                  <c:v>6.6</c:v>
                </c:pt>
                <c:pt idx="698">
                  <c:v>4.0999999999999996</c:v>
                </c:pt>
                <c:pt idx="699">
                  <c:v>4.0999999999999996</c:v>
                </c:pt>
                <c:pt idx="700">
                  <c:v>5</c:v>
                </c:pt>
                <c:pt idx="701">
                  <c:v>3.9</c:v>
                </c:pt>
                <c:pt idx="702">
                  <c:v>3.1</c:v>
                </c:pt>
                <c:pt idx="703">
                  <c:v>3.2</c:v>
                </c:pt>
                <c:pt idx="704">
                  <c:v>3.4</c:v>
                </c:pt>
                <c:pt idx="705">
                  <c:v>3.4</c:v>
                </c:pt>
                <c:pt idx="706">
                  <c:v>4.5999999999999996</c:v>
                </c:pt>
                <c:pt idx="707">
                  <c:v>3.6</c:v>
                </c:pt>
                <c:pt idx="708">
                  <c:v>4.5999999999999996</c:v>
                </c:pt>
                <c:pt idx="709">
                  <c:v>3.4</c:v>
                </c:pt>
                <c:pt idx="710">
                  <c:v>3.6</c:v>
                </c:pt>
                <c:pt idx="711">
                  <c:v>0.5</c:v>
                </c:pt>
                <c:pt idx="712">
                  <c:v>4.9000000000000004</c:v>
                </c:pt>
                <c:pt idx="713">
                  <c:v>4</c:v>
                </c:pt>
                <c:pt idx="714">
                  <c:v>5</c:v>
                </c:pt>
                <c:pt idx="715">
                  <c:v>0.5</c:v>
                </c:pt>
                <c:pt idx="716">
                  <c:v>6.6</c:v>
                </c:pt>
                <c:pt idx="717">
                  <c:v>3.3</c:v>
                </c:pt>
                <c:pt idx="718">
                  <c:v>5.2</c:v>
                </c:pt>
                <c:pt idx="719">
                  <c:v>1.9</c:v>
                </c:pt>
                <c:pt idx="720">
                  <c:v>4.4000000000000004</c:v>
                </c:pt>
                <c:pt idx="721">
                  <c:v>1.9</c:v>
                </c:pt>
                <c:pt idx="722">
                  <c:v>2.6</c:v>
                </c:pt>
                <c:pt idx="723">
                  <c:v>6.4</c:v>
                </c:pt>
                <c:pt idx="724">
                  <c:v>3.2</c:v>
                </c:pt>
                <c:pt idx="725">
                  <c:v>3.8</c:v>
                </c:pt>
                <c:pt idx="726">
                  <c:v>4.8</c:v>
                </c:pt>
                <c:pt idx="727">
                  <c:v>4.2</c:v>
                </c:pt>
                <c:pt idx="728">
                  <c:v>3.7</c:v>
                </c:pt>
                <c:pt idx="729">
                  <c:v>4</c:v>
                </c:pt>
                <c:pt idx="730">
                  <c:v>7.1</c:v>
                </c:pt>
                <c:pt idx="731">
                  <c:v>3.4</c:v>
                </c:pt>
                <c:pt idx="732">
                  <c:v>3.8</c:v>
                </c:pt>
                <c:pt idx="733">
                  <c:v>5.0999999999999996</c:v>
                </c:pt>
                <c:pt idx="734">
                  <c:v>5.2</c:v>
                </c:pt>
                <c:pt idx="735">
                  <c:v>5.3</c:v>
                </c:pt>
                <c:pt idx="736">
                  <c:v>4.5</c:v>
                </c:pt>
                <c:pt idx="737">
                  <c:v>1.8</c:v>
                </c:pt>
                <c:pt idx="738">
                  <c:v>6</c:v>
                </c:pt>
                <c:pt idx="739">
                  <c:v>1.8</c:v>
                </c:pt>
                <c:pt idx="740">
                  <c:v>4</c:v>
                </c:pt>
                <c:pt idx="741">
                  <c:v>2.4</c:v>
                </c:pt>
                <c:pt idx="742">
                  <c:v>3.4</c:v>
                </c:pt>
                <c:pt idx="743">
                  <c:v>4</c:v>
                </c:pt>
                <c:pt idx="744">
                  <c:v>4</c:v>
                </c:pt>
                <c:pt idx="745">
                  <c:v>4.0999999999999996</c:v>
                </c:pt>
                <c:pt idx="746">
                  <c:v>5.9</c:v>
                </c:pt>
                <c:pt idx="747">
                  <c:v>4.2</c:v>
                </c:pt>
                <c:pt idx="748">
                  <c:v>3.1</c:v>
                </c:pt>
                <c:pt idx="749">
                  <c:v>4.9000000000000004</c:v>
                </c:pt>
                <c:pt idx="750">
                  <c:v>5.3</c:v>
                </c:pt>
                <c:pt idx="751">
                  <c:v>1.7</c:v>
                </c:pt>
                <c:pt idx="752">
                  <c:v>4.4000000000000004</c:v>
                </c:pt>
                <c:pt idx="753">
                  <c:v>4.5999999999999996</c:v>
                </c:pt>
                <c:pt idx="754">
                  <c:v>3.1</c:v>
                </c:pt>
                <c:pt idx="755">
                  <c:v>5.6</c:v>
                </c:pt>
                <c:pt idx="756">
                  <c:v>3.3</c:v>
                </c:pt>
                <c:pt idx="757">
                  <c:v>3.7</c:v>
                </c:pt>
                <c:pt idx="758">
                  <c:v>3.2</c:v>
                </c:pt>
                <c:pt idx="759">
                  <c:v>3.5</c:v>
                </c:pt>
                <c:pt idx="760">
                  <c:v>1.9</c:v>
                </c:pt>
                <c:pt idx="761">
                  <c:v>1.3</c:v>
                </c:pt>
                <c:pt idx="762">
                  <c:v>5.9</c:v>
                </c:pt>
                <c:pt idx="763">
                  <c:v>2.2000000000000002</c:v>
                </c:pt>
                <c:pt idx="764">
                  <c:v>2</c:v>
                </c:pt>
                <c:pt idx="765">
                  <c:v>0.5</c:v>
                </c:pt>
                <c:pt idx="766">
                  <c:v>2.5</c:v>
                </c:pt>
                <c:pt idx="767">
                  <c:v>1.5</c:v>
                </c:pt>
                <c:pt idx="768">
                  <c:v>6</c:v>
                </c:pt>
                <c:pt idx="769">
                  <c:v>5</c:v>
                </c:pt>
                <c:pt idx="770">
                  <c:v>2.5</c:v>
                </c:pt>
                <c:pt idx="771">
                  <c:v>6.9</c:v>
                </c:pt>
                <c:pt idx="772">
                  <c:v>5</c:v>
                </c:pt>
                <c:pt idx="773">
                  <c:v>3</c:v>
                </c:pt>
                <c:pt idx="774">
                  <c:v>0.5</c:v>
                </c:pt>
                <c:pt idx="775">
                  <c:v>6.9</c:v>
                </c:pt>
                <c:pt idx="776">
                  <c:v>1.4</c:v>
                </c:pt>
                <c:pt idx="777">
                  <c:v>1</c:v>
                </c:pt>
                <c:pt idx="778">
                  <c:v>5</c:v>
                </c:pt>
                <c:pt idx="779">
                  <c:v>7.2</c:v>
                </c:pt>
                <c:pt idx="780">
                  <c:v>5.6</c:v>
                </c:pt>
                <c:pt idx="781">
                  <c:v>4.3</c:v>
                </c:pt>
                <c:pt idx="782">
                  <c:v>4.4000000000000004</c:v>
                </c:pt>
                <c:pt idx="783">
                  <c:v>4.8</c:v>
                </c:pt>
                <c:pt idx="784">
                  <c:v>4.5999999999999996</c:v>
                </c:pt>
                <c:pt idx="785">
                  <c:v>3.9</c:v>
                </c:pt>
                <c:pt idx="786">
                  <c:v>3.7</c:v>
                </c:pt>
                <c:pt idx="787">
                  <c:v>3.4</c:v>
                </c:pt>
                <c:pt idx="788">
                  <c:v>2.4</c:v>
                </c:pt>
                <c:pt idx="789">
                  <c:v>3.1</c:v>
                </c:pt>
                <c:pt idx="790">
                  <c:v>1</c:v>
                </c:pt>
                <c:pt idx="791">
                  <c:v>3.4</c:v>
                </c:pt>
                <c:pt idx="792">
                  <c:v>2</c:v>
                </c:pt>
                <c:pt idx="793">
                  <c:v>1.8</c:v>
                </c:pt>
                <c:pt idx="794">
                  <c:v>3.8</c:v>
                </c:pt>
                <c:pt idx="795">
                  <c:v>5.6</c:v>
                </c:pt>
                <c:pt idx="796">
                  <c:v>4.9000000000000004</c:v>
                </c:pt>
                <c:pt idx="797">
                  <c:v>1.1000000000000001</c:v>
                </c:pt>
                <c:pt idx="798">
                  <c:v>2</c:v>
                </c:pt>
                <c:pt idx="799">
                  <c:v>4.9000000000000004</c:v>
                </c:pt>
                <c:pt idx="800">
                  <c:v>2</c:v>
                </c:pt>
                <c:pt idx="801">
                  <c:v>3.2</c:v>
                </c:pt>
                <c:pt idx="802">
                  <c:v>4.3</c:v>
                </c:pt>
                <c:pt idx="803">
                  <c:v>2</c:v>
                </c:pt>
                <c:pt idx="804">
                  <c:v>3.7</c:v>
                </c:pt>
                <c:pt idx="805">
                  <c:v>1.5</c:v>
                </c:pt>
                <c:pt idx="806">
                  <c:v>2.6</c:v>
                </c:pt>
                <c:pt idx="807">
                  <c:v>4</c:v>
                </c:pt>
                <c:pt idx="808">
                  <c:v>1.1000000000000001</c:v>
                </c:pt>
                <c:pt idx="809">
                  <c:v>4.2</c:v>
                </c:pt>
                <c:pt idx="810">
                  <c:v>3.5</c:v>
                </c:pt>
                <c:pt idx="811">
                  <c:v>4.3</c:v>
                </c:pt>
                <c:pt idx="812">
                  <c:v>3.8</c:v>
                </c:pt>
                <c:pt idx="813">
                  <c:v>5.5</c:v>
                </c:pt>
                <c:pt idx="814">
                  <c:v>3.7</c:v>
                </c:pt>
                <c:pt idx="815">
                  <c:v>2.9</c:v>
                </c:pt>
                <c:pt idx="816">
                  <c:v>3.7</c:v>
                </c:pt>
                <c:pt idx="817">
                  <c:v>4.3</c:v>
                </c:pt>
                <c:pt idx="818">
                  <c:v>3.6</c:v>
                </c:pt>
                <c:pt idx="819">
                  <c:v>3.6</c:v>
                </c:pt>
                <c:pt idx="820">
                  <c:v>2.4</c:v>
                </c:pt>
                <c:pt idx="821">
                  <c:v>2.5</c:v>
                </c:pt>
                <c:pt idx="822">
                  <c:v>1.4</c:v>
                </c:pt>
                <c:pt idx="823">
                  <c:v>6.1</c:v>
                </c:pt>
                <c:pt idx="824">
                  <c:v>1.6</c:v>
                </c:pt>
                <c:pt idx="825">
                  <c:v>2.5</c:v>
                </c:pt>
                <c:pt idx="826">
                  <c:v>2.4</c:v>
                </c:pt>
                <c:pt idx="827">
                  <c:v>4.8</c:v>
                </c:pt>
                <c:pt idx="828">
                  <c:v>3.1</c:v>
                </c:pt>
                <c:pt idx="829">
                  <c:v>5.4</c:v>
                </c:pt>
                <c:pt idx="830">
                  <c:v>2.5</c:v>
                </c:pt>
                <c:pt idx="831">
                  <c:v>3.9</c:v>
                </c:pt>
                <c:pt idx="832">
                  <c:v>2.2000000000000002</c:v>
                </c:pt>
                <c:pt idx="833">
                  <c:v>6.7</c:v>
                </c:pt>
                <c:pt idx="834">
                  <c:v>1.7</c:v>
                </c:pt>
                <c:pt idx="835">
                  <c:v>4</c:v>
                </c:pt>
                <c:pt idx="836">
                  <c:v>4.5</c:v>
                </c:pt>
                <c:pt idx="837">
                  <c:v>4.0999999999999996</c:v>
                </c:pt>
                <c:pt idx="838">
                  <c:v>3.2</c:v>
                </c:pt>
                <c:pt idx="839">
                  <c:v>3.3</c:v>
                </c:pt>
                <c:pt idx="840">
                  <c:v>3.6</c:v>
                </c:pt>
                <c:pt idx="841">
                  <c:v>3.3</c:v>
                </c:pt>
                <c:pt idx="842">
                  <c:v>4.9000000000000004</c:v>
                </c:pt>
                <c:pt idx="843">
                  <c:v>6.8</c:v>
                </c:pt>
                <c:pt idx="844">
                  <c:v>2.7</c:v>
                </c:pt>
                <c:pt idx="845">
                  <c:v>1.4</c:v>
                </c:pt>
                <c:pt idx="846">
                  <c:v>3.4</c:v>
                </c:pt>
                <c:pt idx="847">
                  <c:v>7.4</c:v>
                </c:pt>
                <c:pt idx="848">
                  <c:v>2.2999999999999998</c:v>
                </c:pt>
                <c:pt idx="849">
                  <c:v>6</c:v>
                </c:pt>
                <c:pt idx="850">
                  <c:v>6</c:v>
                </c:pt>
                <c:pt idx="851">
                  <c:v>2.7</c:v>
                </c:pt>
                <c:pt idx="852">
                  <c:v>4.4000000000000004</c:v>
                </c:pt>
                <c:pt idx="853">
                  <c:v>5.9</c:v>
                </c:pt>
                <c:pt idx="854">
                  <c:v>2.9</c:v>
                </c:pt>
                <c:pt idx="855">
                  <c:v>3.2</c:v>
                </c:pt>
                <c:pt idx="856">
                  <c:v>2.6</c:v>
                </c:pt>
                <c:pt idx="857">
                  <c:v>2</c:v>
                </c:pt>
                <c:pt idx="858">
                  <c:v>2.5</c:v>
                </c:pt>
                <c:pt idx="859">
                  <c:v>1.7</c:v>
                </c:pt>
                <c:pt idx="860">
                  <c:v>3.6</c:v>
                </c:pt>
                <c:pt idx="861">
                  <c:v>2.2999999999999998</c:v>
                </c:pt>
                <c:pt idx="862">
                  <c:v>3.9</c:v>
                </c:pt>
                <c:pt idx="863">
                  <c:v>1.2</c:v>
                </c:pt>
                <c:pt idx="864">
                  <c:v>4</c:v>
                </c:pt>
                <c:pt idx="865">
                  <c:v>4.8</c:v>
                </c:pt>
                <c:pt idx="866">
                  <c:v>0.5</c:v>
                </c:pt>
                <c:pt idx="867">
                  <c:v>4.0999999999999996</c:v>
                </c:pt>
                <c:pt idx="868">
                  <c:v>5.3</c:v>
                </c:pt>
                <c:pt idx="869">
                  <c:v>1.7</c:v>
                </c:pt>
                <c:pt idx="870">
                  <c:v>6</c:v>
                </c:pt>
                <c:pt idx="871">
                  <c:v>4.0999999999999996</c:v>
                </c:pt>
                <c:pt idx="872">
                  <c:v>2.4</c:v>
                </c:pt>
                <c:pt idx="873">
                  <c:v>3.4</c:v>
                </c:pt>
                <c:pt idx="874">
                  <c:v>4.3</c:v>
                </c:pt>
                <c:pt idx="875">
                  <c:v>3.6</c:v>
                </c:pt>
                <c:pt idx="876">
                  <c:v>4.3</c:v>
                </c:pt>
                <c:pt idx="877">
                  <c:v>2.1</c:v>
                </c:pt>
                <c:pt idx="878">
                  <c:v>3.8</c:v>
                </c:pt>
                <c:pt idx="879">
                  <c:v>1.4</c:v>
                </c:pt>
                <c:pt idx="880">
                  <c:v>3.3</c:v>
                </c:pt>
                <c:pt idx="881">
                  <c:v>2.1</c:v>
                </c:pt>
                <c:pt idx="882">
                  <c:v>2.4</c:v>
                </c:pt>
                <c:pt idx="883">
                  <c:v>5.4</c:v>
                </c:pt>
                <c:pt idx="884">
                  <c:v>5.0999999999999996</c:v>
                </c:pt>
                <c:pt idx="885">
                  <c:v>4.4000000000000004</c:v>
                </c:pt>
                <c:pt idx="886">
                  <c:v>1.9</c:v>
                </c:pt>
                <c:pt idx="887">
                  <c:v>3</c:v>
                </c:pt>
                <c:pt idx="888">
                  <c:v>5.3</c:v>
                </c:pt>
                <c:pt idx="889">
                  <c:v>3.7</c:v>
                </c:pt>
                <c:pt idx="890">
                  <c:v>7</c:v>
                </c:pt>
                <c:pt idx="891">
                  <c:v>4.0999999999999996</c:v>
                </c:pt>
                <c:pt idx="892">
                  <c:v>3.8</c:v>
                </c:pt>
                <c:pt idx="893">
                  <c:v>3</c:v>
                </c:pt>
                <c:pt idx="894">
                  <c:v>3.7</c:v>
                </c:pt>
                <c:pt idx="895">
                  <c:v>3.3</c:v>
                </c:pt>
                <c:pt idx="896">
                  <c:v>4.5999999999999996</c:v>
                </c:pt>
                <c:pt idx="897">
                  <c:v>4.9000000000000004</c:v>
                </c:pt>
                <c:pt idx="898">
                  <c:v>2.2999999999999998</c:v>
                </c:pt>
                <c:pt idx="899">
                  <c:v>1.5</c:v>
                </c:pt>
                <c:pt idx="900">
                  <c:v>0.7</c:v>
                </c:pt>
                <c:pt idx="901">
                  <c:v>4.3</c:v>
                </c:pt>
                <c:pt idx="902">
                  <c:v>1.8</c:v>
                </c:pt>
                <c:pt idx="903">
                  <c:v>0.5</c:v>
                </c:pt>
                <c:pt idx="904">
                  <c:v>4.0999999999999996</c:v>
                </c:pt>
                <c:pt idx="905">
                  <c:v>7.2</c:v>
                </c:pt>
                <c:pt idx="906">
                  <c:v>3.5</c:v>
                </c:pt>
                <c:pt idx="907">
                  <c:v>4.8</c:v>
                </c:pt>
                <c:pt idx="908">
                  <c:v>3.6</c:v>
                </c:pt>
                <c:pt idx="909">
                  <c:v>3.4</c:v>
                </c:pt>
                <c:pt idx="910">
                  <c:v>4.9000000000000004</c:v>
                </c:pt>
                <c:pt idx="911">
                  <c:v>3.1</c:v>
                </c:pt>
                <c:pt idx="912">
                  <c:v>3.9</c:v>
                </c:pt>
                <c:pt idx="913">
                  <c:v>4</c:v>
                </c:pt>
                <c:pt idx="914">
                  <c:v>2.5</c:v>
                </c:pt>
                <c:pt idx="915">
                  <c:v>5</c:v>
                </c:pt>
                <c:pt idx="916">
                  <c:v>3.2</c:v>
                </c:pt>
                <c:pt idx="917">
                  <c:v>2.4</c:v>
                </c:pt>
                <c:pt idx="918">
                  <c:v>4.3</c:v>
                </c:pt>
                <c:pt idx="919">
                  <c:v>2.2000000000000002</c:v>
                </c:pt>
                <c:pt idx="920">
                  <c:v>3.5</c:v>
                </c:pt>
                <c:pt idx="921">
                  <c:v>3.5</c:v>
                </c:pt>
                <c:pt idx="922">
                  <c:v>5.0999999999999996</c:v>
                </c:pt>
                <c:pt idx="923">
                  <c:v>4.2</c:v>
                </c:pt>
                <c:pt idx="924">
                  <c:v>3.5</c:v>
                </c:pt>
                <c:pt idx="925">
                  <c:v>4.7</c:v>
                </c:pt>
                <c:pt idx="926">
                  <c:v>5.6</c:v>
                </c:pt>
                <c:pt idx="927">
                  <c:v>4.3</c:v>
                </c:pt>
                <c:pt idx="928">
                  <c:v>3.5</c:v>
                </c:pt>
                <c:pt idx="929">
                  <c:v>1.5</c:v>
                </c:pt>
                <c:pt idx="930">
                  <c:v>1.9</c:v>
                </c:pt>
                <c:pt idx="931">
                  <c:v>3</c:v>
                </c:pt>
                <c:pt idx="932">
                  <c:v>2.6</c:v>
                </c:pt>
                <c:pt idx="933">
                  <c:v>3.2</c:v>
                </c:pt>
                <c:pt idx="934">
                  <c:v>3.6</c:v>
                </c:pt>
                <c:pt idx="935">
                  <c:v>4.3</c:v>
                </c:pt>
                <c:pt idx="936">
                  <c:v>3.4</c:v>
                </c:pt>
                <c:pt idx="937">
                  <c:v>4.2</c:v>
                </c:pt>
                <c:pt idx="938">
                  <c:v>3.6</c:v>
                </c:pt>
                <c:pt idx="939">
                  <c:v>0.5</c:v>
                </c:pt>
                <c:pt idx="940">
                  <c:v>2.1</c:v>
                </c:pt>
                <c:pt idx="941">
                  <c:v>3.3</c:v>
                </c:pt>
                <c:pt idx="942">
                  <c:v>1.7</c:v>
                </c:pt>
                <c:pt idx="943">
                  <c:v>4.4000000000000004</c:v>
                </c:pt>
                <c:pt idx="944">
                  <c:v>5.8</c:v>
                </c:pt>
                <c:pt idx="945">
                  <c:v>5.3</c:v>
                </c:pt>
                <c:pt idx="946">
                  <c:v>3.2</c:v>
                </c:pt>
                <c:pt idx="947">
                  <c:v>5.7</c:v>
                </c:pt>
                <c:pt idx="948">
                  <c:v>3.7</c:v>
                </c:pt>
                <c:pt idx="949">
                  <c:v>3</c:v>
                </c:pt>
                <c:pt idx="950">
                  <c:v>2.6</c:v>
                </c:pt>
                <c:pt idx="951">
                  <c:v>3</c:v>
                </c:pt>
                <c:pt idx="952">
                  <c:v>2.9</c:v>
                </c:pt>
                <c:pt idx="953">
                  <c:v>3.8</c:v>
                </c:pt>
                <c:pt idx="954">
                  <c:v>3.7</c:v>
                </c:pt>
                <c:pt idx="955">
                  <c:v>3.5</c:v>
                </c:pt>
                <c:pt idx="956">
                  <c:v>4.2</c:v>
                </c:pt>
                <c:pt idx="957">
                  <c:v>5.3</c:v>
                </c:pt>
                <c:pt idx="958">
                  <c:v>4.9000000000000004</c:v>
                </c:pt>
                <c:pt idx="959">
                  <c:v>1.3</c:v>
                </c:pt>
                <c:pt idx="960">
                  <c:v>0.5</c:v>
                </c:pt>
                <c:pt idx="961">
                  <c:v>4.9000000000000004</c:v>
                </c:pt>
                <c:pt idx="962">
                  <c:v>1.4</c:v>
                </c:pt>
                <c:pt idx="963">
                  <c:v>3.2</c:v>
                </c:pt>
                <c:pt idx="964">
                  <c:v>1.7</c:v>
                </c:pt>
                <c:pt idx="965">
                  <c:v>0.8</c:v>
                </c:pt>
                <c:pt idx="966">
                  <c:v>4.3</c:v>
                </c:pt>
                <c:pt idx="967">
                  <c:v>4.5999999999999996</c:v>
                </c:pt>
                <c:pt idx="968">
                  <c:v>2.6</c:v>
                </c:pt>
                <c:pt idx="969">
                  <c:v>0.5</c:v>
                </c:pt>
                <c:pt idx="970">
                  <c:v>2.7</c:v>
                </c:pt>
                <c:pt idx="971">
                  <c:v>4.0999999999999996</c:v>
                </c:pt>
                <c:pt idx="972">
                  <c:v>1.3</c:v>
                </c:pt>
                <c:pt idx="973">
                  <c:v>3.8</c:v>
                </c:pt>
                <c:pt idx="974">
                  <c:v>3.5</c:v>
                </c:pt>
                <c:pt idx="975">
                  <c:v>4.4000000000000004</c:v>
                </c:pt>
                <c:pt idx="976">
                  <c:v>3.7</c:v>
                </c:pt>
                <c:pt idx="977">
                  <c:v>2</c:v>
                </c:pt>
                <c:pt idx="978">
                  <c:v>5.3</c:v>
                </c:pt>
                <c:pt idx="979">
                  <c:v>3.3</c:v>
                </c:pt>
                <c:pt idx="980">
                  <c:v>3.5</c:v>
                </c:pt>
                <c:pt idx="981">
                  <c:v>2.1</c:v>
                </c:pt>
                <c:pt idx="982">
                  <c:v>2.8</c:v>
                </c:pt>
                <c:pt idx="983">
                  <c:v>2.2000000000000002</c:v>
                </c:pt>
                <c:pt idx="984">
                  <c:v>3.2</c:v>
                </c:pt>
                <c:pt idx="985">
                  <c:v>6.1</c:v>
                </c:pt>
                <c:pt idx="986">
                  <c:v>1.4</c:v>
                </c:pt>
                <c:pt idx="987">
                  <c:v>1.1000000000000001</c:v>
                </c:pt>
                <c:pt idx="988">
                  <c:v>5.7</c:v>
                </c:pt>
                <c:pt idx="989">
                  <c:v>3.2</c:v>
                </c:pt>
                <c:pt idx="990">
                  <c:v>2.5</c:v>
                </c:pt>
                <c:pt idx="991">
                  <c:v>5.0999999999999996</c:v>
                </c:pt>
                <c:pt idx="992">
                  <c:v>2.6</c:v>
                </c:pt>
                <c:pt idx="993">
                  <c:v>6.2</c:v>
                </c:pt>
                <c:pt idx="994">
                  <c:v>4.5</c:v>
                </c:pt>
                <c:pt idx="995">
                  <c:v>2.8</c:v>
                </c:pt>
                <c:pt idx="996">
                  <c:v>6.7</c:v>
                </c:pt>
                <c:pt idx="997">
                  <c:v>2.6</c:v>
                </c:pt>
                <c:pt idx="998">
                  <c:v>4.5999999999999996</c:v>
                </c:pt>
                <c:pt idx="999">
                  <c:v>3.9</c:v>
                </c:pt>
              </c:numCache>
            </c:numRef>
          </c:xVal>
          <c:yVal>
            <c:numRef>
              <c:f>'working dataset'!$K$4:$K$1003</c:f>
              <c:numCache>
                <c:formatCode>0</c:formatCode>
                <c:ptCount val="1000"/>
                <c:pt idx="0">
                  <c:v>100</c:v>
                </c:pt>
                <c:pt idx="1">
                  <c:v>100</c:v>
                </c:pt>
                <c:pt idx="2">
                  <c:v>97</c:v>
                </c:pt>
                <c:pt idx="3">
                  <c:v>84</c:v>
                </c:pt>
                <c:pt idx="4">
                  <c:v>68</c:v>
                </c:pt>
                <c:pt idx="5">
                  <c:v>82</c:v>
                </c:pt>
                <c:pt idx="6">
                  <c:v>70</c:v>
                </c:pt>
                <c:pt idx="7">
                  <c:v>88</c:v>
                </c:pt>
                <c:pt idx="8">
                  <c:v>84</c:v>
                </c:pt>
                <c:pt idx="9">
                  <c:v>74</c:v>
                </c:pt>
                <c:pt idx="10">
                  <c:v>69</c:v>
                </c:pt>
                <c:pt idx="11">
                  <c:v>77</c:v>
                </c:pt>
                <c:pt idx="12">
                  <c:v>83</c:v>
                </c:pt>
                <c:pt idx="13">
                  <c:v>93</c:v>
                </c:pt>
                <c:pt idx="14">
                  <c:v>74</c:v>
                </c:pt>
                <c:pt idx="15">
                  <c:v>85</c:v>
                </c:pt>
                <c:pt idx="16">
                  <c:v>82</c:v>
                </c:pt>
                <c:pt idx="17">
                  <c:v>76</c:v>
                </c:pt>
                <c:pt idx="18">
                  <c:v>90</c:v>
                </c:pt>
                <c:pt idx="19">
                  <c:v>93</c:v>
                </c:pt>
                <c:pt idx="20">
                  <c:v>74</c:v>
                </c:pt>
                <c:pt idx="21">
                  <c:v>100</c:v>
                </c:pt>
                <c:pt idx="22">
                  <c:v>73</c:v>
                </c:pt>
                <c:pt idx="23">
                  <c:v>71</c:v>
                </c:pt>
                <c:pt idx="24">
                  <c:v>97</c:v>
                </c:pt>
                <c:pt idx="25">
                  <c:v>76</c:v>
                </c:pt>
                <c:pt idx="26">
                  <c:v>79</c:v>
                </c:pt>
                <c:pt idx="27">
                  <c:v>97</c:v>
                </c:pt>
                <c:pt idx="28">
                  <c:v>84</c:v>
                </c:pt>
                <c:pt idx="29">
                  <c:v>90</c:v>
                </c:pt>
                <c:pt idx="30">
                  <c:v>82</c:v>
                </c:pt>
                <c:pt idx="31">
                  <c:v>88</c:v>
                </c:pt>
                <c:pt idx="32">
                  <c:v>100</c:v>
                </c:pt>
                <c:pt idx="33">
                  <c:v>93</c:v>
                </c:pt>
                <c:pt idx="34">
                  <c:v>100</c:v>
                </c:pt>
                <c:pt idx="35">
                  <c:v>93</c:v>
                </c:pt>
                <c:pt idx="36">
                  <c:v>83</c:v>
                </c:pt>
                <c:pt idx="37">
                  <c:v>81</c:v>
                </c:pt>
                <c:pt idx="38">
                  <c:v>90</c:v>
                </c:pt>
                <c:pt idx="39">
                  <c:v>92</c:v>
                </c:pt>
                <c:pt idx="40">
                  <c:v>75</c:v>
                </c:pt>
                <c:pt idx="41">
                  <c:v>79</c:v>
                </c:pt>
                <c:pt idx="42">
                  <c:v>100</c:v>
                </c:pt>
                <c:pt idx="43">
                  <c:v>79</c:v>
                </c:pt>
                <c:pt idx="44">
                  <c:v>71</c:v>
                </c:pt>
                <c:pt idx="45">
                  <c:v>62</c:v>
                </c:pt>
                <c:pt idx="46">
                  <c:v>68</c:v>
                </c:pt>
                <c:pt idx="47">
                  <c:v>80</c:v>
                </c:pt>
                <c:pt idx="48">
                  <c:v>89</c:v>
                </c:pt>
                <c:pt idx="49">
                  <c:v>69</c:v>
                </c:pt>
                <c:pt idx="50">
                  <c:v>100</c:v>
                </c:pt>
                <c:pt idx="51">
                  <c:v>82</c:v>
                </c:pt>
                <c:pt idx="52">
                  <c:v>73</c:v>
                </c:pt>
                <c:pt idx="53">
                  <c:v>85</c:v>
                </c:pt>
                <c:pt idx="54">
                  <c:v>100</c:v>
                </c:pt>
                <c:pt idx="55">
                  <c:v>84</c:v>
                </c:pt>
                <c:pt idx="56">
                  <c:v>72</c:v>
                </c:pt>
                <c:pt idx="57">
                  <c:v>84</c:v>
                </c:pt>
                <c:pt idx="58">
                  <c:v>75</c:v>
                </c:pt>
                <c:pt idx="59">
                  <c:v>90</c:v>
                </c:pt>
                <c:pt idx="60">
                  <c:v>80</c:v>
                </c:pt>
                <c:pt idx="61">
                  <c:v>71</c:v>
                </c:pt>
                <c:pt idx="62">
                  <c:v>88</c:v>
                </c:pt>
                <c:pt idx="63">
                  <c:v>73</c:v>
                </c:pt>
                <c:pt idx="64">
                  <c:v>81</c:v>
                </c:pt>
                <c:pt idx="65">
                  <c:v>97</c:v>
                </c:pt>
                <c:pt idx="66">
                  <c:v>68</c:v>
                </c:pt>
                <c:pt idx="67">
                  <c:v>79</c:v>
                </c:pt>
                <c:pt idx="68">
                  <c:v>74</c:v>
                </c:pt>
                <c:pt idx="69">
                  <c:v>85</c:v>
                </c:pt>
                <c:pt idx="70">
                  <c:v>80</c:v>
                </c:pt>
                <c:pt idx="71">
                  <c:v>77</c:v>
                </c:pt>
                <c:pt idx="72">
                  <c:v>95</c:v>
                </c:pt>
                <c:pt idx="73">
                  <c:v>78</c:v>
                </c:pt>
                <c:pt idx="74">
                  <c:v>100</c:v>
                </c:pt>
                <c:pt idx="75">
                  <c:v>64</c:v>
                </c:pt>
                <c:pt idx="76">
                  <c:v>72</c:v>
                </c:pt>
                <c:pt idx="77">
                  <c:v>79</c:v>
                </c:pt>
                <c:pt idx="78">
                  <c:v>75</c:v>
                </c:pt>
                <c:pt idx="79">
                  <c:v>87</c:v>
                </c:pt>
                <c:pt idx="80">
                  <c:v>98</c:v>
                </c:pt>
                <c:pt idx="81">
                  <c:v>75</c:v>
                </c:pt>
                <c:pt idx="82">
                  <c:v>64</c:v>
                </c:pt>
                <c:pt idx="83">
                  <c:v>90</c:v>
                </c:pt>
                <c:pt idx="84">
                  <c:v>99</c:v>
                </c:pt>
                <c:pt idx="85">
                  <c:v>64</c:v>
                </c:pt>
                <c:pt idx="86">
                  <c:v>79</c:v>
                </c:pt>
                <c:pt idx="87">
                  <c:v>100</c:v>
                </c:pt>
                <c:pt idx="88">
                  <c:v>79</c:v>
                </c:pt>
                <c:pt idx="89">
                  <c:v>85</c:v>
                </c:pt>
                <c:pt idx="90">
                  <c:v>72</c:v>
                </c:pt>
                <c:pt idx="91">
                  <c:v>86</c:v>
                </c:pt>
                <c:pt idx="92">
                  <c:v>98</c:v>
                </c:pt>
                <c:pt idx="93">
                  <c:v>88</c:v>
                </c:pt>
                <c:pt idx="94">
                  <c:v>100</c:v>
                </c:pt>
                <c:pt idx="95">
                  <c:v>75</c:v>
                </c:pt>
                <c:pt idx="96">
                  <c:v>87</c:v>
                </c:pt>
                <c:pt idx="97">
                  <c:v>89</c:v>
                </c:pt>
                <c:pt idx="98">
                  <c:v>65</c:v>
                </c:pt>
                <c:pt idx="99">
                  <c:v>79</c:v>
                </c:pt>
                <c:pt idx="100">
                  <c:v>75</c:v>
                </c:pt>
                <c:pt idx="101">
                  <c:v>66</c:v>
                </c:pt>
                <c:pt idx="102">
                  <c:v>90</c:v>
                </c:pt>
                <c:pt idx="103">
                  <c:v>93</c:v>
                </c:pt>
                <c:pt idx="104">
                  <c:v>87</c:v>
                </c:pt>
                <c:pt idx="105">
                  <c:v>93</c:v>
                </c:pt>
                <c:pt idx="106">
                  <c:v>76</c:v>
                </c:pt>
                <c:pt idx="107">
                  <c:v>74</c:v>
                </c:pt>
                <c:pt idx="108">
                  <c:v>100</c:v>
                </c:pt>
                <c:pt idx="109">
                  <c:v>76</c:v>
                </c:pt>
                <c:pt idx="110">
                  <c:v>62</c:v>
                </c:pt>
                <c:pt idx="111">
                  <c:v>91</c:v>
                </c:pt>
                <c:pt idx="112">
                  <c:v>73</c:v>
                </c:pt>
                <c:pt idx="113">
                  <c:v>75</c:v>
                </c:pt>
                <c:pt idx="114">
                  <c:v>97</c:v>
                </c:pt>
                <c:pt idx="115">
                  <c:v>95</c:v>
                </c:pt>
                <c:pt idx="116">
                  <c:v>59</c:v>
                </c:pt>
                <c:pt idx="117">
                  <c:v>96</c:v>
                </c:pt>
                <c:pt idx="118">
                  <c:v>75</c:v>
                </c:pt>
                <c:pt idx="119">
                  <c:v>73</c:v>
                </c:pt>
                <c:pt idx="120">
                  <c:v>96</c:v>
                </c:pt>
                <c:pt idx="121">
                  <c:v>81</c:v>
                </c:pt>
                <c:pt idx="122">
                  <c:v>77</c:v>
                </c:pt>
                <c:pt idx="123">
                  <c:v>88</c:v>
                </c:pt>
                <c:pt idx="124">
                  <c:v>88</c:v>
                </c:pt>
                <c:pt idx="125">
                  <c:v>92</c:v>
                </c:pt>
                <c:pt idx="126">
                  <c:v>85</c:v>
                </c:pt>
                <c:pt idx="127">
                  <c:v>63</c:v>
                </c:pt>
                <c:pt idx="128">
                  <c:v>81</c:v>
                </c:pt>
                <c:pt idx="129">
                  <c:v>87</c:v>
                </c:pt>
                <c:pt idx="130">
                  <c:v>100</c:v>
                </c:pt>
                <c:pt idx="131">
                  <c:v>76</c:v>
                </c:pt>
                <c:pt idx="132">
                  <c:v>77</c:v>
                </c:pt>
                <c:pt idx="133">
                  <c:v>86</c:v>
                </c:pt>
                <c:pt idx="134">
                  <c:v>81</c:v>
                </c:pt>
                <c:pt idx="135">
                  <c:v>95</c:v>
                </c:pt>
                <c:pt idx="136">
                  <c:v>60</c:v>
                </c:pt>
                <c:pt idx="137">
                  <c:v>81</c:v>
                </c:pt>
                <c:pt idx="138">
                  <c:v>83</c:v>
                </c:pt>
                <c:pt idx="139">
                  <c:v>80</c:v>
                </c:pt>
                <c:pt idx="140">
                  <c:v>82</c:v>
                </c:pt>
                <c:pt idx="141">
                  <c:v>76</c:v>
                </c:pt>
                <c:pt idx="142">
                  <c:v>89</c:v>
                </c:pt>
                <c:pt idx="143">
                  <c:v>70</c:v>
                </c:pt>
                <c:pt idx="144">
                  <c:v>87</c:v>
                </c:pt>
                <c:pt idx="145">
                  <c:v>65</c:v>
                </c:pt>
                <c:pt idx="146">
                  <c:v>82</c:v>
                </c:pt>
                <c:pt idx="147">
                  <c:v>47</c:v>
                </c:pt>
                <c:pt idx="148">
                  <c:v>69</c:v>
                </c:pt>
                <c:pt idx="149">
                  <c:v>69</c:v>
                </c:pt>
                <c:pt idx="150">
                  <c:v>85</c:v>
                </c:pt>
                <c:pt idx="151">
                  <c:v>76</c:v>
                </c:pt>
                <c:pt idx="152">
                  <c:v>85</c:v>
                </c:pt>
                <c:pt idx="153">
                  <c:v>76</c:v>
                </c:pt>
                <c:pt idx="154">
                  <c:v>95</c:v>
                </c:pt>
                <c:pt idx="155">
                  <c:v>88</c:v>
                </c:pt>
                <c:pt idx="156">
                  <c:v>88</c:v>
                </c:pt>
                <c:pt idx="157">
                  <c:v>89</c:v>
                </c:pt>
                <c:pt idx="158">
                  <c:v>64</c:v>
                </c:pt>
                <c:pt idx="159">
                  <c:v>74</c:v>
                </c:pt>
                <c:pt idx="160">
                  <c:v>88</c:v>
                </c:pt>
                <c:pt idx="161">
                  <c:v>77</c:v>
                </c:pt>
                <c:pt idx="162">
                  <c:v>97</c:v>
                </c:pt>
                <c:pt idx="163">
                  <c:v>90</c:v>
                </c:pt>
                <c:pt idx="164">
                  <c:v>89</c:v>
                </c:pt>
                <c:pt idx="165">
                  <c:v>85</c:v>
                </c:pt>
                <c:pt idx="166">
                  <c:v>100</c:v>
                </c:pt>
                <c:pt idx="167">
                  <c:v>82</c:v>
                </c:pt>
                <c:pt idx="168">
                  <c:v>75</c:v>
                </c:pt>
                <c:pt idx="169">
                  <c:v>78</c:v>
                </c:pt>
                <c:pt idx="170">
                  <c:v>93</c:v>
                </c:pt>
                <c:pt idx="171">
                  <c:v>72</c:v>
                </c:pt>
                <c:pt idx="172">
                  <c:v>79</c:v>
                </c:pt>
                <c:pt idx="173">
                  <c:v>83</c:v>
                </c:pt>
                <c:pt idx="174">
                  <c:v>79</c:v>
                </c:pt>
                <c:pt idx="175">
                  <c:v>90</c:v>
                </c:pt>
                <c:pt idx="176">
                  <c:v>89</c:v>
                </c:pt>
                <c:pt idx="177">
                  <c:v>82</c:v>
                </c:pt>
                <c:pt idx="178">
                  <c:v>97</c:v>
                </c:pt>
                <c:pt idx="179">
                  <c:v>74</c:v>
                </c:pt>
                <c:pt idx="180">
                  <c:v>77</c:v>
                </c:pt>
                <c:pt idx="181">
                  <c:v>77</c:v>
                </c:pt>
                <c:pt idx="182">
                  <c:v>73</c:v>
                </c:pt>
                <c:pt idx="183">
                  <c:v>84</c:v>
                </c:pt>
                <c:pt idx="184">
                  <c:v>86</c:v>
                </c:pt>
                <c:pt idx="185">
                  <c:v>96</c:v>
                </c:pt>
                <c:pt idx="186">
                  <c:v>89</c:v>
                </c:pt>
                <c:pt idx="187">
                  <c:v>83</c:v>
                </c:pt>
                <c:pt idx="188">
                  <c:v>100</c:v>
                </c:pt>
                <c:pt idx="189">
                  <c:v>67</c:v>
                </c:pt>
                <c:pt idx="190">
                  <c:v>85</c:v>
                </c:pt>
                <c:pt idx="191">
                  <c:v>100</c:v>
                </c:pt>
                <c:pt idx="192">
                  <c:v>75</c:v>
                </c:pt>
                <c:pt idx="193">
                  <c:v>81</c:v>
                </c:pt>
                <c:pt idx="194">
                  <c:v>97</c:v>
                </c:pt>
                <c:pt idx="195">
                  <c:v>80</c:v>
                </c:pt>
                <c:pt idx="196">
                  <c:v>73</c:v>
                </c:pt>
                <c:pt idx="197">
                  <c:v>92</c:v>
                </c:pt>
                <c:pt idx="198">
                  <c:v>87</c:v>
                </c:pt>
                <c:pt idx="199">
                  <c:v>93</c:v>
                </c:pt>
                <c:pt idx="200">
                  <c:v>95</c:v>
                </c:pt>
                <c:pt idx="201">
                  <c:v>76</c:v>
                </c:pt>
                <c:pt idx="202">
                  <c:v>85</c:v>
                </c:pt>
                <c:pt idx="203">
                  <c:v>77</c:v>
                </c:pt>
                <c:pt idx="204">
                  <c:v>87</c:v>
                </c:pt>
                <c:pt idx="205">
                  <c:v>61</c:v>
                </c:pt>
                <c:pt idx="206">
                  <c:v>100</c:v>
                </c:pt>
                <c:pt idx="207">
                  <c:v>91</c:v>
                </c:pt>
                <c:pt idx="208">
                  <c:v>96</c:v>
                </c:pt>
                <c:pt idx="209">
                  <c:v>73</c:v>
                </c:pt>
                <c:pt idx="210">
                  <c:v>81</c:v>
                </c:pt>
                <c:pt idx="211">
                  <c:v>82</c:v>
                </c:pt>
                <c:pt idx="212">
                  <c:v>70</c:v>
                </c:pt>
                <c:pt idx="213">
                  <c:v>79</c:v>
                </c:pt>
                <c:pt idx="214">
                  <c:v>85</c:v>
                </c:pt>
                <c:pt idx="215">
                  <c:v>75</c:v>
                </c:pt>
                <c:pt idx="216">
                  <c:v>91</c:v>
                </c:pt>
                <c:pt idx="217">
                  <c:v>93</c:v>
                </c:pt>
                <c:pt idx="218">
                  <c:v>87</c:v>
                </c:pt>
                <c:pt idx="219">
                  <c:v>100</c:v>
                </c:pt>
                <c:pt idx="220">
                  <c:v>84</c:v>
                </c:pt>
                <c:pt idx="221">
                  <c:v>72</c:v>
                </c:pt>
                <c:pt idx="222">
                  <c:v>71</c:v>
                </c:pt>
                <c:pt idx="223">
                  <c:v>90</c:v>
                </c:pt>
                <c:pt idx="224">
                  <c:v>81</c:v>
                </c:pt>
                <c:pt idx="225">
                  <c:v>67</c:v>
                </c:pt>
                <c:pt idx="226">
                  <c:v>82</c:v>
                </c:pt>
                <c:pt idx="227">
                  <c:v>90</c:v>
                </c:pt>
                <c:pt idx="228">
                  <c:v>100</c:v>
                </c:pt>
                <c:pt idx="229">
                  <c:v>83</c:v>
                </c:pt>
                <c:pt idx="230">
                  <c:v>98</c:v>
                </c:pt>
                <c:pt idx="231">
                  <c:v>92</c:v>
                </c:pt>
                <c:pt idx="232">
                  <c:v>82</c:v>
                </c:pt>
                <c:pt idx="233">
                  <c:v>100</c:v>
                </c:pt>
                <c:pt idx="234">
                  <c:v>80</c:v>
                </c:pt>
                <c:pt idx="235">
                  <c:v>86</c:v>
                </c:pt>
                <c:pt idx="236">
                  <c:v>100</c:v>
                </c:pt>
                <c:pt idx="237">
                  <c:v>84</c:v>
                </c:pt>
                <c:pt idx="238">
                  <c:v>100</c:v>
                </c:pt>
                <c:pt idx="239">
                  <c:v>85</c:v>
                </c:pt>
                <c:pt idx="240">
                  <c:v>81</c:v>
                </c:pt>
                <c:pt idx="241">
                  <c:v>85</c:v>
                </c:pt>
                <c:pt idx="242">
                  <c:v>69</c:v>
                </c:pt>
                <c:pt idx="243">
                  <c:v>92</c:v>
                </c:pt>
                <c:pt idx="244">
                  <c:v>76</c:v>
                </c:pt>
                <c:pt idx="245">
                  <c:v>100</c:v>
                </c:pt>
                <c:pt idx="246">
                  <c:v>92</c:v>
                </c:pt>
                <c:pt idx="247">
                  <c:v>77</c:v>
                </c:pt>
                <c:pt idx="248">
                  <c:v>83</c:v>
                </c:pt>
                <c:pt idx="249">
                  <c:v>67</c:v>
                </c:pt>
                <c:pt idx="250">
                  <c:v>88</c:v>
                </c:pt>
                <c:pt idx="251">
                  <c:v>91</c:v>
                </c:pt>
                <c:pt idx="252">
                  <c:v>76</c:v>
                </c:pt>
                <c:pt idx="253">
                  <c:v>88</c:v>
                </c:pt>
                <c:pt idx="254">
                  <c:v>88</c:v>
                </c:pt>
                <c:pt idx="255">
                  <c:v>97</c:v>
                </c:pt>
                <c:pt idx="256">
                  <c:v>87</c:v>
                </c:pt>
                <c:pt idx="257">
                  <c:v>64</c:v>
                </c:pt>
                <c:pt idx="258">
                  <c:v>73</c:v>
                </c:pt>
                <c:pt idx="259">
                  <c:v>94</c:v>
                </c:pt>
                <c:pt idx="260">
                  <c:v>71</c:v>
                </c:pt>
                <c:pt idx="261">
                  <c:v>80</c:v>
                </c:pt>
                <c:pt idx="262">
                  <c:v>81</c:v>
                </c:pt>
                <c:pt idx="263">
                  <c:v>91</c:v>
                </c:pt>
                <c:pt idx="264">
                  <c:v>98</c:v>
                </c:pt>
                <c:pt idx="265">
                  <c:v>100</c:v>
                </c:pt>
                <c:pt idx="266">
                  <c:v>82</c:v>
                </c:pt>
                <c:pt idx="267">
                  <c:v>84</c:v>
                </c:pt>
                <c:pt idx="268">
                  <c:v>100</c:v>
                </c:pt>
                <c:pt idx="269">
                  <c:v>80</c:v>
                </c:pt>
                <c:pt idx="270">
                  <c:v>75</c:v>
                </c:pt>
                <c:pt idx="271">
                  <c:v>78</c:v>
                </c:pt>
                <c:pt idx="272">
                  <c:v>65</c:v>
                </c:pt>
                <c:pt idx="273">
                  <c:v>98</c:v>
                </c:pt>
                <c:pt idx="274">
                  <c:v>74</c:v>
                </c:pt>
                <c:pt idx="275">
                  <c:v>76</c:v>
                </c:pt>
                <c:pt idx="276">
                  <c:v>76</c:v>
                </c:pt>
                <c:pt idx="277">
                  <c:v>88</c:v>
                </c:pt>
                <c:pt idx="278">
                  <c:v>94</c:v>
                </c:pt>
                <c:pt idx="279">
                  <c:v>59</c:v>
                </c:pt>
                <c:pt idx="280">
                  <c:v>81</c:v>
                </c:pt>
                <c:pt idx="281">
                  <c:v>85</c:v>
                </c:pt>
                <c:pt idx="282">
                  <c:v>70</c:v>
                </c:pt>
                <c:pt idx="283">
                  <c:v>82</c:v>
                </c:pt>
                <c:pt idx="284">
                  <c:v>83</c:v>
                </c:pt>
                <c:pt idx="285">
                  <c:v>70</c:v>
                </c:pt>
                <c:pt idx="286">
                  <c:v>69</c:v>
                </c:pt>
                <c:pt idx="287">
                  <c:v>62</c:v>
                </c:pt>
                <c:pt idx="288">
                  <c:v>72</c:v>
                </c:pt>
                <c:pt idx="289">
                  <c:v>74</c:v>
                </c:pt>
                <c:pt idx="290">
                  <c:v>95</c:v>
                </c:pt>
                <c:pt idx="291">
                  <c:v>100</c:v>
                </c:pt>
                <c:pt idx="292">
                  <c:v>85</c:v>
                </c:pt>
                <c:pt idx="293">
                  <c:v>94</c:v>
                </c:pt>
                <c:pt idx="294">
                  <c:v>100</c:v>
                </c:pt>
                <c:pt idx="295">
                  <c:v>82</c:v>
                </c:pt>
                <c:pt idx="296">
                  <c:v>71</c:v>
                </c:pt>
                <c:pt idx="297">
                  <c:v>90</c:v>
                </c:pt>
                <c:pt idx="298">
                  <c:v>69</c:v>
                </c:pt>
                <c:pt idx="299">
                  <c:v>82</c:v>
                </c:pt>
                <c:pt idx="300">
                  <c:v>81</c:v>
                </c:pt>
                <c:pt idx="301">
                  <c:v>82</c:v>
                </c:pt>
                <c:pt idx="302">
                  <c:v>91</c:v>
                </c:pt>
                <c:pt idx="303">
                  <c:v>82</c:v>
                </c:pt>
                <c:pt idx="304">
                  <c:v>83</c:v>
                </c:pt>
                <c:pt idx="305">
                  <c:v>81</c:v>
                </c:pt>
                <c:pt idx="306">
                  <c:v>87</c:v>
                </c:pt>
                <c:pt idx="307">
                  <c:v>73</c:v>
                </c:pt>
                <c:pt idx="308">
                  <c:v>85</c:v>
                </c:pt>
                <c:pt idx="309">
                  <c:v>83</c:v>
                </c:pt>
                <c:pt idx="310">
                  <c:v>83</c:v>
                </c:pt>
                <c:pt idx="311">
                  <c:v>63</c:v>
                </c:pt>
                <c:pt idx="312">
                  <c:v>100</c:v>
                </c:pt>
                <c:pt idx="313">
                  <c:v>79</c:v>
                </c:pt>
                <c:pt idx="314">
                  <c:v>100</c:v>
                </c:pt>
                <c:pt idx="315">
                  <c:v>100</c:v>
                </c:pt>
                <c:pt idx="316">
                  <c:v>73</c:v>
                </c:pt>
                <c:pt idx="317">
                  <c:v>79</c:v>
                </c:pt>
                <c:pt idx="318">
                  <c:v>84</c:v>
                </c:pt>
                <c:pt idx="319">
                  <c:v>81</c:v>
                </c:pt>
                <c:pt idx="320">
                  <c:v>85</c:v>
                </c:pt>
                <c:pt idx="321">
                  <c:v>93</c:v>
                </c:pt>
                <c:pt idx="322">
                  <c:v>74</c:v>
                </c:pt>
                <c:pt idx="323">
                  <c:v>91</c:v>
                </c:pt>
                <c:pt idx="324">
                  <c:v>81</c:v>
                </c:pt>
                <c:pt idx="325">
                  <c:v>89</c:v>
                </c:pt>
                <c:pt idx="326">
                  <c:v>64</c:v>
                </c:pt>
                <c:pt idx="327">
                  <c:v>83</c:v>
                </c:pt>
                <c:pt idx="328">
                  <c:v>64</c:v>
                </c:pt>
                <c:pt idx="329">
                  <c:v>97</c:v>
                </c:pt>
                <c:pt idx="330">
                  <c:v>97</c:v>
                </c:pt>
                <c:pt idx="331">
                  <c:v>93</c:v>
                </c:pt>
                <c:pt idx="332">
                  <c:v>83</c:v>
                </c:pt>
                <c:pt idx="333">
                  <c:v>81</c:v>
                </c:pt>
                <c:pt idx="334">
                  <c:v>89</c:v>
                </c:pt>
                <c:pt idx="335">
                  <c:v>71</c:v>
                </c:pt>
                <c:pt idx="336">
                  <c:v>87</c:v>
                </c:pt>
                <c:pt idx="337">
                  <c:v>95</c:v>
                </c:pt>
                <c:pt idx="338">
                  <c:v>76</c:v>
                </c:pt>
                <c:pt idx="339">
                  <c:v>85</c:v>
                </c:pt>
                <c:pt idx="340">
                  <c:v>96</c:v>
                </c:pt>
                <c:pt idx="341">
                  <c:v>100</c:v>
                </c:pt>
                <c:pt idx="342">
                  <c:v>92</c:v>
                </c:pt>
                <c:pt idx="343">
                  <c:v>77</c:v>
                </c:pt>
                <c:pt idx="344">
                  <c:v>98</c:v>
                </c:pt>
                <c:pt idx="345">
                  <c:v>71</c:v>
                </c:pt>
                <c:pt idx="346">
                  <c:v>87</c:v>
                </c:pt>
                <c:pt idx="347">
                  <c:v>69</c:v>
                </c:pt>
                <c:pt idx="348">
                  <c:v>90</c:v>
                </c:pt>
                <c:pt idx="349">
                  <c:v>74</c:v>
                </c:pt>
                <c:pt idx="350">
                  <c:v>75</c:v>
                </c:pt>
                <c:pt idx="351">
                  <c:v>87</c:v>
                </c:pt>
                <c:pt idx="352">
                  <c:v>100</c:v>
                </c:pt>
                <c:pt idx="353">
                  <c:v>94</c:v>
                </c:pt>
                <c:pt idx="354">
                  <c:v>72</c:v>
                </c:pt>
                <c:pt idx="355">
                  <c:v>76</c:v>
                </c:pt>
                <c:pt idx="356">
                  <c:v>81</c:v>
                </c:pt>
                <c:pt idx="357">
                  <c:v>85</c:v>
                </c:pt>
                <c:pt idx="358">
                  <c:v>82</c:v>
                </c:pt>
                <c:pt idx="359">
                  <c:v>78</c:v>
                </c:pt>
                <c:pt idx="360">
                  <c:v>94</c:v>
                </c:pt>
                <c:pt idx="361">
                  <c:v>95</c:v>
                </c:pt>
                <c:pt idx="362">
                  <c:v>67</c:v>
                </c:pt>
                <c:pt idx="363">
                  <c:v>76</c:v>
                </c:pt>
                <c:pt idx="364">
                  <c:v>57</c:v>
                </c:pt>
                <c:pt idx="365">
                  <c:v>75</c:v>
                </c:pt>
                <c:pt idx="366">
                  <c:v>81</c:v>
                </c:pt>
                <c:pt idx="367">
                  <c:v>75</c:v>
                </c:pt>
                <c:pt idx="368">
                  <c:v>68</c:v>
                </c:pt>
                <c:pt idx="369">
                  <c:v>97</c:v>
                </c:pt>
                <c:pt idx="370">
                  <c:v>80</c:v>
                </c:pt>
                <c:pt idx="371">
                  <c:v>83</c:v>
                </c:pt>
                <c:pt idx="372">
                  <c:v>88</c:v>
                </c:pt>
                <c:pt idx="373">
                  <c:v>86</c:v>
                </c:pt>
                <c:pt idx="374">
                  <c:v>92</c:v>
                </c:pt>
                <c:pt idx="375">
                  <c:v>85</c:v>
                </c:pt>
                <c:pt idx="376">
                  <c:v>99</c:v>
                </c:pt>
                <c:pt idx="377">
                  <c:v>74</c:v>
                </c:pt>
                <c:pt idx="378">
                  <c:v>93</c:v>
                </c:pt>
                <c:pt idx="379">
                  <c:v>79</c:v>
                </c:pt>
                <c:pt idx="380">
                  <c:v>77</c:v>
                </c:pt>
                <c:pt idx="381">
                  <c:v>100</c:v>
                </c:pt>
                <c:pt idx="382">
                  <c:v>77</c:v>
                </c:pt>
                <c:pt idx="383">
                  <c:v>100</c:v>
                </c:pt>
                <c:pt idx="384">
                  <c:v>89</c:v>
                </c:pt>
                <c:pt idx="385">
                  <c:v>79</c:v>
                </c:pt>
                <c:pt idx="386">
                  <c:v>79</c:v>
                </c:pt>
                <c:pt idx="387">
                  <c:v>100</c:v>
                </c:pt>
                <c:pt idx="388">
                  <c:v>87</c:v>
                </c:pt>
                <c:pt idx="389">
                  <c:v>70</c:v>
                </c:pt>
                <c:pt idx="390">
                  <c:v>86</c:v>
                </c:pt>
                <c:pt idx="391">
                  <c:v>87</c:v>
                </c:pt>
                <c:pt idx="392">
                  <c:v>72</c:v>
                </c:pt>
                <c:pt idx="393">
                  <c:v>92</c:v>
                </c:pt>
                <c:pt idx="394">
                  <c:v>68</c:v>
                </c:pt>
                <c:pt idx="395">
                  <c:v>73</c:v>
                </c:pt>
                <c:pt idx="396">
                  <c:v>76</c:v>
                </c:pt>
                <c:pt idx="397">
                  <c:v>81</c:v>
                </c:pt>
                <c:pt idx="398">
                  <c:v>90</c:v>
                </c:pt>
                <c:pt idx="399">
                  <c:v>73</c:v>
                </c:pt>
                <c:pt idx="400">
                  <c:v>85</c:v>
                </c:pt>
                <c:pt idx="401">
                  <c:v>96</c:v>
                </c:pt>
                <c:pt idx="402">
                  <c:v>82</c:v>
                </c:pt>
                <c:pt idx="403">
                  <c:v>87</c:v>
                </c:pt>
                <c:pt idx="404">
                  <c:v>85</c:v>
                </c:pt>
                <c:pt idx="405">
                  <c:v>93</c:v>
                </c:pt>
                <c:pt idx="406">
                  <c:v>79</c:v>
                </c:pt>
                <c:pt idx="407">
                  <c:v>90</c:v>
                </c:pt>
                <c:pt idx="408">
                  <c:v>80</c:v>
                </c:pt>
                <c:pt idx="409">
                  <c:v>78</c:v>
                </c:pt>
                <c:pt idx="410">
                  <c:v>70</c:v>
                </c:pt>
                <c:pt idx="411">
                  <c:v>90</c:v>
                </c:pt>
                <c:pt idx="412">
                  <c:v>87</c:v>
                </c:pt>
                <c:pt idx="413">
                  <c:v>94</c:v>
                </c:pt>
                <c:pt idx="414">
                  <c:v>83</c:v>
                </c:pt>
                <c:pt idx="415">
                  <c:v>81</c:v>
                </c:pt>
                <c:pt idx="416">
                  <c:v>76</c:v>
                </c:pt>
                <c:pt idx="417">
                  <c:v>85</c:v>
                </c:pt>
                <c:pt idx="418">
                  <c:v>79</c:v>
                </c:pt>
                <c:pt idx="419">
                  <c:v>73</c:v>
                </c:pt>
                <c:pt idx="420">
                  <c:v>70</c:v>
                </c:pt>
                <c:pt idx="421">
                  <c:v>90</c:v>
                </c:pt>
                <c:pt idx="422">
                  <c:v>77</c:v>
                </c:pt>
                <c:pt idx="423">
                  <c:v>65</c:v>
                </c:pt>
                <c:pt idx="424">
                  <c:v>82</c:v>
                </c:pt>
                <c:pt idx="425">
                  <c:v>86</c:v>
                </c:pt>
                <c:pt idx="426">
                  <c:v>100</c:v>
                </c:pt>
                <c:pt idx="427">
                  <c:v>100</c:v>
                </c:pt>
                <c:pt idx="428">
                  <c:v>100</c:v>
                </c:pt>
                <c:pt idx="429">
                  <c:v>72</c:v>
                </c:pt>
                <c:pt idx="430">
                  <c:v>81</c:v>
                </c:pt>
                <c:pt idx="431">
                  <c:v>100</c:v>
                </c:pt>
                <c:pt idx="432">
                  <c:v>80</c:v>
                </c:pt>
                <c:pt idx="433">
                  <c:v>89</c:v>
                </c:pt>
                <c:pt idx="434">
                  <c:v>78</c:v>
                </c:pt>
                <c:pt idx="435">
                  <c:v>93</c:v>
                </c:pt>
                <c:pt idx="436">
                  <c:v>100</c:v>
                </c:pt>
                <c:pt idx="437">
                  <c:v>77</c:v>
                </c:pt>
                <c:pt idx="438">
                  <c:v>79</c:v>
                </c:pt>
                <c:pt idx="439">
                  <c:v>100</c:v>
                </c:pt>
                <c:pt idx="440">
                  <c:v>99</c:v>
                </c:pt>
                <c:pt idx="441">
                  <c:v>88</c:v>
                </c:pt>
                <c:pt idx="442">
                  <c:v>85</c:v>
                </c:pt>
                <c:pt idx="443">
                  <c:v>86</c:v>
                </c:pt>
                <c:pt idx="444">
                  <c:v>81</c:v>
                </c:pt>
                <c:pt idx="445">
                  <c:v>80</c:v>
                </c:pt>
                <c:pt idx="446">
                  <c:v>79</c:v>
                </c:pt>
                <c:pt idx="447">
                  <c:v>87</c:v>
                </c:pt>
                <c:pt idx="448">
                  <c:v>91</c:v>
                </c:pt>
                <c:pt idx="449">
                  <c:v>65</c:v>
                </c:pt>
                <c:pt idx="450">
                  <c:v>78</c:v>
                </c:pt>
                <c:pt idx="451">
                  <c:v>82</c:v>
                </c:pt>
                <c:pt idx="452">
                  <c:v>93</c:v>
                </c:pt>
                <c:pt idx="453">
                  <c:v>85</c:v>
                </c:pt>
                <c:pt idx="454">
                  <c:v>81</c:v>
                </c:pt>
                <c:pt idx="455">
                  <c:v>73</c:v>
                </c:pt>
                <c:pt idx="456">
                  <c:v>69</c:v>
                </c:pt>
                <c:pt idx="457">
                  <c:v>90</c:v>
                </c:pt>
                <c:pt idx="458">
                  <c:v>83</c:v>
                </c:pt>
                <c:pt idx="459">
                  <c:v>87</c:v>
                </c:pt>
                <c:pt idx="460">
                  <c:v>98</c:v>
                </c:pt>
                <c:pt idx="461">
                  <c:v>100</c:v>
                </c:pt>
                <c:pt idx="462">
                  <c:v>95</c:v>
                </c:pt>
                <c:pt idx="463">
                  <c:v>94</c:v>
                </c:pt>
                <c:pt idx="464">
                  <c:v>63</c:v>
                </c:pt>
                <c:pt idx="465">
                  <c:v>100</c:v>
                </c:pt>
                <c:pt idx="466">
                  <c:v>77</c:v>
                </c:pt>
                <c:pt idx="467">
                  <c:v>89</c:v>
                </c:pt>
                <c:pt idx="468">
                  <c:v>100</c:v>
                </c:pt>
                <c:pt idx="469">
                  <c:v>90</c:v>
                </c:pt>
                <c:pt idx="470">
                  <c:v>88</c:v>
                </c:pt>
                <c:pt idx="471">
                  <c:v>68</c:v>
                </c:pt>
                <c:pt idx="472">
                  <c:v>82</c:v>
                </c:pt>
                <c:pt idx="473">
                  <c:v>94</c:v>
                </c:pt>
                <c:pt idx="474">
                  <c:v>91</c:v>
                </c:pt>
                <c:pt idx="475">
                  <c:v>85</c:v>
                </c:pt>
                <c:pt idx="476">
                  <c:v>100</c:v>
                </c:pt>
                <c:pt idx="477">
                  <c:v>100</c:v>
                </c:pt>
                <c:pt idx="478">
                  <c:v>87</c:v>
                </c:pt>
                <c:pt idx="479">
                  <c:v>85</c:v>
                </c:pt>
                <c:pt idx="480">
                  <c:v>90</c:v>
                </c:pt>
                <c:pt idx="481">
                  <c:v>92</c:v>
                </c:pt>
                <c:pt idx="482">
                  <c:v>87</c:v>
                </c:pt>
                <c:pt idx="483">
                  <c:v>100</c:v>
                </c:pt>
                <c:pt idx="484">
                  <c:v>76</c:v>
                </c:pt>
                <c:pt idx="485">
                  <c:v>87</c:v>
                </c:pt>
                <c:pt idx="486">
                  <c:v>67</c:v>
                </c:pt>
                <c:pt idx="487">
                  <c:v>74</c:v>
                </c:pt>
                <c:pt idx="488">
                  <c:v>100</c:v>
                </c:pt>
                <c:pt idx="489">
                  <c:v>100</c:v>
                </c:pt>
                <c:pt idx="490">
                  <c:v>74</c:v>
                </c:pt>
                <c:pt idx="491">
                  <c:v>71</c:v>
                </c:pt>
                <c:pt idx="492">
                  <c:v>67</c:v>
                </c:pt>
                <c:pt idx="493">
                  <c:v>82</c:v>
                </c:pt>
                <c:pt idx="494">
                  <c:v>89</c:v>
                </c:pt>
                <c:pt idx="495">
                  <c:v>79</c:v>
                </c:pt>
                <c:pt idx="496">
                  <c:v>71</c:v>
                </c:pt>
                <c:pt idx="497">
                  <c:v>85</c:v>
                </c:pt>
                <c:pt idx="498">
                  <c:v>62</c:v>
                </c:pt>
                <c:pt idx="499">
                  <c:v>100</c:v>
                </c:pt>
                <c:pt idx="500">
                  <c:v>76</c:v>
                </c:pt>
                <c:pt idx="501">
                  <c:v>90</c:v>
                </c:pt>
                <c:pt idx="502">
                  <c:v>93</c:v>
                </c:pt>
                <c:pt idx="503">
                  <c:v>89</c:v>
                </c:pt>
                <c:pt idx="504">
                  <c:v>99</c:v>
                </c:pt>
                <c:pt idx="505">
                  <c:v>100</c:v>
                </c:pt>
                <c:pt idx="506">
                  <c:v>75</c:v>
                </c:pt>
                <c:pt idx="507">
                  <c:v>73</c:v>
                </c:pt>
                <c:pt idx="508">
                  <c:v>76</c:v>
                </c:pt>
                <c:pt idx="509">
                  <c:v>100</c:v>
                </c:pt>
                <c:pt idx="510">
                  <c:v>80</c:v>
                </c:pt>
                <c:pt idx="511">
                  <c:v>88</c:v>
                </c:pt>
                <c:pt idx="512">
                  <c:v>89</c:v>
                </c:pt>
                <c:pt idx="513">
                  <c:v>78</c:v>
                </c:pt>
                <c:pt idx="514">
                  <c:v>97</c:v>
                </c:pt>
                <c:pt idx="515">
                  <c:v>79</c:v>
                </c:pt>
                <c:pt idx="516">
                  <c:v>84</c:v>
                </c:pt>
                <c:pt idx="517">
                  <c:v>86</c:v>
                </c:pt>
                <c:pt idx="518">
                  <c:v>68</c:v>
                </c:pt>
                <c:pt idx="519">
                  <c:v>81</c:v>
                </c:pt>
                <c:pt idx="520">
                  <c:v>65</c:v>
                </c:pt>
                <c:pt idx="521">
                  <c:v>72</c:v>
                </c:pt>
                <c:pt idx="522">
                  <c:v>85</c:v>
                </c:pt>
                <c:pt idx="523">
                  <c:v>100</c:v>
                </c:pt>
                <c:pt idx="524">
                  <c:v>82</c:v>
                </c:pt>
                <c:pt idx="525">
                  <c:v>87</c:v>
                </c:pt>
                <c:pt idx="526">
                  <c:v>85</c:v>
                </c:pt>
                <c:pt idx="527">
                  <c:v>96</c:v>
                </c:pt>
                <c:pt idx="528">
                  <c:v>84</c:v>
                </c:pt>
                <c:pt idx="529">
                  <c:v>85</c:v>
                </c:pt>
                <c:pt idx="530">
                  <c:v>95</c:v>
                </c:pt>
                <c:pt idx="531">
                  <c:v>90</c:v>
                </c:pt>
                <c:pt idx="532">
                  <c:v>69</c:v>
                </c:pt>
                <c:pt idx="533">
                  <c:v>93</c:v>
                </c:pt>
                <c:pt idx="534">
                  <c:v>81</c:v>
                </c:pt>
                <c:pt idx="535">
                  <c:v>78</c:v>
                </c:pt>
                <c:pt idx="536">
                  <c:v>88</c:v>
                </c:pt>
                <c:pt idx="537">
                  <c:v>86</c:v>
                </c:pt>
                <c:pt idx="538">
                  <c:v>100</c:v>
                </c:pt>
                <c:pt idx="539">
                  <c:v>57</c:v>
                </c:pt>
                <c:pt idx="540">
                  <c:v>76</c:v>
                </c:pt>
                <c:pt idx="541">
                  <c:v>87</c:v>
                </c:pt>
                <c:pt idx="542">
                  <c:v>89</c:v>
                </c:pt>
                <c:pt idx="543">
                  <c:v>92</c:v>
                </c:pt>
                <c:pt idx="544">
                  <c:v>66</c:v>
                </c:pt>
                <c:pt idx="545">
                  <c:v>100</c:v>
                </c:pt>
                <c:pt idx="546">
                  <c:v>71</c:v>
                </c:pt>
                <c:pt idx="547">
                  <c:v>89</c:v>
                </c:pt>
                <c:pt idx="548">
                  <c:v>100</c:v>
                </c:pt>
                <c:pt idx="549">
                  <c:v>85</c:v>
                </c:pt>
                <c:pt idx="550">
                  <c:v>75</c:v>
                </c:pt>
                <c:pt idx="551">
                  <c:v>100</c:v>
                </c:pt>
                <c:pt idx="552">
                  <c:v>79</c:v>
                </c:pt>
                <c:pt idx="553">
                  <c:v>83</c:v>
                </c:pt>
                <c:pt idx="554">
                  <c:v>63</c:v>
                </c:pt>
                <c:pt idx="555">
                  <c:v>81</c:v>
                </c:pt>
                <c:pt idx="556">
                  <c:v>81</c:v>
                </c:pt>
                <c:pt idx="557">
                  <c:v>73</c:v>
                </c:pt>
                <c:pt idx="558">
                  <c:v>100</c:v>
                </c:pt>
                <c:pt idx="559">
                  <c:v>74</c:v>
                </c:pt>
                <c:pt idx="560">
                  <c:v>68</c:v>
                </c:pt>
                <c:pt idx="561">
                  <c:v>84</c:v>
                </c:pt>
                <c:pt idx="562">
                  <c:v>75</c:v>
                </c:pt>
                <c:pt idx="563">
                  <c:v>79</c:v>
                </c:pt>
                <c:pt idx="564">
                  <c:v>83</c:v>
                </c:pt>
                <c:pt idx="565">
                  <c:v>100</c:v>
                </c:pt>
                <c:pt idx="566">
                  <c:v>93</c:v>
                </c:pt>
                <c:pt idx="567">
                  <c:v>99</c:v>
                </c:pt>
                <c:pt idx="568">
                  <c:v>76</c:v>
                </c:pt>
                <c:pt idx="569">
                  <c:v>91</c:v>
                </c:pt>
                <c:pt idx="570">
                  <c:v>63</c:v>
                </c:pt>
                <c:pt idx="571">
                  <c:v>85</c:v>
                </c:pt>
                <c:pt idx="572">
                  <c:v>89</c:v>
                </c:pt>
                <c:pt idx="573">
                  <c:v>75</c:v>
                </c:pt>
                <c:pt idx="574">
                  <c:v>85</c:v>
                </c:pt>
                <c:pt idx="575">
                  <c:v>81</c:v>
                </c:pt>
                <c:pt idx="576">
                  <c:v>76</c:v>
                </c:pt>
                <c:pt idx="577">
                  <c:v>96</c:v>
                </c:pt>
                <c:pt idx="578">
                  <c:v>83</c:v>
                </c:pt>
                <c:pt idx="579">
                  <c:v>96</c:v>
                </c:pt>
                <c:pt idx="580">
                  <c:v>70</c:v>
                </c:pt>
                <c:pt idx="581">
                  <c:v>83</c:v>
                </c:pt>
                <c:pt idx="582">
                  <c:v>77</c:v>
                </c:pt>
                <c:pt idx="583">
                  <c:v>68</c:v>
                </c:pt>
                <c:pt idx="584">
                  <c:v>85</c:v>
                </c:pt>
                <c:pt idx="585">
                  <c:v>68</c:v>
                </c:pt>
                <c:pt idx="586">
                  <c:v>89</c:v>
                </c:pt>
                <c:pt idx="587">
                  <c:v>85</c:v>
                </c:pt>
                <c:pt idx="588">
                  <c:v>77</c:v>
                </c:pt>
                <c:pt idx="589">
                  <c:v>72</c:v>
                </c:pt>
                <c:pt idx="590">
                  <c:v>89</c:v>
                </c:pt>
                <c:pt idx="591">
                  <c:v>63</c:v>
                </c:pt>
                <c:pt idx="592">
                  <c:v>73</c:v>
                </c:pt>
                <c:pt idx="593">
                  <c:v>87</c:v>
                </c:pt>
                <c:pt idx="594">
                  <c:v>89</c:v>
                </c:pt>
                <c:pt idx="595">
                  <c:v>80</c:v>
                </c:pt>
                <c:pt idx="596">
                  <c:v>80</c:v>
                </c:pt>
                <c:pt idx="597">
                  <c:v>81</c:v>
                </c:pt>
                <c:pt idx="598">
                  <c:v>86</c:v>
                </c:pt>
                <c:pt idx="599">
                  <c:v>86</c:v>
                </c:pt>
                <c:pt idx="600">
                  <c:v>93</c:v>
                </c:pt>
                <c:pt idx="601">
                  <c:v>95</c:v>
                </c:pt>
                <c:pt idx="602">
                  <c:v>84</c:v>
                </c:pt>
                <c:pt idx="603">
                  <c:v>100</c:v>
                </c:pt>
                <c:pt idx="604">
                  <c:v>81</c:v>
                </c:pt>
                <c:pt idx="605">
                  <c:v>76</c:v>
                </c:pt>
                <c:pt idx="606">
                  <c:v>74</c:v>
                </c:pt>
                <c:pt idx="607">
                  <c:v>84</c:v>
                </c:pt>
                <c:pt idx="608">
                  <c:v>59</c:v>
                </c:pt>
                <c:pt idx="609">
                  <c:v>96</c:v>
                </c:pt>
                <c:pt idx="610">
                  <c:v>79</c:v>
                </c:pt>
                <c:pt idx="611">
                  <c:v>80</c:v>
                </c:pt>
                <c:pt idx="612">
                  <c:v>70</c:v>
                </c:pt>
                <c:pt idx="613">
                  <c:v>75</c:v>
                </c:pt>
                <c:pt idx="614">
                  <c:v>95</c:v>
                </c:pt>
                <c:pt idx="615">
                  <c:v>92</c:v>
                </c:pt>
                <c:pt idx="616">
                  <c:v>86</c:v>
                </c:pt>
                <c:pt idx="617">
                  <c:v>79</c:v>
                </c:pt>
                <c:pt idx="618">
                  <c:v>92</c:v>
                </c:pt>
                <c:pt idx="619">
                  <c:v>80</c:v>
                </c:pt>
                <c:pt idx="620">
                  <c:v>98</c:v>
                </c:pt>
                <c:pt idx="621">
                  <c:v>79</c:v>
                </c:pt>
                <c:pt idx="622">
                  <c:v>90</c:v>
                </c:pt>
                <c:pt idx="623">
                  <c:v>76</c:v>
                </c:pt>
                <c:pt idx="624">
                  <c:v>90</c:v>
                </c:pt>
                <c:pt idx="625">
                  <c:v>71</c:v>
                </c:pt>
                <c:pt idx="626">
                  <c:v>97</c:v>
                </c:pt>
                <c:pt idx="627">
                  <c:v>62</c:v>
                </c:pt>
                <c:pt idx="628">
                  <c:v>94</c:v>
                </c:pt>
                <c:pt idx="629">
                  <c:v>81</c:v>
                </c:pt>
                <c:pt idx="630">
                  <c:v>78</c:v>
                </c:pt>
                <c:pt idx="631">
                  <c:v>71</c:v>
                </c:pt>
                <c:pt idx="632">
                  <c:v>89</c:v>
                </c:pt>
                <c:pt idx="633">
                  <c:v>74</c:v>
                </c:pt>
                <c:pt idx="634">
                  <c:v>76</c:v>
                </c:pt>
                <c:pt idx="635">
                  <c:v>96</c:v>
                </c:pt>
                <c:pt idx="636">
                  <c:v>100</c:v>
                </c:pt>
                <c:pt idx="637">
                  <c:v>100</c:v>
                </c:pt>
                <c:pt idx="638">
                  <c:v>84</c:v>
                </c:pt>
                <c:pt idx="639">
                  <c:v>79</c:v>
                </c:pt>
                <c:pt idx="640">
                  <c:v>86</c:v>
                </c:pt>
                <c:pt idx="641">
                  <c:v>98</c:v>
                </c:pt>
                <c:pt idx="642">
                  <c:v>91</c:v>
                </c:pt>
                <c:pt idx="643">
                  <c:v>70</c:v>
                </c:pt>
                <c:pt idx="644">
                  <c:v>83</c:v>
                </c:pt>
                <c:pt idx="645">
                  <c:v>76</c:v>
                </c:pt>
                <c:pt idx="646">
                  <c:v>100</c:v>
                </c:pt>
                <c:pt idx="647">
                  <c:v>94</c:v>
                </c:pt>
                <c:pt idx="648">
                  <c:v>89</c:v>
                </c:pt>
                <c:pt idx="649">
                  <c:v>97</c:v>
                </c:pt>
                <c:pt idx="650">
                  <c:v>60</c:v>
                </c:pt>
                <c:pt idx="651">
                  <c:v>73</c:v>
                </c:pt>
                <c:pt idx="652">
                  <c:v>88</c:v>
                </c:pt>
                <c:pt idx="653">
                  <c:v>75</c:v>
                </c:pt>
                <c:pt idx="654">
                  <c:v>90</c:v>
                </c:pt>
                <c:pt idx="655">
                  <c:v>73</c:v>
                </c:pt>
                <c:pt idx="656">
                  <c:v>84</c:v>
                </c:pt>
                <c:pt idx="657">
                  <c:v>100</c:v>
                </c:pt>
                <c:pt idx="658">
                  <c:v>84</c:v>
                </c:pt>
                <c:pt idx="659">
                  <c:v>85</c:v>
                </c:pt>
                <c:pt idx="660">
                  <c:v>95</c:v>
                </c:pt>
                <c:pt idx="661">
                  <c:v>69</c:v>
                </c:pt>
                <c:pt idx="662">
                  <c:v>94</c:v>
                </c:pt>
                <c:pt idx="663">
                  <c:v>100</c:v>
                </c:pt>
                <c:pt idx="664">
                  <c:v>86</c:v>
                </c:pt>
                <c:pt idx="665">
                  <c:v>92</c:v>
                </c:pt>
                <c:pt idx="666">
                  <c:v>92</c:v>
                </c:pt>
                <c:pt idx="667">
                  <c:v>96</c:v>
                </c:pt>
                <c:pt idx="668">
                  <c:v>98</c:v>
                </c:pt>
                <c:pt idx="669">
                  <c:v>66</c:v>
                </c:pt>
                <c:pt idx="670">
                  <c:v>61</c:v>
                </c:pt>
                <c:pt idx="671">
                  <c:v>100</c:v>
                </c:pt>
                <c:pt idx="672">
                  <c:v>85</c:v>
                </c:pt>
                <c:pt idx="673">
                  <c:v>73</c:v>
                </c:pt>
                <c:pt idx="674">
                  <c:v>84</c:v>
                </c:pt>
                <c:pt idx="675">
                  <c:v>61</c:v>
                </c:pt>
                <c:pt idx="676">
                  <c:v>91</c:v>
                </c:pt>
                <c:pt idx="677">
                  <c:v>68</c:v>
                </c:pt>
                <c:pt idx="678">
                  <c:v>64</c:v>
                </c:pt>
                <c:pt idx="679">
                  <c:v>84</c:v>
                </c:pt>
                <c:pt idx="680">
                  <c:v>86</c:v>
                </c:pt>
                <c:pt idx="681">
                  <c:v>94</c:v>
                </c:pt>
                <c:pt idx="682">
                  <c:v>74</c:v>
                </c:pt>
                <c:pt idx="683">
                  <c:v>79</c:v>
                </c:pt>
                <c:pt idx="684">
                  <c:v>84</c:v>
                </c:pt>
                <c:pt idx="685">
                  <c:v>92</c:v>
                </c:pt>
                <c:pt idx="686">
                  <c:v>92</c:v>
                </c:pt>
                <c:pt idx="687">
                  <c:v>74</c:v>
                </c:pt>
                <c:pt idx="688">
                  <c:v>82</c:v>
                </c:pt>
                <c:pt idx="689">
                  <c:v>68</c:v>
                </c:pt>
                <c:pt idx="690">
                  <c:v>71</c:v>
                </c:pt>
                <c:pt idx="691">
                  <c:v>80</c:v>
                </c:pt>
                <c:pt idx="692">
                  <c:v>92</c:v>
                </c:pt>
                <c:pt idx="693">
                  <c:v>100</c:v>
                </c:pt>
                <c:pt idx="694">
                  <c:v>90</c:v>
                </c:pt>
                <c:pt idx="695">
                  <c:v>78</c:v>
                </c:pt>
                <c:pt idx="696">
                  <c:v>73</c:v>
                </c:pt>
                <c:pt idx="697">
                  <c:v>98</c:v>
                </c:pt>
                <c:pt idx="698">
                  <c:v>86</c:v>
                </c:pt>
                <c:pt idx="699">
                  <c:v>92</c:v>
                </c:pt>
                <c:pt idx="700">
                  <c:v>85</c:v>
                </c:pt>
                <c:pt idx="701">
                  <c:v>83</c:v>
                </c:pt>
                <c:pt idx="702">
                  <c:v>65</c:v>
                </c:pt>
                <c:pt idx="703">
                  <c:v>90</c:v>
                </c:pt>
                <c:pt idx="704">
                  <c:v>83</c:v>
                </c:pt>
                <c:pt idx="705">
                  <c:v>94</c:v>
                </c:pt>
                <c:pt idx="706">
                  <c:v>93</c:v>
                </c:pt>
                <c:pt idx="707">
                  <c:v>77</c:v>
                </c:pt>
                <c:pt idx="708">
                  <c:v>98</c:v>
                </c:pt>
                <c:pt idx="709">
                  <c:v>72</c:v>
                </c:pt>
                <c:pt idx="710">
                  <c:v>95</c:v>
                </c:pt>
                <c:pt idx="711">
                  <c:v>67</c:v>
                </c:pt>
                <c:pt idx="712">
                  <c:v>72</c:v>
                </c:pt>
                <c:pt idx="713">
                  <c:v>96</c:v>
                </c:pt>
                <c:pt idx="714">
                  <c:v>92</c:v>
                </c:pt>
                <c:pt idx="715">
                  <c:v>54</c:v>
                </c:pt>
                <c:pt idx="716">
                  <c:v>99</c:v>
                </c:pt>
                <c:pt idx="717">
                  <c:v>85</c:v>
                </c:pt>
                <c:pt idx="718">
                  <c:v>99</c:v>
                </c:pt>
                <c:pt idx="719">
                  <c:v>78</c:v>
                </c:pt>
                <c:pt idx="720">
                  <c:v>84</c:v>
                </c:pt>
                <c:pt idx="721">
                  <c:v>71</c:v>
                </c:pt>
                <c:pt idx="722">
                  <c:v>70</c:v>
                </c:pt>
                <c:pt idx="723">
                  <c:v>94</c:v>
                </c:pt>
                <c:pt idx="724">
                  <c:v>85</c:v>
                </c:pt>
                <c:pt idx="725">
                  <c:v>100</c:v>
                </c:pt>
                <c:pt idx="726">
                  <c:v>98</c:v>
                </c:pt>
                <c:pt idx="727">
                  <c:v>88</c:v>
                </c:pt>
                <c:pt idx="728">
                  <c:v>85</c:v>
                </c:pt>
                <c:pt idx="729">
                  <c:v>99</c:v>
                </c:pt>
                <c:pt idx="730">
                  <c:v>100</c:v>
                </c:pt>
                <c:pt idx="731">
                  <c:v>85</c:v>
                </c:pt>
                <c:pt idx="732">
                  <c:v>74</c:v>
                </c:pt>
                <c:pt idx="733">
                  <c:v>100</c:v>
                </c:pt>
                <c:pt idx="734">
                  <c:v>80</c:v>
                </c:pt>
                <c:pt idx="735">
                  <c:v>91</c:v>
                </c:pt>
                <c:pt idx="736">
                  <c:v>95</c:v>
                </c:pt>
                <c:pt idx="737">
                  <c:v>67</c:v>
                </c:pt>
                <c:pt idx="738">
                  <c:v>93</c:v>
                </c:pt>
                <c:pt idx="739">
                  <c:v>82</c:v>
                </c:pt>
                <c:pt idx="740">
                  <c:v>63</c:v>
                </c:pt>
                <c:pt idx="741">
                  <c:v>94</c:v>
                </c:pt>
                <c:pt idx="742">
                  <c:v>85</c:v>
                </c:pt>
                <c:pt idx="743">
                  <c:v>82</c:v>
                </c:pt>
                <c:pt idx="744">
                  <c:v>90</c:v>
                </c:pt>
                <c:pt idx="745">
                  <c:v>83</c:v>
                </c:pt>
                <c:pt idx="746">
                  <c:v>100</c:v>
                </c:pt>
                <c:pt idx="747">
                  <c:v>92</c:v>
                </c:pt>
                <c:pt idx="748">
                  <c:v>77</c:v>
                </c:pt>
                <c:pt idx="749">
                  <c:v>95</c:v>
                </c:pt>
                <c:pt idx="750">
                  <c:v>89</c:v>
                </c:pt>
                <c:pt idx="751">
                  <c:v>93</c:v>
                </c:pt>
                <c:pt idx="752">
                  <c:v>96</c:v>
                </c:pt>
                <c:pt idx="753">
                  <c:v>67</c:v>
                </c:pt>
                <c:pt idx="754">
                  <c:v>85</c:v>
                </c:pt>
                <c:pt idx="755">
                  <c:v>90</c:v>
                </c:pt>
                <c:pt idx="756">
                  <c:v>90</c:v>
                </c:pt>
                <c:pt idx="757">
                  <c:v>83</c:v>
                </c:pt>
                <c:pt idx="758">
                  <c:v>85</c:v>
                </c:pt>
                <c:pt idx="759">
                  <c:v>72</c:v>
                </c:pt>
                <c:pt idx="760">
                  <c:v>53</c:v>
                </c:pt>
                <c:pt idx="761">
                  <c:v>74</c:v>
                </c:pt>
                <c:pt idx="762">
                  <c:v>97</c:v>
                </c:pt>
                <c:pt idx="763">
                  <c:v>81</c:v>
                </c:pt>
                <c:pt idx="764">
                  <c:v>85</c:v>
                </c:pt>
                <c:pt idx="765">
                  <c:v>81</c:v>
                </c:pt>
                <c:pt idx="766">
                  <c:v>84</c:v>
                </c:pt>
                <c:pt idx="767">
                  <c:v>71</c:v>
                </c:pt>
                <c:pt idx="768">
                  <c:v>86</c:v>
                </c:pt>
                <c:pt idx="769">
                  <c:v>98</c:v>
                </c:pt>
                <c:pt idx="770">
                  <c:v>83</c:v>
                </c:pt>
                <c:pt idx="771">
                  <c:v>92</c:v>
                </c:pt>
                <c:pt idx="772">
                  <c:v>91</c:v>
                </c:pt>
                <c:pt idx="773">
                  <c:v>84</c:v>
                </c:pt>
                <c:pt idx="774">
                  <c:v>75</c:v>
                </c:pt>
                <c:pt idx="775">
                  <c:v>89</c:v>
                </c:pt>
                <c:pt idx="776">
                  <c:v>74</c:v>
                </c:pt>
                <c:pt idx="777">
                  <c:v>96</c:v>
                </c:pt>
                <c:pt idx="778">
                  <c:v>87</c:v>
                </c:pt>
                <c:pt idx="779">
                  <c:v>90</c:v>
                </c:pt>
                <c:pt idx="780">
                  <c:v>79</c:v>
                </c:pt>
                <c:pt idx="781">
                  <c:v>98</c:v>
                </c:pt>
                <c:pt idx="782">
                  <c:v>90</c:v>
                </c:pt>
                <c:pt idx="783">
                  <c:v>78</c:v>
                </c:pt>
                <c:pt idx="784">
                  <c:v>93</c:v>
                </c:pt>
                <c:pt idx="785">
                  <c:v>97</c:v>
                </c:pt>
                <c:pt idx="786">
                  <c:v>77</c:v>
                </c:pt>
                <c:pt idx="787">
                  <c:v>97</c:v>
                </c:pt>
                <c:pt idx="788">
                  <c:v>72</c:v>
                </c:pt>
                <c:pt idx="789">
                  <c:v>75</c:v>
                </c:pt>
                <c:pt idx="790">
                  <c:v>58</c:v>
                </c:pt>
                <c:pt idx="791">
                  <c:v>68</c:v>
                </c:pt>
                <c:pt idx="792">
                  <c:v>91</c:v>
                </c:pt>
                <c:pt idx="793">
                  <c:v>87</c:v>
                </c:pt>
                <c:pt idx="794">
                  <c:v>90</c:v>
                </c:pt>
                <c:pt idx="795">
                  <c:v>100</c:v>
                </c:pt>
                <c:pt idx="796">
                  <c:v>93</c:v>
                </c:pt>
                <c:pt idx="797">
                  <c:v>79</c:v>
                </c:pt>
                <c:pt idx="798">
                  <c:v>61</c:v>
                </c:pt>
                <c:pt idx="799">
                  <c:v>96</c:v>
                </c:pt>
                <c:pt idx="800">
                  <c:v>83</c:v>
                </c:pt>
                <c:pt idx="801">
                  <c:v>94</c:v>
                </c:pt>
                <c:pt idx="802">
                  <c:v>100</c:v>
                </c:pt>
                <c:pt idx="803">
                  <c:v>95</c:v>
                </c:pt>
                <c:pt idx="804">
                  <c:v>88</c:v>
                </c:pt>
                <c:pt idx="805">
                  <c:v>82</c:v>
                </c:pt>
                <c:pt idx="806">
                  <c:v>80</c:v>
                </c:pt>
                <c:pt idx="807">
                  <c:v>58</c:v>
                </c:pt>
                <c:pt idx="808">
                  <c:v>74</c:v>
                </c:pt>
                <c:pt idx="809">
                  <c:v>83</c:v>
                </c:pt>
                <c:pt idx="810">
                  <c:v>86</c:v>
                </c:pt>
                <c:pt idx="811">
                  <c:v>88</c:v>
                </c:pt>
                <c:pt idx="812">
                  <c:v>100</c:v>
                </c:pt>
                <c:pt idx="813">
                  <c:v>76</c:v>
                </c:pt>
                <c:pt idx="814">
                  <c:v>78</c:v>
                </c:pt>
                <c:pt idx="815">
                  <c:v>80</c:v>
                </c:pt>
                <c:pt idx="816">
                  <c:v>80</c:v>
                </c:pt>
                <c:pt idx="817">
                  <c:v>82</c:v>
                </c:pt>
                <c:pt idx="818">
                  <c:v>80</c:v>
                </c:pt>
                <c:pt idx="819">
                  <c:v>96</c:v>
                </c:pt>
                <c:pt idx="820">
                  <c:v>65</c:v>
                </c:pt>
                <c:pt idx="821">
                  <c:v>80</c:v>
                </c:pt>
                <c:pt idx="822">
                  <c:v>72</c:v>
                </c:pt>
                <c:pt idx="823">
                  <c:v>100</c:v>
                </c:pt>
                <c:pt idx="824">
                  <c:v>94</c:v>
                </c:pt>
                <c:pt idx="825">
                  <c:v>88</c:v>
                </c:pt>
                <c:pt idx="826">
                  <c:v>86</c:v>
                </c:pt>
                <c:pt idx="827">
                  <c:v>78</c:v>
                </c:pt>
                <c:pt idx="828">
                  <c:v>70</c:v>
                </c:pt>
                <c:pt idx="829">
                  <c:v>100</c:v>
                </c:pt>
                <c:pt idx="830">
                  <c:v>74</c:v>
                </c:pt>
                <c:pt idx="831">
                  <c:v>91</c:v>
                </c:pt>
                <c:pt idx="832">
                  <c:v>78</c:v>
                </c:pt>
                <c:pt idx="833">
                  <c:v>89</c:v>
                </c:pt>
                <c:pt idx="834">
                  <c:v>82</c:v>
                </c:pt>
                <c:pt idx="835">
                  <c:v>90</c:v>
                </c:pt>
                <c:pt idx="836">
                  <c:v>100</c:v>
                </c:pt>
                <c:pt idx="837">
                  <c:v>89</c:v>
                </c:pt>
                <c:pt idx="838">
                  <c:v>86</c:v>
                </c:pt>
                <c:pt idx="839">
                  <c:v>83</c:v>
                </c:pt>
                <c:pt idx="840">
                  <c:v>89</c:v>
                </c:pt>
                <c:pt idx="841">
                  <c:v>79</c:v>
                </c:pt>
                <c:pt idx="842">
                  <c:v>85</c:v>
                </c:pt>
                <c:pt idx="843">
                  <c:v>80</c:v>
                </c:pt>
                <c:pt idx="844">
                  <c:v>80</c:v>
                </c:pt>
                <c:pt idx="845">
                  <c:v>80</c:v>
                </c:pt>
                <c:pt idx="846">
                  <c:v>70</c:v>
                </c:pt>
                <c:pt idx="847">
                  <c:v>100</c:v>
                </c:pt>
                <c:pt idx="848">
                  <c:v>81</c:v>
                </c:pt>
                <c:pt idx="849">
                  <c:v>100</c:v>
                </c:pt>
                <c:pt idx="850">
                  <c:v>100</c:v>
                </c:pt>
                <c:pt idx="851">
                  <c:v>81</c:v>
                </c:pt>
                <c:pt idx="852">
                  <c:v>87</c:v>
                </c:pt>
                <c:pt idx="853">
                  <c:v>99</c:v>
                </c:pt>
                <c:pt idx="854">
                  <c:v>82</c:v>
                </c:pt>
                <c:pt idx="855">
                  <c:v>79</c:v>
                </c:pt>
                <c:pt idx="856">
                  <c:v>92</c:v>
                </c:pt>
                <c:pt idx="857">
                  <c:v>79</c:v>
                </c:pt>
                <c:pt idx="858">
                  <c:v>85</c:v>
                </c:pt>
                <c:pt idx="859">
                  <c:v>67</c:v>
                </c:pt>
                <c:pt idx="860">
                  <c:v>91</c:v>
                </c:pt>
                <c:pt idx="861">
                  <c:v>74</c:v>
                </c:pt>
                <c:pt idx="862">
                  <c:v>86</c:v>
                </c:pt>
                <c:pt idx="863">
                  <c:v>71</c:v>
                </c:pt>
                <c:pt idx="864">
                  <c:v>84</c:v>
                </c:pt>
                <c:pt idx="865">
                  <c:v>90</c:v>
                </c:pt>
                <c:pt idx="866">
                  <c:v>80</c:v>
                </c:pt>
                <c:pt idx="867">
                  <c:v>92</c:v>
                </c:pt>
                <c:pt idx="868">
                  <c:v>96</c:v>
                </c:pt>
                <c:pt idx="869">
                  <c:v>84</c:v>
                </c:pt>
                <c:pt idx="870">
                  <c:v>96</c:v>
                </c:pt>
                <c:pt idx="871">
                  <c:v>93</c:v>
                </c:pt>
                <c:pt idx="872">
                  <c:v>76</c:v>
                </c:pt>
                <c:pt idx="873">
                  <c:v>85</c:v>
                </c:pt>
                <c:pt idx="874">
                  <c:v>94</c:v>
                </c:pt>
                <c:pt idx="875">
                  <c:v>81</c:v>
                </c:pt>
                <c:pt idx="876">
                  <c:v>99</c:v>
                </c:pt>
                <c:pt idx="877">
                  <c:v>65</c:v>
                </c:pt>
                <c:pt idx="878">
                  <c:v>78</c:v>
                </c:pt>
                <c:pt idx="879">
                  <c:v>86</c:v>
                </c:pt>
                <c:pt idx="880">
                  <c:v>81</c:v>
                </c:pt>
                <c:pt idx="881">
                  <c:v>85</c:v>
                </c:pt>
                <c:pt idx="882">
                  <c:v>72</c:v>
                </c:pt>
                <c:pt idx="883">
                  <c:v>94</c:v>
                </c:pt>
                <c:pt idx="884">
                  <c:v>100</c:v>
                </c:pt>
                <c:pt idx="885">
                  <c:v>77</c:v>
                </c:pt>
                <c:pt idx="886">
                  <c:v>77</c:v>
                </c:pt>
                <c:pt idx="887">
                  <c:v>80</c:v>
                </c:pt>
                <c:pt idx="888">
                  <c:v>82</c:v>
                </c:pt>
                <c:pt idx="889">
                  <c:v>77</c:v>
                </c:pt>
                <c:pt idx="890">
                  <c:v>100</c:v>
                </c:pt>
                <c:pt idx="891">
                  <c:v>87</c:v>
                </c:pt>
                <c:pt idx="892">
                  <c:v>76</c:v>
                </c:pt>
                <c:pt idx="893">
                  <c:v>80</c:v>
                </c:pt>
                <c:pt idx="894">
                  <c:v>71</c:v>
                </c:pt>
                <c:pt idx="895">
                  <c:v>81</c:v>
                </c:pt>
                <c:pt idx="896">
                  <c:v>91</c:v>
                </c:pt>
                <c:pt idx="897">
                  <c:v>79</c:v>
                </c:pt>
                <c:pt idx="898">
                  <c:v>67</c:v>
                </c:pt>
                <c:pt idx="899">
                  <c:v>69</c:v>
                </c:pt>
                <c:pt idx="900">
                  <c:v>70</c:v>
                </c:pt>
                <c:pt idx="901">
                  <c:v>81</c:v>
                </c:pt>
                <c:pt idx="902">
                  <c:v>73</c:v>
                </c:pt>
                <c:pt idx="903">
                  <c:v>69</c:v>
                </c:pt>
                <c:pt idx="904">
                  <c:v>91</c:v>
                </c:pt>
                <c:pt idx="905">
                  <c:v>100</c:v>
                </c:pt>
                <c:pt idx="906">
                  <c:v>85</c:v>
                </c:pt>
                <c:pt idx="907">
                  <c:v>86</c:v>
                </c:pt>
                <c:pt idx="908">
                  <c:v>73</c:v>
                </c:pt>
                <c:pt idx="909">
                  <c:v>88</c:v>
                </c:pt>
                <c:pt idx="910">
                  <c:v>97</c:v>
                </c:pt>
                <c:pt idx="911">
                  <c:v>100</c:v>
                </c:pt>
                <c:pt idx="912">
                  <c:v>82</c:v>
                </c:pt>
                <c:pt idx="913">
                  <c:v>80</c:v>
                </c:pt>
                <c:pt idx="914">
                  <c:v>77</c:v>
                </c:pt>
                <c:pt idx="915">
                  <c:v>82</c:v>
                </c:pt>
                <c:pt idx="916">
                  <c:v>88</c:v>
                </c:pt>
                <c:pt idx="917">
                  <c:v>88</c:v>
                </c:pt>
                <c:pt idx="918">
                  <c:v>97</c:v>
                </c:pt>
                <c:pt idx="919">
                  <c:v>83</c:v>
                </c:pt>
                <c:pt idx="920">
                  <c:v>73</c:v>
                </c:pt>
                <c:pt idx="921">
                  <c:v>91</c:v>
                </c:pt>
                <c:pt idx="922">
                  <c:v>84</c:v>
                </c:pt>
                <c:pt idx="923">
                  <c:v>93</c:v>
                </c:pt>
                <c:pt idx="924">
                  <c:v>71</c:v>
                </c:pt>
                <c:pt idx="925">
                  <c:v>95</c:v>
                </c:pt>
                <c:pt idx="926">
                  <c:v>100</c:v>
                </c:pt>
                <c:pt idx="927">
                  <c:v>92</c:v>
                </c:pt>
                <c:pt idx="928">
                  <c:v>75</c:v>
                </c:pt>
                <c:pt idx="929">
                  <c:v>81</c:v>
                </c:pt>
                <c:pt idx="930">
                  <c:v>73</c:v>
                </c:pt>
                <c:pt idx="931">
                  <c:v>64</c:v>
                </c:pt>
                <c:pt idx="932">
                  <c:v>75</c:v>
                </c:pt>
                <c:pt idx="933">
                  <c:v>72</c:v>
                </c:pt>
                <c:pt idx="934">
                  <c:v>100</c:v>
                </c:pt>
                <c:pt idx="935">
                  <c:v>83</c:v>
                </c:pt>
                <c:pt idx="936">
                  <c:v>86</c:v>
                </c:pt>
                <c:pt idx="937">
                  <c:v>93</c:v>
                </c:pt>
                <c:pt idx="938">
                  <c:v>77</c:v>
                </c:pt>
                <c:pt idx="939">
                  <c:v>75</c:v>
                </c:pt>
                <c:pt idx="940">
                  <c:v>77</c:v>
                </c:pt>
                <c:pt idx="941">
                  <c:v>85</c:v>
                </c:pt>
                <c:pt idx="942">
                  <c:v>69</c:v>
                </c:pt>
                <c:pt idx="943">
                  <c:v>96</c:v>
                </c:pt>
                <c:pt idx="944">
                  <c:v>96</c:v>
                </c:pt>
                <c:pt idx="945">
                  <c:v>96</c:v>
                </c:pt>
                <c:pt idx="946">
                  <c:v>70</c:v>
                </c:pt>
                <c:pt idx="947">
                  <c:v>86</c:v>
                </c:pt>
                <c:pt idx="948">
                  <c:v>100</c:v>
                </c:pt>
                <c:pt idx="949">
                  <c:v>66</c:v>
                </c:pt>
                <c:pt idx="950">
                  <c:v>72</c:v>
                </c:pt>
                <c:pt idx="951">
                  <c:v>84</c:v>
                </c:pt>
                <c:pt idx="952">
                  <c:v>90</c:v>
                </c:pt>
                <c:pt idx="953">
                  <c:v>78</c:v>
                </c:pt>
                <c:pt idx="954">
                  <c:v>100</c:v>
                </c:pt>
                <c:pt idx="955">
                  <c:v>88</c:v>
                </c:pt>
                <c:pt idx="956">
                  <c:v>94</c:v>
                </c:pt>
                <c:pt idx="957">
                  <c:v>89</c:v>
                </c:pt>
                <c:pt idx="958">
                  <c:v>88</c:v>
                </c:pt>
                <c:pt idx="959">
                  <c:v>81</c:v>
                </c:pt>
                <c:pt idx="960">
                  <c:v>75</c:v>
                </c:pt>
                <c:pt idx="961">
                  <c:v>81</c:v>
                </c:pt>
                <c:pt idx="962">
                  <c:v>73</c:v>
                </c:pt>
                <c:pt idx="963">
                  <c:v>78</c:v>
                </c:pt>
                <c:pt idx="964">
                  <c:v>70</c:v>
                </c:pt>
                <c:pt idx="965">
                  <c:v>76</c:v>
                </c:pt>
                <c:pt idx="966">
                  <c:v>90</c:v>
                </c:pt>
                <c:pt idx="967">
                  <c:v>100</c:v>
                </c:pt>
                <c:pt idx="968">
                  <c:v>60</c:v>
                </c:pt>
                <c:pt idx="969">
                  <c:v>78</c:v>
                </c:pt>
                <c:pt idx="970">
                  <c:v>100</c:v>
                </c:pt>
                <c:pt idx="971">
                  <c:v>76</c:v>
                </c:pt>
                <c:pt idx="972">
                  <c:v>84</c:v>
                </c:pt>
                <c:pt idx="973">
                  <c:v>78</c:v>
                </c:pt>
                <c:pt idx="974">
                  <c:v>68</c:v>
                </c:pt>
                <c:pt idx="975">
                  <c:v>67</c:v>
                </c:pt>
                <c:pt idx="976">
                  <c:v>81</c:v>
                </c:pt>
                <c:pt idx="977">
                  <c:v>72</c:v>
                </c:pt>
                <c:pt idx="978">
                  <c:v>83</c:v>
                </c:pt>
                <c:pt idx="979">
                  <c:v>94</c:v>
                </c:pt>
                <c:pt idx="980">
                  <c:v>91</c:v>
                </c:pt>
                <c:pt idx="981">
                  <c:v>80</c:v>
                </c:pt>
                <c:pt idx="982">
                  <c:v>78</c:v>
                </c:pt>
                <c:pt idx="983">
                  <c:v>85</c:v>
                </c:pt>
                <c:pt idx="984">
                  <c:v>75</c:v>
                </c:pt>
                <c:pt idx="985">
                  <c:v>96</c:v>
                </c:pt>
                <c:pt idx="986">
                  <c:v>82</c:v>
                </c:pt>
                <c:pt idx="987">
                  <c:v>86</c:v>
                </c:pt>
                <c:pt idx="988">
                  <c:v>81</c:v>
                </c:pt>
                <c:pt idx="989">
                  <c:v>94</c:v>
                </c:pt>
                <c:pt idx="990">
                  <c:v>82</c:v>
                </c:pt>
                <c:pt idx="991">
                  <c:v>80</c:v>
                </c:pt>
                <c:pt idx="992">
                  <c:v>79</c:v>
                </c:pt>
                <c:pt idx="993">
                  <c:v>93</c:v>
                </c:pt>
                <c:pt idx="994">
                  <c:v>79</c:v>
                </c:pt>
                <c:pt idx="995">
                  <c:v>71</c:v>
                </c:pt>
                <c:pt idx="996">
                  <c:v>100</c:v>
                </c:pt>
                <c:pt idx="997">
                  <c:v>79</c:v>
                </c:pt>
                <c:pt idx="998">
                  <c:v>82</c:v>
                </c:pt>
                <c:pt idx="999">
                  <c:v>70</c:v>
                </c:pt>
              </c:numCache>
            </c:numRef>
          </c:yVal>
          <c:smooth val="0"/>
          <c:extLst>
            <c:ext xmlns:c16="http://schemas.microsoft.com/office/drawing/2014/chart" uri="{C3380CC4-5D6E-409C-BE32-E72D297353CC}">
              <c16:uniqueId val="{00000000-820E-4183-B5A6-1B75FEC09174}"/>
            </c:ext>
          </c:extLst>
        </c:ser>
        <c:dLbls>
          <c:showLegendKey val="0"/>
          <c:showVal val="0"/>
          <c:showCatName val="0"/>
          <c:showSerName val="0"/>
          <c:showPercent val="0"/>
          <c:showBubbleSize val="0"/>
        </c:dLbls>
        <c:axId val="1586298543"/>
        <c:axId val="1586306447"/>
      </c:scatterChart>
      <c:valAx>
        <c:axId val="15862985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Sudy</a:t>
                </a:r>
                <a:r>
                  <a:rPr lang="en-US" baseline="0"/>
                  <a:t> Time in (hours)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306447"/>
        <c:crosses val="autoZero"/>
        <c:crossBetween val="midCat"/>
      </c:valAx>
      <c:valAx>
        <c:axId val="158630644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Final</a:t>
                </a:r>
                <a:r>
                  <a:rPr lang="en-US" baseline="0"/>
                  <a:t> Exam Score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98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student_performance_dataset dashboard.xlsm]pivot tables!PivotTable8</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Part</a:t>
            </a:r>
            <a:r>
              <a:rPr lang="en-US" baseline="0"/>
              <a:t> Time Job Vs Final Exam Score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tables'!$C$22</c:f>
              <c:strCache>
                <c:ptCount val="1"/>
                <c:pt idx="0">
                  <c:v>Total</c:v>
                </c:pt>
              </c:strCache>
            </c:strRef>
          </c:tx>
          <c:spPr>
            <a:solidFill>
              <a:schemeClr val="accent1"/>
            </a:solidFill>
            <a:ln>
              <a:noFill/>
            </a:ln>
            <a:effectLst/>
          </c:spPr>
          <c:invertIfNegative val="0"/>
          <c:cat>
            <c:strRef>
              <c:f>'pivot tables'!$B$23:$B$25</c:f>
              <c:strCache>
                <c:ptCount val="2"/>
                <c:pt idx="0">
                  <c:v>No</c:v>
                </c:pt>
                <c:pt idx="1">
                  <c:v>Yes</c:v>
                </c:pt>
              </c:strCache>
            </c:strRef>
          </c:cat>
          <c:val>
            <c:numRef>
              <c:f>'pivot tables'!$C$23:$C$25</c:f>
              <c:numCache>
                <c:formatCode>General</c:formatCode>
                <c:ptCount val="2"/>
                <c:pt idx="0">
                  <c:v>84.615497076023388</c:v>
                </c:pt>
                <c:pt idx="1">
                  <c:v>81.351265822784811</c:v>
                </c:pt>
              </c:numCache>
            </c:numRef>
          </c:val>
          <c:extLst>
            <c:ext xmlns:c16="http://schemas.microsoft.com/office/drawing/2014/chart" uri="{C3380CC4-5D6E-409C-BE32-E72D297353CC}">
              <c16:uniqueId val="{00000000-ED0D-4482-B382-61138751AB6A}"/>
            </c:ext>
          </c:extLst>
        </c:ser>
        <c:dLbls>
          <c:showLegendKey val="0"/>
          <c:showVal val="0"/>
          <c:showCatName val="0"/>
          <c:showSerName val="0"/>
          <c:showPercent val="0"/>
          <c:showBubbleSize val="0"/>
        </c:dLbls>
        <c:gapWidth val="219"/>
        <c:overlap val="-27"/>
        <c:axId val="1584929311"/>
        <c:axId val="1584933887"/>
      </c:barChart>
      <c:catAx>
        <c:axId val="158492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4933887"/>
        <c:crosses val="autoZero"/>
        <c:auto val="1"/>
        <c:lblAlgn val="ctr"/>
        <c:lblOffset val="100"/>
        <c:noMultiLvlLbl val="0"/>
      </c:catAx>
      <c:valAx>
        <c:axId val="15849338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4929311"/>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student_performance_dataset dashboard.xlsm]pivot tables!PivotTable9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Extracurricular</a:t>
            </a:r>
            <a:r>
              <a:rPr lang="en-US" baseline="0"/>
              <a:t> activities Vs Final Exam Score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tables'!$C$38</c:f>
              <c:strCache>
                <c:ptCount val="1"/>
                <c:pt idx="0">
                  <c:v>Total</c:v>
                </c:pt>
              </c:strCache>
            </c:strRef>
          </c:tx>
          <c:spPr>
            <a:solidFill>
              <a:schemeClr val="accent1"/>
            </a:solidFill>
            <a:ln>
              <a:noFill/>
            </a:ln>
            <a:effectLst/>
          </c:spPr>
          <c:invertIfNegative val="0"/>
          <c:cat>
            <c:strRef>
              <c:f>'pivot tables'!$B$39:$B$41</c:f>
              <c:strCache>
                <c:ptCount val="2"/>
                <c:pt idx="0">
                  <c:v>No</c:v>
                </c:pt>
                <c:pt idx="1">
                  <c:v>Yes</c:v>
                </c:pt>
              </c:strCache>
            </c:strRef>
          </c:cat>
          <c:val>
            <c:numRef>
              <c:f>'pivot tables'!$C$39:$C$41</c:f>
              <c:numCache>
                <c:formatCode>General</c:formatCode>
                <c:ptCount val="2"/>
                <c:pt idx="0">
                  <c:v>83.324766355140184</c:v>
                </c:pt>
                <c:pt idx="1">
                  <c:v>83.777972027972027</c:v>
                </c:pt>
              </c:numCache>
            </c:numRef>
          </c:val>
          <c:extLst>
            <c:ext xmlns:c16="http://schemas.microsoft.com/office/drawing/2014/chart" uri="{C3380CC4-5D6E-409C-BE32-E72D297353CC}">
              <c16:uniqueId val="{00000000-89E4-41DC-A04B-B8EA82C96FDE}"/>
            </c:ext>
          </c:extLst>
        </c:ser>
        <c:dLbls>
          <c:showLegendKey val="0"/>
          <c:showVal val="0"/>
          <c:showCatName val="0"/>
          <c:showSerName val="0"/>
          <c:showPercent val="0"/>
          <c:showBubbleSize val="0"/>
        </c:dLbls>
        <c:gapWidth val="219"/>
        <c:overlap val="-27"/>
        <c:axId val="1586312687"/>
        <c:axId val="1586301039"/>
      </c:barChart>
      <c:catAx>
        <c:axId val="158631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301039"/>
        <c:crosses val="autoZero"/>
        <c:auto val="1"/>
        <c:lblAlgn val="ctr"/>
        <c:lblOffset val="100"/>
        <c:noMultiLvlLbl val="0"/>
      </c:catAx>
      <c:valAx>
        <c:axId val="158630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3126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student_performance_dataset dashboard.xlsm]pivot tables!PivotTable10</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Relationship between Parental</a:t>
            </a:r>
            <a:r>
              <a:rPr lang="en-US" baseline="0"/>
              <a:t> education and final exam Avg score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tables'!$C$53</c:f>
              <c:strCache>
                <c:ptCount val="1"/>
                <c:pt idx="0">
                  <c:v>Total</c:v>
                </c:pt>
              </c:strCache>
            </c:strRef>
          </c:tx>
          <c:spPr>
            <a:solidFill>
              <a:schemeClr val="accent1"/>
            </a:solidFill>
            <a:ln>
              <a:noFill/>
            </a:ln>
            <a:effectLst/>
          </c:spPr>
          <c:invertIfNegative val="0"/>
          <c:cat>
            <c:strRef>
              <c:f>'pivot tables'!$B$54:$B$59</c:f>
              <c:strCache>
                <c:ptCount val="5"/>
                <c:pt idx="0">
                  <c:v>High School</c:v>
                </c:pt>
                <c:pt idx="1">
                  <c:v>Bachelors</c:v>
                </c:pt>
                <c:pt idx="2">
                  <c:v>None</c:v>
                </c:pt>
                <c:pt idx="3">
                  <c:v>Masters</c:v>
                </c:pt>
                <c:pt idx="4">
                  <c:v>PhD</c:v>
                </c:pt>
              </c:strCache>
            </c:strRef>
          </c:cat>
          <c:val>
            <c:numRef>
              <c:f>'pivot tables'!$C$54:$C$59</c:f>
              <c:numCache>
                <c:formatCode>General</c:formatCode>
                <c:ptCount val="5"/>
                <c:pt idx="0">
                  <c:v>83.294943820224717</c:v>
                </c:pt>
                <c:pt idx="1">
                  <c:v>83.431818181818187</c:v>
                </c:pt>
                <c:pt idx="2">
                  <c:v>83.450980392156865</c:v>
                </c:pt>
                <c:pt idx="3">
                  <c:v>84.065217391304344</c:v>
                </c:pt>
                <c:pt idx="4">
                  <c:v>85.08</c:v>
                </c:pt>
              </c:numCache>
            </c:numRef>
          </c:val>
          <c:extLst>
            <c:ext xmlns:c16="http://schemas.microsoft.com/office/drawing/2014/chart" uri="{C3380CC4-5D6E-409C-BE32-E72D297353CC}">
              <c16:uniqueId val="{00000000-1DF3-4626-9EF2-F50B2A70B306}"/>
            </c:ext>
          </c:extLst>
        </c:ser>
        <c:dLbls>
          <c:showLegendKey val="0"/>
          <c:showVal val="0"/>
          <c:showCatName val="0"/>
          <c:showSerName val="0"/>
          <c:showPercent val="0"/>
          <c:showBubbleSize val="0"/>
        </c:dLbls>
        <c:gapWidth val="150"/>
        <c:axId val="1586311023"/>
        <c:axId val="1586312271"/>
      </c:barChart>
      <c:catAx>
        <c:axId val="15863110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312271"/>
        <c:crosses val="autoZero"/>
        <c:auto val="1"/>
        <c:lblAlgn val="ctr"/>
        <c:lblOffset val="100"/>
        <c:noMultiLvlLbl val="0"/>
      </c:catAx>
      <c:valAx>
        <c:axId val="1586312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311023"/>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student_performance_dataset dashboard.xlsm]pivot tables!PivotTable11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Internet</a:t>
            </a:r>
            <a:r>
              <a:rPr lang="en-US" baseline="0"/>
              <a:t> Access Vs Final Exam Score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tables'!$C$70</c:f>
              <c:strCache>
                <c:ptCount val="1"/>
                <c:pt idx="0">
                  <c:v>Total</c:v>
                </c:pt>
              </c:strCache>
            </c:strRef>
          </c:tx>
          <c:spPr>
            <a:solidFill>
              <a:schemeClr val="accent1"/>
            </a:solidFill>
            <a:ln>
              <a:noFill/>
            </a:ln>
            <a:effectLst/>
          </c:spPr>
          <c:invertIfNegative val="0"/>
          <c:cat>
            <c:strRef>
              <c:f>'pivot tables'!$B$71:$B$73</c:f>
              <c:strCache>
                <c:ptCount val="2"/>
                <c:pt idx="0">
                  <c:v>No</c:v>
                </c:pt>
                <c:pt idx="1">
                  <c:v>Yes</c:v>
                </c:pt>
              </c:strCache>
            </c:strRef>
          </c:cat>
          <c:val>
            <c:numRef>
              <c:f>'pivot tables'!$C$71:$C$73</c:f>
              <c:numCache>
                <c:formatCode>General</c:formatCode>
                <c:ptCount val="2"/>
                <c:pt idx="0">
                  <c:v>79.294520547945211</c:v>
                </c:pt>
                <c:pt idx="1">
                  <c:v>84.317330210772838</c:v>
                </c:pt>
              </c:numCache>
            </c:numRef>
          </c:val>
          <c:extLst>
            <c:ext xmlns:c16="http://schemas.microsoft.com/office/drawing/2014/chart" uri="{C3380CC4-5D6E-409C-BE32-E72D297353CC}">
              <c16:uniqueId val="{00000000-CF1C-49B2-AE30-9EA8555675F0}"/>
            </c:ext>
          </c:extLst>
        </c:ser>
        <c:dLbls>
          <c:showLegendKey val="0"/>
          <c:showVal val="0"/>
          <c:showCatName val="0"/>
          <c:showSerName val="0"/>
          <c:showPercent val="0"/>
          <c:showBubbleSize val="0"/>
        </c:dLbls>
        <c:gapWidth val="219"/>
        <c:overlap val="-27"/>
        <c:axId val="1586317263"/>
        <c:axId val="1586291887"/>
      </c:barChart>
      <c:catAx>
        <c:axId val="1586317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91887"/>
        <c:crosses val="autoZero"/>
        <c:auto val="1"/>
        <c:lblAlgn val="ctr"/>
        <c:lblOffset val="100"/>
        <c:noMultiLvlLbl val="0"/>
      </c:catAx>
      <c:valAx>
        <c:axId val="15862918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3172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student_performance_dataset dashboard.xlsm]pivot tables!PivotTable1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tables'!$C$76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tables'!$B$77:$B$147</c:f>
              <c:strCache>
                <c:ptCount val="70"/>
                <c:pt idx="0">
                  <c:v>0.5</c:v>
                </c:pt>
                <c:pt idx="1">
                  <c:v>0.7</c:v>
                </c:pt>
                <c:pt idx="2">
                  <c:v>0.8</c:v>
                </c:pt>
                <c:pt idx="3">
                  <c:v>0.9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pt idx="32">
                  <c:v>3.8</c:v>
                </c:pt>
                <c:pt idx="33">
                  <c:v>3.9</c:v>
                </c:pt>
                <c:pt idx="34">
                  <c:v>4.0</c:v>
                </c:pt>
                <c:pt idx="35">
                  <c:v>4.1</c:v>
                </c:pt>
                <c:pt idx="36">
                  <c:v>4.2</c:v>
                </c:pt>
                <c:pt idx="37">
                  <c:v>4.3</c:v>
                </c:pt>
                <c:pt idx="38">
                  <c:v>4.4</c:v>
                </c:pt>
                <c:pt idx="39">
                  <c:v>4.5</c:v>
                </c:pt>
                <c:pt idx="40">
                  <c:v>4.6</c:v>
                </c:pt>
                <c:pt idx="41">
                  <c:v>4.7</c:v>
                </c:pt>
                <c:pt idx="42">
                  <c:v>4.8</c:v>
                </c:pt>
                <c:pt idx="43">
                  <c:v>4.9</c:v>
                </c:pt>
                <c:pt idx="44">
                  <c:v>5.0</c:v>
                </c:pt>
                <c:pt idx="45">
                  <c:v>5.1</c:v>
                </c:pt>
                <c:pt idx="46">
                  <c:v>5.2</c:v>
                </c:pt>
                <c:pt idx="47">
                  <c:v>5.3</c:v>
                </c:pt>
                <c:pt idx="48">
                  <c:v>5.4</c:v>
                </c:pt>
                <c:pt idx="49">
                  <c:v>5.5</c:v>
                </c:pt>
                <c:pt idx="50">
                  <c:v>5.6</c:v>
                </c:pt>
                <c:pt idx="51">
                  <c:v>5.7</c:v>
                </c:pt>
                <c:pt idx="52">
                  <c:v>5.8</c:v>
                </c:pt>
                <c:pt idx="53">
                  <c:v>5.9</c:v>
                </c:pt>
                <c:pt idx="54">
                  <c:v>6.0</c:v>
                </c:pt>
                <c:pt idx="55">
                  <c:v>6.1</c:v>
                </c:pt>
                <c:pt idx="56">
                  <c:v>6.2</c:v>
                </c:pt>
                <c:pt idx="57">
                  <c:v>6.3</c:v>
                </c:pt>
                <c:pt idx="58">
                  <c:v>6.4</c:v>
                </c:pt>
                <c:pt idx="59">
                  <c:v>6.5</c:v>
                </c:pt>
                <c:pt idx="60">
                  <c:v>6.6</c:v>
                </c:pt>
                <c:pt idx="61">
                  <c:v>6.7</c:v>
                </c:pt>
                <c:pt idx="62">
                  <c:v>6.8</c:v>
                </c:pt>
                <c:pt idx="63">
                  <c:v>6.9</c:v>
                </c:pt>
                <c:pt idx="64">
                  <c:v>7.0</c:v>
                </c:pt>
                <c:pt idx="65">
                  <c:v>7.1</c:v>
                </c:pt>
                <c:pt idx="66">
                  <c:v>7.2</c:v>
                </c:pt>
                <c:pt idx="67">
                  <c:v>7.3</c:v>
                </c:pt>
                <c:pt idx="68">
                  <c:v>7.4</c:v>
                </c:pt>
                <c:pt idx="69">
                  <c:v>8.1</c:v>
                </c:pt>
              </c:strCache>
            </c:strRef>
          </c:cat>
          <c:val>
            <c:numRef>
              <c:f>'pivot tables'!$C$77:$C$147</c:f>
              <c:numCache>
                <c:formatCode>0</c:formatCode>
                <c:ptCount val="70"/>
                <c:pt idx="0">
                  <c:v>71.043478260869563</c:v>
                </c:pt>
                <c:pt idx="1">
                  <c:v>71.75</c:v>
                </c:pt>
                <c:pt idx="2">
                  <c:v>75.666666666666671</c:v>
                </c:pt>
                <c:pt idx="3">
                  <c:v>71.5</c:v>
                </c:pt>
                <c:pt idx="4">
                  <c:v>75.75</c:v>
                </c:pt>
                <c:pt idx="5">
                  <c:v>77.111111111111114</c:v>
                </c:pt>
                <c:pt idx="6">
                  <c:v>73.111111111111114</c:v>
                </c:pt>
                <c:pt idx="7">
                  <c:v>75.714285714285708</c:v>
                </c:pt>
                <c:pt idx="8">
                  <c:v>74.933333333333337</c:v>
                </c:pt>
                <c:pt idx="9">
                  <c:v>75.36363636363636</c:v>
                </c:pt>
                <c:pt idx="10">
                  <c:v>80</c:v>
                </c:pt>
                <c:pt idx="11">
                  <c:v>71.818181818181813</c:v>
                </c:pt>
                <c:pt idx="12">
                  <c:v>81.769230769230774</c:v>
                </c:pt>
                <c:pt idx="13">
                  <c:v>72.692307692307693</c:v>
                </c:pt>
                <c:pt idx="14">
                  <c:v>77.63636363636364</c:v>
                </c:pt>
                <c:pt idx="15">
                  <c:v>72.384615384615387</c:v>
                </c:pt>
                <c:pt idx="16">
                  <c:v>78</c:v>
                </c:pt>
                <c:pt idx="17">
                  <c:v>80.285714285714292</c:v>
                </c:pt>
                <c:pt idx="18">
                  <c:v>80.888888888888886</c:v>
                </c:pt>
                <c:pt idx="19">
                  <c:v>77.166666666666671</c:v>
                </c:pt>
                <c:pt idx="20">
                  <c:v>80.461538461538467</c:v>
                </c:pt>
                <c:pt idx="21">
                  <c:v>82.333333333333329</c:v>
                </c:pt>
                <c:pt idx="22">
                  <c:v>78.478260869565219</c:v>
                </c:pt>
                <c:pt idx="23">
                  <c:v>78.705882352941174</c:v>
                </c:pt>
                <c:pt idx="24">
                  <c:v>79.36363636363636</c:v>
                </c:pt>
                <c:pt idx="25">
                  <c:v>82.5</c:v>
                </c:pt>
                <c:pt idx="26">
                  <c:v>82.8</c:v>
                </c:pt>
                <c:pt idx="27">
                  <c:v>86.82352941176471</c:v>
                </c:pt>
                <c:pt idx="28">
                  <c:v>81.315789473684205</c:v>
                </c:pt>
                <c:pt idx="29">
                  <c:v>83.142857142857139</c:v>
                </c:pt>
                <c:pt idx="30">
                  <c:v>81.766666666666666</c:v>
                </c:pt>
                <c:pt idx="31">
                  <c:v>84.916666666666671</c:v>
                </c:pt>
                <c:pt idx="32">
                  <c:v>83.454545454545453</c:v>
                </c:pt>
                <c:pt idx="33">
                  <c:v>84.125</c:v>
                </c:pt>
                <c:pt idx="34">
                  <c:v>85.416666666666671</c:v>
                </c:pt>
                <c:pt idx="35">
                  <c:v>87</c:v>
                </c:pt>
                <c:pt idx="36">
                  <c:v>86.652173913043484</c:v>
                </c:pt>
                <c:pt idx="37">
                  <c:v>88.782608695652172</c:v>
                </c:pt>
                <c:pt idx="38">
                  <c:v>84.925925925925924</c:v>
                </c:pt>
                <c:pt idx="39">
                  <c:v>86.13636363636364</c:v>
                </c:pt>
                <c:pt idx="40">
                  <c:v>88.5</c:v>
                </c:pt>
                <c:pt idx="41">
                  <c:v>92.5</c:v>
                </c:pt>
                <c:pt idx="42">
                  <c:v>90.058823529411768</c:v>
                </c:pt>
                <c:pt idx="43">
                  <c:v>89.8125</c:v>
                </c:pt>
                <c:pt idx="44">
                  <c:v>89.8</c:v>
                </c:pt>
                <c:pt idx="45">
                  <c:v>86.263157894736835</c:v>
                </c:pt>
                <c:pt idx="46">
                  <c:v>90.333333333333329</c:v>
                </c:pt>
                <c:pt idx="47">
                  <c:v>90.588235294117652</c:v>
                </c:pt>
                <c:pt idx="48">
                  <c:v>90.5</c:v>
                </c:pt>
                <c:pt idx="49">
                  <c:v>83.5</c:v>
                </c:pt>
                <c:pt idx="50">
                  <c:v>93.181818181818187</c:v>
                </c:pt>
                <c:pt idx="51">
                  <c:v>92.8</c:v>
                </c:pt>
                <c:pt idx="52">
                  <c:v>91.272727272727266</c:v>
                </c:pt>
                <c:pt idx="53">
                  <c:v>98.5</c:v>
                </c:pt>
                <c:pt idx="54">
                  <c:v>93.166666666666671</c:v>
                </c:pt>
                <c:pt idx="55">
                  <c:v>94.285714285714292</c:v>
                </c:pt>
                <c:pt idx="56">
                  <c:v>92.875</c:v>
                </c:pt>
                <c:pt idx="57">
                  <c:v>99.714285714285708</c:v>
                </c:pt>
                <c:pt idx="58">
                  <c:v>96.333333333333329</c:v>
                </c:pt>
                <c:pt idx="59">
                  <c:v>100</c:v>
                </c:pt>
                <c:pt idx="60">
                  <c:v>96.8</c:v>
                </c:pt>
                <c:pt idx="61">
                  <c:v>97.25</c:v>
                </c:pt>
                <c:pt idx="62">
                  <c:v>80</c:v>
                </c:pt>
                <c:pt idx="63">
                  <c:v>93.25</c:v>
                </c:pt>
                <c:pt idx="64">
                  <c:v>100</c:v>
                </c:pt>
                <c:pt idx="65">
                  <c:v>100</c:v>
                </c:pt>
                <c:pt idx="66">
                  <c:v>97.5</c:v>
                </c:pt>
                <c:pt idx="67">
                  <c:v>94</c:v>
                </c:pt>
                <c:pt idx="68">
                  <c:v>99</c:v>
                </c:pt>
                <c:pt idx="69">
                  <c:v>98</c:v>
                </c:pt>
              </c:numCache>
            </c:numRef>
          </c:val>
          <c:smooth val="0"/>
          <c:extLst>
            <c:ext xmlns:c16="http://schemas.microsoft.com/office/drawing/2014/chart" uri="{C3380CC4-5D6E-409C-BE32-E72D297353CC}">
              <c16:uniqueId val="{00000000-A141-453B-A6C3-A4E05247F7BE}"/>
            </c:ext>
          </c:extLst>
        </c:ser>
        <c:dLbls>
          <c:showLegendKey val="0"/>
          <c:showVal val="0"/>
          <c:showCatName val="0"/>
          <c:showSerName val="0"/>
          <c:showPercent val="0"/>
          <c:showBubbleSize val="0"/>
        </c:dLbls>
        <c:marker val="1"/>
        <c:smooth val="0"/>
        <c:axId val="784314079"/>
        <c:axId val="786742575"/>
      </c:lineChart>
      <c:catAx>
        <c:axId val="784314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786742575"/>
        <c:crosses val="autoZero"/>
        <c:auto val="1"/>
        <c:lblAlgn val="ctr"/>
        <c:lblOffset val="100"/>
        <c:noMultiLvlLbl val="0"/>
      </c:catAx>
      <c:valAx>
        <c:axId val="78674257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784314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student_performance_dataset dashboard.xlsm]pivot tables!PivotTable2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Score</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tables'!$K$76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tables'!$J$77:$J$87</c:f>
              <c:strCache>
                <c:ptCount val="10"/>
                <c:pt idx="0">
                  <c:v>Below 55</c:v>
                </c:pt>
                <c:pt idx="1">
                  <c:v>55-59</c:v>
                </c:pt>
                <c:pt idx="2">
                  <c:v>60-64</c:v>
                </c:pt>
                <c:pt idx="3">
                  <c:v>65-69</c:v>
                </c:pt>
                <c:pt idx="4">
                  <c:v>70-74</c:v>
                </c:pt>
                <c:pt idx="5">
                  <c:v>90-94</c:v>
                </c:pt>
                <c:pt idx="6">
                  <c:v>75-79</c:v>
                </c:pt>
                <c:pt idx="7">
                  <c:v>85-89</c:v>
                </c:pt>
                <c:pt idx="8">
                  <c:v>80-84</c:v>
                </c:pt>
                <c:pt idx="9">
                  <c:v>95-100</c:v>
                </c:pt>
              </c:strCache>
            </c:strRef>
          </c:cat>
          <c:val>
            <c:numRef>
              <c:f>'pivot tables'!$K$77:$K$87</c:f>
              <c:numCache>
                <c:formatCode>General</c:formatCode>
                <c:ptCount val="10"/>
                <c:pt idx="0">
                  <c:v>3</c:v>
                </c:pt>
                <c:pt idx="1">
                  <c:v>7</c:v>
                </c:pt>
                <c:pt idx="2">
                  <c:v>28</c:v>
                </c:pt>
                <c:pt idx="3">
                  <c:v>53</c:v>
                </c:pt>
                <c:pt idx="4">
                  <c:v>110</c:v>
                </c:pt>
                <c:pt idx="5">
                  <c:v>132</c:v>
                </c:pt>
                <c:pt idx="6">
                  <c:v>147</c:v>
                </c:pt>
                <c:pt idx="7">
                  <c:v>167</c:v>
                </c:pt>
                <c:pt idx="8">
                  <c:v>176</c:v>
                </c:pt>
                <c:pt idx="9">
                  <c:v>177</c:v>
                </c:pt>
              </c:numCache>
            </c:numRef>
          </c:val>
          <c:extLst>
            <c:ext xmlns:c16="http://schemas.microsoft.com/office/drawing/2014/chart" uri="{C3380CC4-5D6E-409C-BE32-E72D297353CC}">
              <c16:uniqueId val="{00000000-34F3-4042-BF1E-B5D0B5CAE997}"/>
            </c:ext>
          </c:extLst>
        </c:ser>
        <c:dLbls>
          <c:showLegendKey val="0"/>
          <c:showVal val="0"/>
          <c:showCatName val="0"/>
          <c:showSerName val="0"/>
          <c:showPercent val="0"/>
          <c:showBubbleSize val="0"/>
        </c:dLbls>
        <c:gapWidth val="3"/>
        <c:overlap val="100"/>
        <c:axId val="1861866816"/>
        <c:axId val="1789884528"/>
      </c:barChart>
      <c:catAx>
        <c:axId val="186186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789884528"/>
        <c:crosses val="autoZero"/>
        <c:auto val="1"/>
        <c:lblAlgn val="ctr"/>
        <c:lblOffset val="100"/>
        <c:noMultiLvlLbl val="0"/>
      </c:catAx>
      <c:valAx>
        <c:axId val="17898845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8618668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t> Study Time vs Final Exam Score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420595481587039"/>
          <c:y val="0.19962501818591402"/>
          <c:w val="0.81323264374157234"/>
          <c:h val="0.43157684780619215"/>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2"/>
                </a:solidFill>
                <a:prstDash val="solid"/>
              </a:ln>
              <a:effectLst/>
            </c:spPr>
            <c:trendlineType val="linear"/>
            <c:dispRSqr val="0"/>
            <c:dispEq val="0"/>
          </c:trendline>
          <c:xVal>
            <c:numRef>
              <c:f>'working dataset'!$C$4:$C$1003</c:f>
              <c:numCache>
                <c:formatCode>0.0</c:formatCode>
                <c:ptCount val="1000"/>
                <c:pt idx="0">
                  <c:v>4</c:v>
                </c:pt>
                <c:pt idx="1">
                  <c:v>6.3</c:v>
                </c:pt>
                <c:pt idx="2">
                  <c:v>4.9000000000000004</c:v>
                </c:pt>
                <c:pt idx="3">
                  <c:v>2.6</c:v>
                </c:pt>
                <c:pt idx="4">
                  <c:v>2.2000000000000002</c:v>
                </c:pt>
                <c:pt idx="5">
                  <c:v>4.2</c:v>
                </c:pt>
                <c:pt idx="6">
                  <c:v>1.5</c:v>
                </c:pt>
                <c:pt idx="7">
                  <c:v>6.2</c:v>
                </c:pt>
                <c:pt idx="8">
                  <c:v>5.3</c:v>
                </c:pt>
                <c:pt idx="9">
                  <c:v>2.8</c:v>
                </c:pt>
                <c:pt idx="10">
                  <c:v>0.9</c:v>
                </c:pt>
                <c:pt idx="11">
                  <c:v>5.5</c:v>
                </c:pt>
                <c:pt idx="12">
                  <c:v>3.3</c:v>
                </c:pt>
                <c:pt idx="13">
                  <c:v>5.4</c:v>
                </c:pt>
                <c:pt idx="14">
                  <c:v>1.1000000000000001</c:v>
                </c:pt>
                <c:pt idx="15">
                  <c:v>2.6</c:v>
                </c:pt>
                <c:pt idx="16">
                  <c:v>3.5</c:v>
                </c:pt>
                <c:pt idx="17">
                  <c:v>3.6</c:v>
                </c:pt>
                <c:pt idx="18">
                  <c:v>2.8</c:v>
                </c:pt>
                <c:pt idx="19">
                  <c:v>4.4000000000000004</c:v>
                </c:pt>
                <c:pt idx="20">
                  <c:v>1.9</c:v>
                </c:pt>
                <c:pt idx="21">
                  <c:v>3.3</c:v>
                </c:pt>
                <c:pt idx="22">
                  <c:v>3.7</c:v>
                </c:pt>
                <c:pt idx="23">
                  <c:v>4.3</c:v>
                </c:pt>
                <c:pt idx="24">
                  <c:v>4.5999999999999996</c:v>
                </c:pt>
                <c:pt idx="25">
                  <c:v>1.8</c:v>
                </c:pt>
                <c:pt idx="26">
                  <c:v>1.2</c:v>
                </c:pt>
                <c:pt idx="27">
                  <c:v>5.4</c:v>
                </c:pt>
                <c:pt idx="28">
                  <c:v>4</c:v>
                </c:pt>
                <c:pt idx="29">
                  <c:v>2.4</c:v>
                </c:pt>
                <c:pt idx="30">
                  <c:v>5.8</c:v>
                </c:pt>
                <c:pt idx="31">
                  <c:v>3.7</c:v>
                </c:pt>
                <c:pt idx="32">
                  <c:v>5.3</c:v>
                </c:pt>
                <c:pt idx="33">
                  <c:v>3.6</c:v>
                </c:pt>
                <c:pt idx="34">
                  <c:v>6.6</c:v>
                </c:pt>
                <c:pt idx="35">
                  <c:v>6.1</c:v>
                </c:pt>
                <c:pt idx="36">
                  <c:v>3.1</c:v>
                </c:pt>
                <c:pt idx="37">
                  <c:v>5</c:v>
                </c:pt>
                <c:pt idx="38">
                  <c:v>4.5</c:v>
                </c:pt>
                <c:pt idx="39">
                  <c:v>5.6</c:v>
                </c:pt>
                <c:pt idx="40">
                  <c:v>2.1</c:v>
                </c:pt>
                <c:pt idx="41">
                  <c:v>4.5</c:v>
                </c:pt>
                <c:pt idx="42">
                  <c:v>5.0999999999999996</c:v>
                </c:pt>
                <c:pt idx="43">
                  <c:v>0.9</c:v>
                </c:pt>
                <c:pt idx="44">
                  <c:v>1.7</c:v>
                </c:pt>
                <c:pt idx="45">
                  <c:v>0.5</c:v>
                </c:pt>
                <c:pt idx="46">
                  <c:v>3.1</c:v>
                </c:pt>
                <c:pt idx="47">
                  <c:v>4.5999999999999996</c:v>
                </c:pt>
                <c:pt idx="48">
                  <c:v>5.8</c:v>
                </c:pt>
                <c:pt idx="49">
                  <c:v>3.6</c:v>
                </c:pt>
                <c:pt idx="50">
                  <c:v>5.9</c:v>
                </c:pt>
                <c:pt idx="51">
                  <c:v>1.4</c:v>
                </c:pt>
                <c:pt idx="52">
                  <c:v>0.9</c:v>
                </c:pt>
                <c:pt idx="53">
                  <c:v>3.4</c:v>
                </c:pt>
                <c:pt idx="54">
                  <c:v>4.0999999999999996</c:v>
                </c:pt>
                <c:pt idx="55">
                  <c:v>3.5</c:v>
                </c:pt>
                <c:pt idx="56">
                  <c:v>0.5</c:v>
                </c:pt>
                <c:pt idx="57">
                  <c:v>3.4</c:v>
                </c:pt>
                <c:pt idx="58">
                  <c:v>1.5</c:v>
                </c:pt>
                <c:pt idx="59">
                  <c:v>4.5</c:v>
                </c:pt>
                <c:pt idx="60">
                  <c:v>4</c:v>
                </c:pt>
                <c:pt idx="61">
                  <c:v>2.1</c:v>
                </c:pt>
                <c:pt idx="62">
                  <c:v>2.7</c:v>
                </c:pt>
                <c:pt idx="63">
                  <c:v>1.9</c:v>
                </c:pt>
                <c:pt idx="64">
                  <c:v>3.4</c:v>
                </c:pt>
                <c:pt idx="65">
                  <c:v>4.9000000000000004</c:v>
                </c:pt>
                <c:pt idx="66">
                  <c:v>2</c:v>
                </c:pt>
                <c:pt idx="67">
                  <c:v>4.3</c:v>
                </c:pt>
                <c:pt idx="68">
                  <c:v>2.7</c:v>
                </c:pt>
                <c:pt idx="69">
                  <c:v>2.2999999999999998</c:v>
                </c:pt>
                <c:pt idx="70">
                  <c:v>3.3</c:v>
                </c:pt>
                <c:pt idx="71">
                  <c:v>1.9</c:v>
                </c:pt>
                <c:pt idx="72">
                  <c:v>2.7</c:v>
                </c:pt>
                <c:pt idx="73">
                  <c:v>1.7</c:v>
                </c:pt>
                <c:pt idx="74">
                  <c:v>6.4</c:v>
                </c:pt>
                <c:pt idx="75">
                  <c:v>3.6</c:v>
                </c:pt>
                <c:pt idx="76">
                  <c:v>2.5</c:v>
                </c:pt>
                <c:pt idx="77">
                  <c:v>3.8</c:v>
                </c:pt>
                <c:pt idx="78">
                  <c:v>3.3</c:v>
                </c:pt>
                <c:pt idx="79">
                  <c:v>3.2</c:v>
                </c:pt>
                <c:pt idx="80">
                  <c:v>4.4000000000000004</c:v>
                </c:pt>
                <c:pt idx="81">
                  <c:v>4.5999999999999996</c:v>
                </c:pt>
                <c:pt idx="82">
                  <c:v>2.7</c:v>
                </c:pt>
                <c:pt idx="83">
                  <c:v>2.6</c:v>
                </c:pt>
                <c:pt idx="84">
                  <c:v>3.1</c:v>
                </c:pt>
                <c:pt idx="85">
                  <c:v>0.5</c:v>
                </c:pt>
                <c:pt idx="86">
                  <c:v>1.2</c:v>
                </c:pt>
                <c:pt idx="87">
                  <c:v>5.6</c:v>
                </c:pt>
                <c:pt idx="88">
                  <c:v>6</c:v>
                </c:pt>
                <c:pt idx="89">
                  <c:v>3.1</c:v>
                </c:pt>
                <c:pt idx="90">
                  <c:v>4.4000000000000004</c:v>
                </c:pt>
                <c:pt idx="91">
                  <c:v>4</c:v>
                </c:pt>
                <c:pt idx="92">
                  <c:v>8.1</c:v>
                </c:pt>
                <c:pt idx="93">
                  <c:v>5.2</c:v>
                </c:pt>
                <c:pt idx="94">
                  <c:v>3.3</c:v>
                </c:pt>
                <c:pt idx="95">
                  <c:v>2.1</c:v>
                </c:pt>
                <c:pt idx="96">
                  <c:v>1.1000000000000001</c:v>
                </c:pt>
                <c:pt idx="97">
                  <c:v>3.8</c:v>
                </c:pt>
                <c:pt idx="98">
                  <c:v>2.4</c:v>
                </c:pt>
                <c:pt idx="99">
                  <c:v>1.4</c:v>
                </c:pt>
                <c:pt idx="100">
                  <c:v>2.5</c:v>
                </c:pt>
                <c:pt idx="101">
                  <c:v>1.9</c:v>
                </c:pt>
                <c:pt idx="102">
                  <c:v>6</c:v>
                </c:pt>
                <c:pt idx="103">
                  <c:v>4.8</c:v>
                </c:pt>
                <c:pt idx="104">
                  <c:v>3.5</c:v>
                </c:pt>
                <c:pt idx="105">
                  <c:v>5.7</c:v>
                </c:pt>
                <c:pt idx="106">
                  <c:v>3.6</c:v>
                </c:pt>
                <c:pt idx="107">
                  <c:v>2.2000000000000002</c:v>
                </c:pt>
                <c:pt idx="108">
                  <c:v>5.8</c:v>
                </c:pt>
                <c:pt idx="109">
                  <c:v>4.3</c:v>
                </c:pt>
                <c:pt idx="110">
                  <c:v>1.9</c:v>
                </c:pt>
                <c:pt idx="111">
                  <c:v>3.2</c:v>
                </c:pt>
                <c:pt idx="112">
                  <c:v>2.2000000000000002</c:v>
                </c:pt>
                <c:pt idx="113">
                  <c:v>1.4</c:v>
                </c:pt>
                <c:pt idx="114">
                  <c:v>4.9000000000000004</c:v>
                </c:pt>
                <c:pt idx="115">
                  <c:v>6.4</c:v>
                </c:pt>
                <c:pt idx="116">
                  <c:v>1.4</c:v>
                </c:pt>
                <c:pt idx="117">
                  <c:v>4.3</c:v>
                </c:pt>
                <c:pt idx="118">
                  <c:v>2.5</c:v>
                </c:pt>
                <c:pt idx="119">
                  <c:v>2.8</c:v>
                </c:pt>
                <c:pt idx="120">
                  <c:v>2.6</c:v>
                </c:pt>
                <c:pt idx="121">
                  <c:v>2.2000000000000002</c:v>
                </c:pt>
                <c:pt idx="122">
                  <c:v>3.6</c:v>
                </c:pt>
                <c:pt idx="123">
                  <c:v>2.2999999999999998</c:v>
                </c:pt>
                <c:pt idx="124">
                  <c:v>3.9</c:v>
                </c:pt>
                <c:pt idx="125">
                  <c:v>3.4</c:v>
                </c:pt>
                <c:pt idx="126">
                  <c:v>3.1</c:v>
                </c:pt>
                <c:pt idx="127">
                  <c:v>2.1</c:v>
                </c:pt>
                <c:pt idx="128">
                  <c:v>2.6</c:v>
                </c:pt>
                <c:pt idx="129">
                  <c:v>4.5999999999999996</c:v>
                </c:pt>
                <c:pt idx="130">
                  <c:v>4.3</c:v>
                </c:pt>
                <c:pt idx="131">
                  <c:v>2</c:v>
                </c:pt>
                <c:pt idx="132">
                  <c:v>3.6</c:v>
                </c:pt>
                <c:pt idx="133">
                  <c:v>4.5999999999999996</c:v>
                </c:pt>
                <c:pt idx="134">
                  <c:v>1</c:v>
                </c:pt>
                <c:pt idx="135">
                  <c:v>4.3</c:v>
                </c:pt>
                <c:pt idx="136">
                  <c:v>2.5</c:v>
                </c:pt>
                <c:pt idx="137">
                  <c:v>4.4000000000000004</c:v>
                </c:pt>
                <c:pt idx="138">
                  <c:v>2.4</c:v>
                </c:pt>
                <c:pt idx="139">
                  <c:v>0.8</c:v>
                </c:pt>
                <c:pt idx="140">
                  <c:v>1.1000000000000001</c:v>
                </c:pt>
                <c:pt idx="141">
                  <c:v>3.6</c:v>
                </c:pt>
                <c:pt idx="142">
                  <c:v>3.9</c:v>
                </c:pt>
                <c:pt idx="143">
                  <c:v>2.1</c:v>
                </c:pt>
                <c:pt idx="144">
                  <c:v>4.5</c:v>
                </c:pt>
                <c:pt idx="145">
                  <c:v>1</c:v>
                </c:pt>
                <c:pt idx="146">
                  <c:v>3.4</c:v>
                </c:pt>
                <c:pt idx="147">
                  <c:v>1.7</c:v>
                </c:pt>
                <c:pt idx="148">
                  <c:v>2.5</c:v>
                </c:pt>
                <c:pt idx="149">
                  <c:v>3.6</c:v>
                </c:pt>
                <c:pt idx="150">
                  <c:v>2.2000000000000002</c:v>
                </c:pt>
                <c:pt idx="151">
                  <c:v>2.9</c:v>
                </c:pt>
                <c:pt idx="152">
                  <c:v>5</c:v>
                </c:pt>
                <c:pt idx="153">
                  <c:v>2.6</c:v>
                </c:pt>
                <c:pt idx="154">
                  <c:v>4.8</c:v>
                </c:pt>
                <c:pt idx="155">
                  <c:v>1.8</c:v>
                </c:pt>
                <c:pt idx="156">
                  <c:v>4.3</c:v>
                </c:pt>
                <c:pt idx="157">
                  <c:v>5.7</c:v>
                </c:pt>
                <c:pt idx="158">
                  <c:v>0.5</c:v>
                </c:pt>
                <c:pt idx="159">
                  <c:v>2.2999999999999998</c:v>
                </c:pt>
                <c:pt idx="160">
                  <c:v>4.4000000000000004</c:v>
                </c:pt>
                <c:pt idx="161">
                  <c:v>3.2</c:v>
                </c:pt>
                <c:pt idx="162">
                  <c:v>4.0999999999999996</c:v>
                </c:pt>
                <c:pt idx="163">
                  <c:v>2.6</c:v>
                </c:pt>
                <c:pt idx="164">
                  <c:v>3.6</c:v>
                </c:pt>
                <c:pt idx="165">
                  <c:v>3.3</c:v>
                </c:pt>
                <c:pt idx="166">
                  <c:v>5.3</c:v>
                </c:pt>
                <c:pt idx="167">
                  <c:v>3.9</c:v>
                </c:pt>
                <c:pt idx="168">
                  <c:v>4</c:v>
                </c:pt>
                <c:pt idx="169">
                  <c:v>2.9</c:v>
                </c:pt>
                <c:pt idx="170">
                  <c:v>2.8</c:v>
                </c:pt>
                <c:pt idx="171">
                  <c:v>2.9</c:v>
                </c:pt>
                <c:pt idx="172">
                  <c:v>4.0999999999999996</c:v>
                </c:pt>
                <c:pt idx="173">
                  <c:v>2.9</c:v>
                </c:pt>
                <c:pt idx="174">
                  <c:v>3.9</c:v>
                </c:pt>
                <c:pt idx="175">
                  <c:v>6.6</c:v>
                </c:pt>
                <c:pt idx="176">
                  <c:v>4.8</c:v>
                </c:pt>
                <c:pt idx="177">
                  <c:v>3</c:v>
                </c:pt>
                <c:pt idx="178">
                  <c:v>5.3</c:v>
                </c:pt>
                <c:pt idx="179">
                  <c:v>2.9</c:v>
                </c:pt>
                <c:pt idx="180">
                  <c:v>0.5</c:v>
                </c:pt>
                <c:pt idx="181">
                  <c:v>2</c:v>
                </c:pt>
                <c:pt idx="182">
                  <c:v>0.7</c:v>
                </c:pt>
                <c:pt idx="183">
                  <c:v>3</c:v>
                </c:pt>
                <c:pt idx="184">
                  <c:v>3.5</c:v>
                </c:pt>
                <c:pt idx="185">
                  <c:v>6</c:v>
                </c:pt>
                <c:pt idx="186">
                  <c:v>4</c:v>
                </c:pt>
                <c:pt idx="187">
                  <c:v>3.2</c:v>
                </c:pt>
                <c:pt idx="188">
                  <c:v>4.7</c:v>
                </c:pt>
                <c:pt idx="189">
                  <c:v>0.5</c:v>
                </c:pt>
                <c:pt idx="190">
                  <c:v>3.9</c:v>
                </c:pt>
                <c:pt idx="191">
                  <c:v>4.7</c:v>
                </c:pt>
                <c:pt idx="192">
                  <c:v>1.3</c:v>
                </c:pt>
                <c:pt idx="193">
                  <c:v>5.2</c:v>
                </c:pt>
                <c:pt idx="194">
                  <c:v>4</c:v>
                </c:pt>
                <c:pt idx="195">
                  <c:v>2.9</c:v>
                </c:pt>
                <c:pt idx="196">
                  <c:v>4.4000000000000004</c:v>
                </c:pt>
                <c:pt idx="197">
                  <c:v>6.9</c:v>
                </c:pt>
                <c:pt idx="198">
                  <c:v>3.8</c:v>
                </c:pt>
                <c:pt idx="199">
                  <c:v>3.9</c:v>
                </c:pt>
                <c:pt idx="200">
                  <c:v>2.8</c:v>
                </c:pt>
                <c:pt idx="201">
                  <c:v>2.2000000000000002</c:v>
                </c:pt>
                <c:pt idx="202">
                  <c:v>4.7</c:v>
                </c:pt>
                <c:pt idx="203">
                  <c:v>2.2000000000000002</c:v>
                </c:pt>
                <c:pt idx="204">
                  <c:v>3.6</c:v>
                </c:pt>
                <c:pt idx="205">
                  <c:v>2.8</c:v>
                </c:pt>
                <c:pt idx="206">
                  <c:v>4.2</c:v>
                </c:pt>
                <c:pt idx="207">
                  <c:v>4</c:v>
                </c:pt>
                <c:pt idx="208">
                  <c:v>5.0999999999999996</c:v>
                </c:pt>
                <c:pt idx="209">
                  <c:v>2.7</c:v>
                </c:pt>
                <c:pt idx="210">
                  <c:v>3.1</c:v>
                </c:pt>
                <c:pt idx="211">
                  <c:v>2</c:v>
                </c:pt>
                <c:pt idx="212">
                  <c:v>2.8</c:v>
                </c:pt>
                <c:pt idx="213">
                  <c:v>4.0999999999999996</c:v>
                </c:pt>
                <c:pt idx="214">
                  <c:v>4.5999999999999996</c:v>
                </c:pt>
                <c:pt idx="215">
                  <c:v>2.1</c:v>
                </c:pt>
                <c:pt idx="216">
                  <c:v>4.8</c:v>
                </c:pt>
                <c:pt idx="217">
                  <c:v>5.5</c:v>
                </c:pt>
                <c:pt idx="218">
                  <c:v>4.0999999999999996</c:v>
                </c:pt>
                <c:pt idx="219">
                  <c:v>6.3</c:v>
                </c:pt>
                <c:pt idx="220">
                  <c:v>2.2999999999999998</c:v>
                </c:pt>
                <c:pt idx="221">
                  <c:v>1.6</c:v>
                </c:pt>
                <c:pt idx="222">
                  <c:v>0.8</c:v>
                </c:pt>
                <c:pt idx="223">
                  <c:v>5.7</c:v>
                </c:pt>
                <c:pt idx="224">
                  <c:v>4.5</c:v>
                </c:pt>
                <c:pt idx="225">
                  <c:v>3.4</c:v>
                </c:pt>
                <c:pt idx="226">
                  <c:v>3.9</c:v>
                </c:pt>
                <c:pt idx="227">
                  <c:v>1.8</c:v>
                </c:pt>
                <c:pt idx="228">
                  <c:v>7.2</c:v>
                </c:pt>
                <c:pt idx="229">
                  <c:v>3.7</c:v>
                </c:pt>
                <c:pt idx="230">
                  <c:v>3.7</c:v>
                </c:pt>
                <c:pt idx="231">
                  <c:v>4.5999999999999996</c:v>
                </c:pt>
                <c:pt idx="232">
                  <c:v>4.2</c:v>
                </c:pt>
                <c:pt idx="233">
                  <c:v>3.8</c:v>
                </c:pt>
                <c:pt idx="234">
                  <c:v>2.2999999999999998</c:v>
                </c:pt>
                <c:pt idx="235">
                  <c:v>4.2</c:v>
                </c:pt>
                <c:pt idx="236">
                  <c:v>6.3</c:v>
                </c:pt>
                <c:pt idx="237">
                  <c:v>5.5</c:v>
                </c:pt>
                <c:pt idx="238">
                  <c:v>5.9</c:v>
                </c:pt>
                <c:pt idx="239">
                  <c:v>2.7</c:v>
                </c:pt>
                <c:pt idx="240">
                  <c:v>2</c:v>
                </c:pt>
                <c:pt idx="241">
                  <c:v>3.3</c:v>
                </c:pt>
                <c:pt idx="242">
                  <c:v>3.6</c:v>
                </c:pt>
                <c:pt idx="243">
                  <c:v>5.0999999999999996</c:v>
                </c:pt>
                <c:pt idx="244">
                  <c:v>1</c:v>
                </c:pt>
                <c:pt idx="245">
                  <c:v>5.8</c:v>
                </c:pt>
                <c:pt idx="246">
                  <c:v>3.3</c:v>
                </c:pt>
                <c:pt idx="247">
                  <c:v>2.9</c:v>
                </c:pt>
                <c:pt idx="248">
                  <c:v>2</c:v>
                </c:pt>
                <c:pt idx="249">
                  <c:v>1</c:v>
                </c:pt>
                <c:pt idx="250">
                  <c:v>4.7</c:v>
                </c:pt>
                <c:pt idx="251">
                  <c:v>3.6</c:v>
                </c:pt>
                <c:pt idx="252">
                  <c:v>1.6</c:v>
                </c:pt>
                <c:pt idx="253">
                  <c:v>1.6</c:v>
                </c:pt>
                <c:pt idx="254">
                  <c:v>3</c:v>
                </c:pt>
                <c:pt idx="255">
                  <c:v>6</c:v>
                </c:pt>
                <c:pt idx="256">
                  <c:v>3.1</c:v>
                </c:pt>
                <c:pt idx="257">
                  <c:v>1.2</c:v>
                </c:pt>
                <c:pt idx="258">
                  <c:v>3.1</c:v>
                </c:pt>
                <c:pt idx="259">
                  <c:v>3.1</c:v>
                </c:pt>
                <c:pt idx="260">
                  <c:v>0.5</c:v>
                </c:pt>
                <c:pt idx="261">
                  <c:v>3.4</c:v>
                </c:pt>
                <c:pt idx="262">
                  <c:v>3.2</c:v>
                </c:pt>
                <c:pt idx="263">
                  <c:v>4.5</c:v>
                </c:pt>
                <c:pt idx="264">
                  <c:v>6.3</c:v>
                </c:pt>
                <c:pt idx="265">
                  <c:v>5.2</c:v>
                </c:pt>
                <c:pt idx="266">
                  <c:v>3.1</c:v>
                </c:pt>
                <c:pt idx="267">
                  <c:v>1.8</c:v>
                </c:pt>
                <c:pt idx="268">
                  <c:v>7.4</c:v>
                </c:pt>
                <c:pt idx="269">
                  <c:v>3.6</c:v>
                </c:pt>
                <c:pt idx="270">
                  <c:v>3.5</c:v>
                </c:pt>
                <c:pt idx="271">
                  <c:v>3.5</c:v>
                </c:pt>
                <c:pt idx="272">
                  <c:v>3.8</c:v>
                </c:pt>
                <c:pt idx="273">
                  <c:v>3.3</c:v>
                </c:pt>
                <c:pt idx="274">
                  <c:v>2.6</c:v>
                </c:pt>
                <c:pt idx="275">
                  <c:v>2.7</c:v>
                </c:pt>
                <c:pt idx="276">
                  <c:v>3.5</c:v>
                </c:pt>
                <c:pt idx="277">
                  <c:v>2.7</c:v>
                </c:pt>
                <c:pt idx="278">
                  <c:v>2.4</c:v>
                </c:pt>
                <c:pt idx="279">
                  <c:v>3.7</c:v>
                </c:pt>
                <c:pt idx="280">
                  <c:v>3.1</c:v>
                </c:pt>
                <c:pt idx="281">
                  <c:v>5.8</c:v>
                </c:pt>
                <c:pt idx="282">
                  <c:v>0.5</c:v>
                </c:pt>
                <c:pt idx="283">
                  <c:v>5.0999999999999996</c:v>
                </c:pt>
                <c:pt idx="284">
                  <c:v>5.4</c:v>
                </c:pt>
                <c:pt idx="285">
                  <c:v>0.5</c:v>
                </c:pt>
                <c:pt idx="286">
                  <c:v>3</c:v>
                </c:pt>
                <c:pt idx="287">
                  <c:v>2.9</c:v>
                </c:pt>
                <c:pt idx="288">
                  <c:v>1.4</c:v>
                </c:pt>
                <c:pt idx="289">
                  <c:v>2.2999999999999998</c:v>
                </c:pt>
                <c:pt idx="290">
                  <c:v>1.8</c:v>
                </c:pt>
                <c:pt idx="291">
                  <c:v>6.1</c:v>
                </c:pt>
                <c:pt idx="292">
                  <c:v>4.9000000000000004</c:v>
                </c:pt>
                <c:pt idx="293">
                  <c:v>5.4</c:v>
                </c:pt>
                <c:pt idx="294">
                  <c:v>4.5999999999999996</c:v>
                </c:pt>
                <c:pt idx="295">
                  <c:v>1.8</c:v>
                </c:pt>
                <c:pt idx="296">
                  <c:v>2.7</c:v>
                </c:pt>
                <c:pt idx="297">
                  <c:v>4.2</c:v>
                </c:pt>
                <c:pt idx="298">
                  <c:v>1.7</c:v>
                </c:pt>
                <c:pt idx="299">
                  <c:v>4.5999999999999996</c:v>
                </c:pt>
                <c:pt idx="300">
                  <c:v>3.1</c:v>
                </c:pt>
                <c:pt idx="301">
                  <c:v>2.9</c:v>
                </c:pt>
                <c:pt idx="302">
                  <c:v>4.5999999999999996</c:v>
                </c:pt>
                <c:pt idx="303">
                  <c:v>4.2</c:v>
                </c:pt>
                <c:pt idx="304">
                  <c:v>3</c:v>
                </c:pt>
                <c:pt idx="305">
                  <c:v>5.2</c:v>
                </c:pt>
                <c:pt idx="306">
                  <c:v>1.9</c:v>
                </c:pt>
                <c:pt idx="307">
                  <c:v>4.4000000000000004</c:v>
                </c:pt>
                <c:pt idx="308">
                  <c:v>4.4000000000000004</c:v>
                </c:pt>
                <c:pt idx="309">
                  <c:v>3</c:v>
                </c:pt>
                <c:pt idx="310">
                  <c:v>4</c:v>
                </c:pt>
                <c:pt idx="311">
                  <c:v>1.6</c:v>
                </c:pt>
                <c:pt idx="312">
                  <c:v>4.9000000000000004</c:v>
                </c:pt>
                <c:pt idx="313">
                  <c:v>3.2</c:v>
                </c:pt>
                <c:pt idx="314">
                  <c:v>2.7</c:v>
                </c:pt>
                <c:pt idx="315">
                  <c:v>5.0999999999999996</c:v>
                </c:pt>
                <c:pt idx="316">
                  <c:v>2.4</c:v>
                </c:pt>
                <c:pt idx="317">
                  <c:v>1.4</c:v>
                </c:pt>
                <c:pt idx="318">
                  <c:v>1.2</c:v>
                </c:pt>
                <c:pt idx="319">
                  <c:v>4.4000000000000004</c:v>
                </c:pt>
                <c:pt idx="320">
                  <c:v>1.6</c:v>
                </c:pt>
                <c:pt idx="321">
                  <c:v>6.1</c:v>
                </c:pt>
                <c:pt idx="322">
                  <c:v>0.5</c:v>
                </c:pt>
                <c:pt idx="323">
                  <c:v>6</c:v>
                </c:pt>
                <c:pt idx="324">
                  <c:v>3.8</c:v>
                </c:pt>
                <c:pt idx="325">
                  <c:v>3.4</c:v>
                </c:pt>
                <c:pt idx="326">
                  <c:v>2.7</c:v>
                </c:pt>
                <c:pt idx="327">
                  <c:v>4.0999999999999996</c:v>
                </c:pt>
                <c:pt idx="328">
                  <c:v>3.4</c:v>
                </c:pt>
                <c:pt idx="329">
                  <c:v>5.2</c:v>
                </c:pt>
                <c:pt idx="330">
                  <c:v>3.7</c:v>
                </c:pt>
                <c:pt idx="331">
                  <c:v>3.7</c:v>
                </c:pt>
                <c:pt idx="332">
                  <c:v>3</c:v>
                </c:pt>
                <c:pt idx="333">
                  <c:v>3.4</c:v>
                </c:pt>
                <c:pt idx="334">
                  <c:v>4</c:v>
                </c:pt>
                <c:pt idx="335">
                  <c:v>0.9</c:v>
                </c:pt>
                <c:pt idx="336">
                  <c:v>1.5</c:v>
                </c:pt>
                <c:pt idx="337">
                  <c:v>4.5999999999999996</c:v>
                </c:pt>
                <c:pt idx="338">
                  <c:v>3.8</c:v>
                </c:pt>
                <c:pt idx="339">
                  <c:v>3.2</c:v>
                </c:pt>
                <c:pt idx="340">
                  <c:v>3.5</c:v>
                </c:pt>
                <c:pt idx="341">
                  <c:v>4</c:v>
                </c:pt>
                <c:pt idx="342">
                  <c:v>2.7</c:v>
                </c:pt>
                <c:pt idx="343">
                  <c:v>2.2999999999999998</c:v>
                </c:pt>
                <c:pt idx="344">
                  <c:v>3.8</c:v>
                </c:pt>
                <c:pt idx="345">
                  <c:v>2</c:v>
                </c:pt>
                <c:pt idx="346">
                  <c:v>4.0999999999999996</c:v>
                </c:pt>
                <c:pt idx="347">
                  <c:v>0.9</c:v>
                </c:pt>
                <c:pt idx="348">
                  <c:v>5</c:v>
                </c:pt>
                <c:pt idx="349">
                  <c:v>4.2</c:v>
                </c:pt>
                <c:pt idx="350">
                  <c:v>3.9</c:v>
                </c:pt>
                <c:pt idx="351">
                  <c:v>5</c:v>
                </c:pt>
                <c:pt idx="352">
                  <c:v>6</c:v>
                </c:pt>
                <c:pt idx="353">
                  <c:v>5</c:v>
                </c:pt>
                <c:pt idx="354">
                  <c:v>0.7</c:v>
                </c:pt>
                <c:pt idx="355">
                  <c:v>1.6</c:v>
                </c:pt>
                <c:pt idx="356">
                  <c:v>2.6</c:v>
                </c:pt>
                <c:pt idx="357">
                  <c:v>3.5</c:v>
                </c:pt>
                <c:pt idx="358">
                  <c:v>4.3</c:v>
                </c:pt>
                <c:pt idx="359">
                  <c:v>2.4</c:v>
                </c:pt>
                <c:pt idx="360">
                  <c:v>3.8</c:v>
                </c:pt>
                <c:pt idx="361">
                  <c:v>2.4</c:v>
                </c:pt>
                <c:pt idx="362">
                  <c:v>2.6</c:v>
                </c:pt>
                <c:pt idx="363">
                  <c:v>1.4</c:v>
                </c:pt>
                <c:pt idx="364">
                  <c:v>2.1</c:v>
                </c:pt>
                <c:pt idx="365">
                  <c:v>1.5</c:v>
                </c:pt>
                <c:pt idx="366">
                  <c:v>2</c:v>
                </c:pt>
                <c:pt idx="367">
                  <c:v>5.0999999999999996</c:v>
                </c:pt>
                <c:pt idx="368">
                  <c:v>2.1</c:v>
                </c:pt>
                <c:pt idx="369">
                  <c:v>7.4</c:v>
                </c:pt>
                <c:pt idx="370">
                  <c:v>4.2</c:v>
                </c:pt>
                <c:pt idx="371">
                  <c:v>3.8</c:v>
                </c:pt>
                <c:pt idx="372">
                  <c:v>2.2000000000000002</c:v>
                </c:pt>
                <c:pt idx="373">
                  <c:v>4.5999999999999996</c:v>
                </c:pt>
                <c:pt idx="374">
                  <c:v>2.6</c:v>
                </c:pt>
                <c:pt idx="375">
                  <c:v>3.7</c:v>
                </c:pt>
                <c:pt idx="376">
                  <c:v>7.3</c:v>
                </c:pt>
                <c:pt idx="377">
                  <c:v>3.4</c:v>
                </c:pt>
                <c:pt idx="378">
                  <c:v>5.2</c:v>
                </c:pt>
                <c:pt idx="379">
                  <c:v>2.4</c:v>
                </c:pt>
                <c:pt idx="380">
                  <c:v>3.4</c:v>
                </c:pt>
                <c:pt idx="381">
                  <c:v>6.2</c:v>
                </c:pt>
                <c:pt idx="382">
                  <c:v>2.6</c:v>
                </c:pt>
                <c:pt idx="383">
                  <c:v>6.2</c:v>
                </c:pt>
                <c:pt idx="384">
                  <c:v>4.5999999999999996</c:v>
                </c:pt>
                <c:pt idx="385">
                  <c:v>2.7</c:v>
                </c:pt>
                <c:pt idx="386">
                  <c:v>4.4000000000000004</c:v>
                </c:pt>
                <c:pt idx="387">
                  <c:v>5</c:v>
                </c:pt>
                <c:pt idx="388">
                  <c:v>4.4000000000000004</c:v>
                </c:pt>
                <c:pt idx="389">
                  <c:v>1.1000000000000001</c:v>
                </c:pt>
                <c:pt idx="390">
                  <c:v>2.4</c:v>
                </c:pt>
                <c:pt idx="391">
                  <c:v>3.1</c:v>
                </c:pt>
                <c:pt idx="392">
                  <c:v>3.4</c:v>
                </c:pt>
                <c:pt idx="393">
                  <c:v>4.4000000000000004</c:v>
                </c:pt>
                <c:pt idx="394">
                  <c:v>3.8</c:v>
                </c:pt>
                <c:pt idx="395">
                  <c:v>1.5</c:v>
                </c:pt>
                <c:pt idx="396">
                  <c:v>4.0999999999999996</c:v>
                </c:pt>
                <c:pt idx="397">
                  <c:v>4.4000000000000004</c:v>
                </c:pt>
                <c:pt idx="398">
                  <c:v>4.3</c:v>
                </c:pt>
                <c:pt idx="399">
                  <c:v>5.0999999999999996</c:v>
                </c:pt>
                <c:pt idx="400">
                  <c:v>4.8</c:v>
                </c:pt>
                <c:pt idx="401">
                  <c:v>4.2</c:v>
                </c:pt>
                <c:pt idx="402">
                  <c:v>3.4</c:v>
                </c:pt>
                <c:pt idx="403">
                  <c:v>1</c:v>
                </c:pt>
                <c:pt idx="404">
                  <c:v>4.0999999999999996</c:v>
                </c:pt>
                <c:pt idx="405">
                  <c:v>3.8</c:v>
                </c:pt>
                <c:pt idx="406">
                  <c:v>3.9</c:v>
                </c:pt>
                <c:pt idx="407">
                  <c:v>1.6</c:v>
                </c:pt>
                <c:pt idx="408">
                  <c:v>1.9</c:v>
                </c:pt>
                <c:pt idx="409">
                  <c:v>5.0999999999999996</c:v>
                </c:pt>
                <c:pt idx="410">
                  <c:v>3.4</c:v>
                </c:pt>
                <c:pt idx="411">
                  <c:v>4.5</c:v>
                </c:pt>
                <c:pt idx="412">
                  <c:v>3.5</c:v>
                </c:pt>
                <c:pt idx="413">
                  <c:v>3.5</c:v>
                </c:pt>
                <c:pt idx="414">
                  <c:v>4.9000000000000004</c:v>
                </c:pt>
                <c:pt idx="415">
                  <c:v>2.7</c:v>
                </c:pt>
                <c:pt idx="416">
                  <c:v>3.6</c:v>
                </c:pt>
                <c:pt idx="417">
                  <c:v>2.8</c:v>
                </c:pt>
                <c:pt idx="418">
                  <c:v>2.8</c:v>
                </c:pt>
                <c:pt idx="419">
                  <c:v>3</c:v>
                </c:pt>
                <c:pt idx="420">
                  <c:v>3.8</c:v>
                </c:pt>
                <c:pt idx="421">
                  <c:v>2.8</c:v>
                </c:pt>
                <c:pt idx="422">
                  <c:v>5.4</c:v>
                </c:pt>
                <c:pt idx="423">
                  <c:v>2.2000000000000002</c:v>
                </c:pt>
                <c:pt idx="424">
                  <c:v>3.2</c:v>
                </c:pt>
                <c:pt idx="425">
                  <c:v>2.8</c:v>
                </c:pt>
                <c:pt idx="426">
                  <c:v>5.7</c:v>
                </c:pt>
                <c:pt idx="427">
                  <c:v>3.8</c:v>
                </c:pt>
                <c:pt idx="428">
                  <c:v>5</c:v>
                </c:pt>
                <c:pt idx="429">
                  <c:v>1.3</c:v>
                </c:pt>
                <c:pt idx="430">
                  <c:v>3.9</c:v>
                </c:pt>
                <c:pt idx="431">
                  <c:v>4.8</c:v>
                </c:pt>
                <c:pt idx="432">
                  <c:v>3.6</c:v>
                </c:pt>
                <c:pt idx="433">
                  <c:v>5.0999999999999996</c:v>
                </c:pt>
                <c:pt idx="434">
                  <c:v>2.7</c:v>
                </c:pt>
                <c:pt idx="435">
                  <c:v>5.6</c:v>
                </c:pt>
                <c:pt idx="436">
                  <c:v>6.9</c:v>
                </c:pt>
                <c:pt idx="437">
                  <c:v>3</c:v>
                </c:pt>
                <c:pt idx="438">
                  <c:v>2.8</c:v>
                </c:pt>
                <c:pt idx="439">
                  <c:v>5.7</c:v>
                </c:pt>
                <c:pt idx="440">
                  <c:v>5.9</c:v>
                </c:pt>
                <c:pt idx="441">
                  <c:v>2.7</c:v>
                </c:pt>
                <c:pt idx="442">
                  <c:v>2.9</c:v>
                </c:pt>
                <c:pt idx="443">
                  <c:v>3.1</c:v>
                </c:pt>
                <c:pt idx="444">
                  <c:v>1.5</c:v>
                </c:pt>
                <c:pt idx="445">
                  <c:v>2.1</c:v>
                </c:pt>
                <c:pt idx="446">
                  <c:v>2</c:v>
                </c:pt>
                <c:pt idx="447">
                  <c:v>2.2999999999999998</c:v>
                </c:pt>
                <c:pt idx="448">
                  <c:v>3.4</c:v>
                </c:pt>
                <c:pt idx="449">
                  <c:v>3.9</c:v>
                </c:pt>
                <c:pt idx="450">
                  <c:v>5.8</c:v>
                </c:pt>
                <c:pt idx="451">
                  <c:v>2</c:v>
                </c:pt>
                <c:pt idx="452">
                  <c:v>5</c:v>
                </c:pt>
                <c:pt idx="453">
                  <c:v>3.2</c:v>
                </c:pt>
                <c:pt idx="454">
                  <c:v>3.4</c:v>
                </c:pt>
                <c:pt idx="455">
                  <c:v>4.5</c:v>
                </c:pt>
                <c:pt idx="456">
                  <c:v>1.8</c:v>
                </c:pt>
                <c:pt idx="457">
                  <c:v>4.0999999999999996</c:v>
                </c:pt>
                <c:pt idx="458">
                  <c:v>3.7</c:v>
                </c:pt>
                <c:pt idx="459">
                  <c:v>4.2</c:v>
                </c:pt>
                <c:pt idx="460">
                  <c:v>3.9</c:v>
                </c:pt>
                <c:pt idx="461">
                  <c:v>7.2</c:v>
                </c:pt>
                <c:pt idx="462">
                  <c:v>2.5</c:v>
                </c:pt>
                <c:pt idx="463">
                  <c:v>2.7</c:v>
                </c:pt>
                <c:pt idx="464">
                  <c:v>2.6</c:v>
                </c:pt>
                <c:pt idx="465">
                  <c:v>2.7</c:v>
                </c:pt>
                <c:pt idx="466">
                  <c:v>2.5</c:v>
                </c:pt>
                <c:pt idx="467">
                  <c:v>5.3</c:v>
                </c:pt>
                <c:pt idx="468">
                  <c:v>5.6</c:v>
                </c:pt>
                <c:pt idx="469">
                  <c:v>2.6</c:v>
                </c:pt>
                <c:pt idx="470">
                  <c:v>2.2999999999999998</c:v>
                </c:pt>
                <c:pt idx="471">
                  <c:v>4.2</c:v>
                </c:pt>
                <c:pt idx="472">
                  <c:v>2.7</c:v>
                </c:pt>
                <c:pt idx="473">
                  <c:v>4.4000000000000004</c:v>
                </c:pt>
                <c:pt idx="474">
                  <c:v>3.8</c:v>
                </c:pt>
                <c:pt idx="475">
                  <c:v>1.2</c:v>
                </c:pt>
                <c:pt idx="476">
                  <c:v>5.8</c:v>
                </c:pt>
                <c:pt idx="477">
                  <c:v>6.2</c:v>
                </c:pt>
                <c:pt idx="478">
                  <c:v>2.6</c:v>
                </c:pt>
                <c:pt idx="479">
                  <c:v>2.9</c:v>
                </c:pt>
                <c:pt idx="480">
                  <c:v>3.9</c:v>
                </c:pt>
                <c:pt idx="481">
                  <c:v>4</c:v>
                </c:pt>
                <c:pt idx="482">
                  <c:v>4.5</c:v>
                </c:pt>
                <c:pt idx="483">
                  <c:v>6.5</c:v>
                </c:pt>
                <c:pt idx="484">
                  <c:v>3.2</c:v>
                </c:pt>
                <c:pt idx="485">
                  <c:v>2.2999999999999998</c:v>
                </c:pt>
                <c:pt idx="486">
                  <c:v>1.4</c:v>
                </c:pt>
                <c:pt idx="487">
                  <c:v>2.4</c:v>
                </c:pt>
                <c:pt idx="488">
                  <c:v>3.5</c:v>
                </c:pt>
                <c:pt idx="489">
                  <c:v>6.2</c:v>
                </c:pt>
                <c:pt idx="490">
                  <c:v>2.7</c:v>
                </c:pt>
                <c:pt idx="491">
                  <c:v>3.8</c:v>
                </c:pt>
                <c:pt idx="492">
                  <c:v>3.5</c:v>
                </c:pt>
                <c:pt idx="493">
                  <c:v>5.3</c:v>
                </c:pt>
                <c:pt idx="494">
                  <c:v>7.3</c:v>
                </c:pt>
                <c:pt idx="495">
                  <c:v>2.7</c:v>
                </c:pt>
                <c:pt idx="496">
                  <c:v>2.8</c:v>
                </c:pt>
                <c:pt idx="497">
                  <c:v>5.0999999999999996</c:v>
                </c:pt>
                <c:pt idx="498">
                  <c:v>4.5</c:v>
                </c:pt>
                <c:pt idx="499">
                  <c:v>6.3</c:v>
                </c:pt>
                <c:pt idx="500">
                  <c:v>4.4000000000000004</c:v>
                </c:pt>
                <c:pt idx="501">
                  <c:v>3</c:v>
                </c:pt>
                <c:pt idx="502">
                  <c:v>4.4000000000000004</c:v>
                </c:pt>
                <c:pt idx="503">
                  <c:v>5.2</c:v>
                </c:pt>
                <c:pt idx="504">
                  <c:v>4.7</c:v>
                </c:pt>
                <c:pt idx="505">
                  <c:v>4.3</c:v>
                </c:pt>
                <c:pt idx="506">
                  <c:v>5.0999999999999996</c:v>
                </c:pt>
                <c:pt idx="507">
                  <c:v>5.3</c:v>
                </c:pt>
                <c:pt idx="508">
                  <c:v>5.6</c:v>
                </c:pt>
                <c:pt idx="509">
                  <c:v>4.5</c:v>
                </c:pt>
                <c:pt idx="510">
                  <c:v>3.2</c:v>
                </c:pt>
                <c:pt idx="511">
                  <c:v>3.7</c:v>
                </c:pt>
                <c:pt idx="512">
                  <c:v>5.3</c:v>
                </c:pt>
                <c:pt idx="513">
                  <c:v>2.2999999999999998</c:v>
                </c:pt>
                <c:pt idx="514">
                  <c:v>4.0999999999999996</c:v>
                </c:pt>
                <c:pt idx="515">
                  <c:v>2.9</c:v>
                </c:pt>
                <c:pt idx="516">
                  <c:v>3.5</c:v>
                </c:pt>
                <c:pt idx="517">
                  <c:v>5.4</c:v>
                </c:pt>
                <c:pt idx="518">
                  <c:v>3.8</c:v>
                </c:pt>
                <c:pt idx="519">
                  <c:v>3.6</c:v>
                </c:pt>
                <c:pt idx="520">
                  <c:v>1.5</c:v>
                </c:pt>
                <c:pt idx="521">
                  <c:v>4.5999999999999996</c:v>
                </c:pt>
                <c:pt idx="522">
                  <c:v>4.5</c:v>
                </c:pt>
                <c:pt idx="523">
                  <c:v>6.7</c:v>
                </c:pt>
                <c:pt idx="524">
                  <c:v>3</c:v>
                </c:pt>
                <c:pt idx="525">
                  <c:v>3.8</c:v>
                </c:pt>
                <c:pt idx="526">
                  <c:v>3.9</c:v>
                </c:pt>
                <c:pt idx="527">
                  <c:v>5.9</c:v>
                </c:pt>
                <c:pt idx="528">
                  <c:v>3.4</c:v>
                </c:pt>
                <c:pt idx="529">
                  <c:v>3.9</c:v>
                </c:pt>
                <c:pt idx="530">
                  <c:v>4.4000000000000004</c:v>
                </c:pt>
                <c:pt idx="531">
                  <c:v>3.8</c:v>
                </c:pt>
                <c:pt idx="532">
                  <c:v>2.8</c:v>
                </c:pt>
                <c:pt idx="533">
                  <c:v>3.8</c:v>
                </c:pt>
                <c:pt idx="534">
                  <c:v>5.0999999999999996</c:v>
                </c:pt>
                <c:pt idx="535">
                  <c:v>2</c:v>
                </c:pt>
                <c:pt idx="536">
                  <c:v>3.7</c:v>
                </c:pt>
                <c:pt idx="537">
                  <c:v>2.4</c:v>
                </c:pt>
                <c:pt idx="538">
                  <c:v>5.3</c:v>
                </c:pt>
                <c:pt idx="539">
                  <c:v>1.2</c:v>
                </c:pt>
                <c:pt idx="540">
                  <c:v>2.7</c:v>
                </c:pt>
                <c:pt idx="541">
                  <c:v>4.0999999999999996</c:v>
                </c:pt>
                <c:pt idx="542">
                  <c:v>5.8</c:v>
                </c:pt>
                <c:pt idx="543">
                  <c:v>3.4</c:v>
                </c:pt>
                <c:pt idx="544">
                  <c:v>2.7</c:v>
                </c:pt>
                <c:pt idx="545">
                  <c:v>6.3</c:v>
                </c:pt>
                <c:pt idx="546">
                  <c:v>1.3</c:v>
                </c:pt>
                <c:pt idx="547">
                  <c:v>0.5</c:v>
                </c:pt>
                <c:pt idx="548">
                  <c:v>4.2</c:v>
                </c:pt>
                <c:pt idx="549">
                  <c:v>2.7</c:v>
                </c:pt>
                <c:pt idx="550">
                  <c:v>2</c:v>
                </c:pt>
                <c:pt idx="551">
                  <c:v>4.5999999999999996</c:v>
                </c:pt>
                <c:pt idx="552">
                  <c:v>3.9</c:v>
                </c:pt>
                <c:pt idx="553">
                  <c:v>2.7</c:v>
                </c:pt>
                <c:pt idx="554">
                  <c:v>1.6</c:v>
                </c:pt>
                <c:pt idx="555">
                  <c:v>4.8</c:v>
                </c:pt>
                <c:pt idx="556">
                  <c:v>4.5</c:v>
                </c:pt>
                <c:pt idx="557">
                  <c:v>3.4</c:v>
                </c:pt>
                <c:pt idx="558">
                  <c:v>6.3</c:v>
                </c:pt>
                <c:pt idx="559">
                  <c:v>1.9</c:v>
                </c:pt>
                <c:pt idx="560">
                  <c:v>1.2</c:v>
                </c:pt>
                <c:pt idx="561">
                  <c:v>2.5</c:v>
                </c:pt>
                <c:pt idx="562">
                  <c:v>3.4</c:v>
                </c:pt>
                <c:pt idx="563">
                  <c:v>3.9</c:v>
                </c:pt>
                <c:pt idx="564">
                  <c:v>3.1</c:v>
                </c:pt>
                <c:pt idx="565">
                  <c:v>4</c:v>
                </c:pt>
                <c:pt idx="566">
                  <c:v>1.6</c:v>
                </c:pt>
                <c:pt idx="567">
                  <c:v>5.7</c:v>
                </c:pt>
                <c:pt idx="568">
                  <c:v>3.4</c:v>
                </c:pt>
                <c:pt idx="569">
                  <c:v>5.2</c:v>
                </c:pt>
                <c:pt idx="570">
                  <c:v>4</c:v>
                </c:pt>
                <c:pt idx="571">
                  <c:v>4.2</c:v>
                </c:pt>
                <c:pt idx="572">
                  <c:v>4.4000000000000004</c:v>
                </c:pt>
                <c:pt idx="573">
                  <c:v>4.2</c:v>
                </c:pt>
                <c:pt idx="574">
                  <c:v>4.5</c:v>
                </c:pt>
                <c:pt idx="575">
                  <c:v>5.5</c:v>
                </c:pt>
                <c:pt idx="576">
                  <c:v>3.8</c:v>
                </c:pt>
                <c:pt idx="577">
                  <c:v>4.5999999999999996</c:v>
                </c:pt>
                <c:pt idx="578">
                  <c:v>3.4</c:v>
                </c:pt>
                <c:pt idx="579">
                  <c:v>5.7</c:v>
                </c:pt>
                <c:pt idx="580">
                  <c:v>2.5</c:v>
                </c:pt>
                <c:pt idx="581">
                  <c:v>6.2</c:v>
                </c:pt>
                <c:pt idx="582">
                  <c:v>3.4</c:v>
                </c:pt>
                <c:pt idx="583">
                  <c:v>1.4</c:v>
                </c:pt>
                <c:pt idx="584">
                  <c:v>3.7</c:v>
                </c:pt>
                <c:pt idx="585">
                  <c:v>2.5</c:v>
                </c:pt>
                <c:pt idx="586">
                  <c:v>4.8</c:v>
                </c:pt>
                <c:pt idx="587">
                  <c:v>2.5</c:v>
                </c:pt>
                <c:pt idx="588">
                  <c:v>2.8</c:v>
                </c:pt>
                <c:pt idx="589">
                  <c:v>0.7</c:v>
                </c:pt>
                <c:pt idx="590">
                  <c:v>2.8</c:v>
                </c:pt>
                <c:pt idx="591">
                  <c:v>0.5</c:v>
                </c:pt>
                <c:pt idx="592">
                  <c:v>1.1000000000000001</c:v>
                </c:pt>
                <c:pt idx="593">
                  <c:v>4.5999999999999996</c:v>
                </c:pt>
                <c:pt idx="594">
                  <c:v>4.7</c:v>
                </c:pt>
                <c:pt idx="595">
                  <c:v>4.0999999999999996</c:v>
                </c:pt>
                <c:pt idx="596">
                  <c:v>2</c:v>
                </c:pt>
                <c:pt idx="597">
                  <c:v>3.4</c:v>
                </c:pt>
                <c:pt idx="598">
                  <c:v>3.5</c:v>
                </c:pt>
                <c:pt idx="599">
                  <c:v>1.8</c:v>
                </c:pt>
                <c:pt idx="600">
                  <c:v>5.8</c:v>
                </c:pt>
                <c:pt idx="601">
                  <c:v>4.8</c:v>
                </c:pt>
                <c:pt idx="602">
                  <c:v>3.2</c:v>
                </c:pt>
                <c:pt idx="603">
                  <c:v>3.5</c:v>
                </c:pt>
                <c:pt idx="604">
                  <c:v>3.8</c:v>
                </c:pt>
                <c:pt idx="605">
                  <c:v>0.5</c:v>
                </c:pt>
                <c:pt idx="606">
                  <c:v>3.1</c:v>
                </c:pt>
                <c:pt idx="607">
                  <c:v>2.5</c:v>
                </c:pt>
                <c:pt idx="608">
                  <c:v>2</c:v>
                </c:pt>
                <c:pt idx="609">
                  <c:v>3.1</c:v>
                </c:pt>
                <c:pt idx="610">
                  <c:v>6.2</c:v>
                </c:pt>
                <c:pt idx="611">
                  <c:v>4.5</c:v>
                </c:pt>
                <c:pt idx="612">
                  <c:v>2.6</c:v>
                </c:pt>
                <c:pt idx="613">
                  <c:v>4.4000000000000004</c:v>
                </c:pt>
                <c:pt idx="614">
                  <c:v>5.6</c:v>
                </c:pt>
                <c:pt idx="615">
                  <c:v>4.9000000000000004</c:v>
                </c:pt>
                <c:pt idx="616">
                  <c:v>3.6</c:v>
                </c:pt>
                <c:pt idx="617">
                  <c:v>2.5</c:v>
                </c:pt>
                <c:pt idx="618">
                  <c:v>4.5</c:v>
                </c:pt>
                <c:pt idx="619">
                  <c:v>4.0999999999999996</c:v>
                </c:pt>
                <c:pt idx="620">
                  <c:v>4.8</c:v>
                </c:pt>
                <c:pt idx="621">
                  <c:v>4.5</c:v>
                </c:pt>
                <c:pt idx="622">
                  <c:v>5.0999999999999996</c:v>
                </c:pt>
                <c:pt idx="623">
                  <c:v>2.7</c:v>
                </c:pt>
                <c:pt idx="624">
                  <c:v>5.5</c:v>
                </c:pt>
                <c:pt idx="625">
                  <c:v>3.8</c:v>
                </c:pt>
                <c:pt idx="626">
                  <c:v>6.6</c:v>
                </c:pt>
                <c:pt idx="627">
                  <c:v>2.5</c:v>
                </c:pt>
                <c:pt idx="628">
                  <c:v>6.1</c:v>
                </c:pt>
                <c:pt idx="629">
                  <c:v>3.8</c:v>
                </c:pt>
                <c:pt idx="630">
                  <c:v>2.5</c:v>
                </c:pt>
                <c:pt idx="631">
                  <c:v>2.8</c:v>
                </c:pt>
                <c:pt idx="632">
                  <c:v>3</c:v>
                </c:pt>
                <c:pt idx="633">
                  <c:v>4.0999999999999996</c:v>
                </c:pt>
                <c:pt idx="634">
                  <c:v>4.3</c:v>
                </c:pt>
                <c:pt idx="635">
                  <c:v>2.6</c:v>
                </c:pt>
                <c:pt idx="636">
                  <c:v>3.5</c:v>
                </c:pt>
                <c:pt idx="637">
                  <c:v>6.7</c:v>
                </c:pt>
                <c:pt idx="638">
                  <c:v>6.1</c:v>
                </c:pt>
                <c:pt idx="639">
                  <c:v>4.2</c:v>
                </c:pt>
                <c:pt idx="640">
                  <c:v>3.6</c:v>
                </c:pt>
                <c:pt idx="641">
                  <c:v>3.7</c:v>
                </c:pt>
                <c:pt idx="642">
                  <c:v>4.4000000000000004</c:v>
                </c:pt>
                <c:pt idx="643">
                  <c:v>2</c:v>
                </c:pt>
                <c:pt idx="644">
                  <c:v>3.1</c:v>
                </c:pt>
                <c:pt idx="645">
                  <c:v>1</c:v>
                </c:pt>
                <c:pt idx="646">
                  <c:v>4.0999999999999996</c:v>
                </c:pt>
                <c:pt idx="647">
                  <c:v>4.5</c:v>
                </c:pt>
                <c:pt idx="648">
                  <c:v>2.8</c:v>
                </c:pt>
                <c:pt idx="649">
                  <c:v>5.9</c:v>
                </c:pt>
                <c:pt idx="650">
                  <c:v>1.7</c:v>
                </c:pt>
                <c:pt idx="651">
                  <c:v>1.3</c:v>
                </c:pt>
                <c:pt idx="652">
                  <c:v>3.8</c:v>
                </c:pt>
                <c:pt idx="653">
                  <c:v>5.0999999999999996</c:v>
                </c:pt>
                <c:pt idx="654">
                  <c:v>6</c:v>
                </c:pt>
                <c:pt idx="655">
                  <c:v>2.8</c:v>
                </c:pt>
                <c:pt idx="656">
                  <c:v>5.0999999999999996</c:v>
                </c:pt>
                <c:pt idx="657">
                  <c:v>3.4</c:v>
                </c:pt>
                <c:pt idx="658">
                  <c:v>3.2</c:v>
                </c:pt>
                <c:pt idx="659">
                  <c:v>4.8</c:v>
                </c:pt>
                <c:pt idx="660">
                  <c:v>4.5</c:v>
                </c:pt>
                <c:pt idx="661">
                  <c:v>1.1000000000000001</c:v>
                </c:pt>
                <c:pt idx="662">
                  <c:v>5.7</c:v>
                </c:pt>
                <c:pt idx="663">
                  <c:v>5.6</c:v>
                </c:pt>
                <c:pt idx="664">
                  <c:v>2.6</c:v>
                </c:pt>
                <c:pt idx="665">
                  <c:v>4.0999999999999996</c:v>
                </c:pt>
                <c:pt idx="666">
                  <c:v>4.2</c:v>
                </c:pt>
                <c:pt idx="667">
                  <c:v>3.9</c:v>
                </c:pt>
                <c:pt idx="668">
                  <c:v>2.7</c:v>
                </c:pt>
                <c:pt idx="669">
                  <c:v>2.5</c:v>
                </c:pt>
                <c:pt idx="670">
                  <c:v>3.5</c:v>
                </c:pt>
                <c:pt idx="671">
                  <c:v>5.3</c:v>
                </c:pt>
                <c:pt idx="672">
                  <c:v>4.3</c:v>
                </c:pt>
                <c:pt idx="673">
                  <c:v>2.9</c:v>
                </c:pt>
                <c:pt idx="674">
                  <c:v>4.7</c:v>
                </c:pt>
                <c:pt idx="675">
                  <c:v>0.5</c:v>
                </c:pt>
                <c:pt idx="676">
                  <c:v>5.2</c:v>
                </c:pt>
                <c:pt idx="677">
                  <c:v>0.9</c:v>
                </c:pt>
                <c:pt idx="678">
                  <c:v>3</c:v>
                </c:pt>
                <c:pt idx="679">
                  <c:v>1.8</c:v>
                </c:pt>
                <c:pt idx="680">
                  <c:v>1.6</c:v>
                </c:pt>
                <c:pt idx="681">
                  <c:v>5.2</c:v>
                </c:pt>
                <c:pt idx="682">
                  <c:v>2.8</c:v>
                </c:pt>
                <c:pt idx="683">
                  <c:v>4</c:v>
                </c:pt>
                <c:pt idx="684">
                  <c:v>3.4</c:v>
                </c:pt>
                <c:pt idx="685">
                  <c:v>4.2</c:v>
                </c:pt>
                <c:pt idx="686">
                  <c:v>3.6</c:v>
                </c:pt>
                <c:pt idx="687">
                  <c:v>1.6</c:v>
                </c:pt>
                <c:pt idx="688">
                  <c:v>5</c:v>
                </c:pt>
                <c:pt idx="689">
                  <c:v>2.8</c:v>
                </c:pt>
                <c:pt idx="690">
                  <c:v>1.2</c:v>
                </c:pt>
                <c:pt idx="691">
                  <c:v>2.9</c:v>
                </c:pt>
                <c:pt idx="692">
                  <c:v>5.8</c:v>
                </c:pt>
                <c:pt idx="693">
                  <c:v>4.8</c:v>
                </c:pt>
                <c:pt idx="694">
                  <c:v>3</c:v>
                </c:pt>
                <c:pt idx="695">
                  <c:v>3</c:v>
                </c:pt>
                <c:pt idx="696">
                  <c:v>3</c:v>
                </c:pt>
                <c:pt idx="697">
                  <c:v>6.6</c:v>
                </c:pt>
                <c:pt idx="698">
                  <c:v>4.0999999999999996</c:v>
                </c:pt>
                <c:pt idx="699">
                  <c:v>4.0999999999999996</c:v>
                </c:pt>
                <c:pt idx="700">
                  <c:v>5</c:v>
                </c:pt>
                <c:pt idx="701">
                  <c:v>3.9</c:v>
                </c:pt>
                <c:pt idx="702">
                  <c:v>3.1</c:v>
                </c:pt>
                <c:pt idx="703">
                  <c:v>3.2</c:v>
                </c:pt>
                <c:pt idx="704">
                  <c:v>3.4</c:v>
                </c:pt>
                <c:pt idx="705">
                  <c:v>3.4</c:v>
                </c:pt>
                <c:pt idx="706">
                  <c:v>4.5999999999999996</c:v>
                </c:pt>
                <c:pt idx="707">
                  <c:v>3.6</c:v>
                </c:pt>
                <c:pt idx="708">
                  <c:v>4.5999999999999996</c:v>
                </c:pt>
                <c:pt idx="709">
                  <c:v>3.4</c:v>
                </c:pt>
                <c:pt idx="710">
                  <c:v>3.6</c:v>
                </c:pt>
                <c:pt idx="711">
                  <c:v>0.5</c:v>
                </c:pt>
                <c:pt idx="712">
                  <c:v>4.9000000000000004</c:v>
                </c:pt>
                <c:pt idx="713">
                  <c:v>4</c:v>
                </c:pt>
                <c:pt idx="714">
                  <c:v>5</c:v>
                </c:pt>
                <c:pt idx="715">
                  <c:v>0.5</c:v>
                </c:pt>
                <c:pt idx="716">
                  <c:v>6.6</c:v>
                </c:pt>
                <c:pt idx="717">
                  <c:v>3.3</c:v>
                </c:pt>
                <c:pt idx="718">
                  <c:v>5.2</c:v>
                </c:pt>
                <c:pt idx="719">
                  <c:v>1.9</c:v>
                </c:pt>
                <c:pt idx="720">
                  <c:v>4.4000000000000004</c:v>
                </c:pt>
                <c:pt idx="721">
                  <c:v>1.9</c:v>
                </c:pt>
                <c:pt idx="722">
                  <c:v>2.6</c:v>
                </c:pt>
                <c:pt idx="723">
                  <c:v>6.4</c:v>
                </c:pt>
                <c:pt idx="724">
                  <c:v>3.2</c:v>
                </c:pt>
                <c:pt idx="725">
                  <c:v>3.8</c:v>
                </c:pt>
                <c:pt idx="726">
                  <c:v>4.8</c:v>
                </c:pt>
                <c:pt idx="727">
                  <c:v>4.2</c:v>
                </c:pt>
                <c:pt idx="728">
                  <c:v>3.7</c:v>
                </c:pt>
                <c:pt idx="729">
                  <c:v>4</c:v>
                </c:pt>
                <c:pt idx="730">
                  <c:v>7.1</c:v>
                </c:pt>
                <c:pt idx="731">
                  <c:v>3.4</c:v>
                </c:pt>
                <c:pt idx="732">
                  <c:v>3.8</c:v>
                </c:pt>
                <c:pt idx="733">
                  <c:v>5.0999999999999996</c:v>
                </c:pt>
                <c:pt idx="734">
                  <c:v>5.2</c:v>
                </c:pt>
                <c:pt idx="735">
                  <c:v>5.3</c:v>
                </c:pt>
                <c:pt idx="736">
                  <c:v>4.5</c:v>
                </c:pt>
                <c:pt idx="737">
                  <c:v>1.8</c:v>
                </c:pt>
                <c:pt idx="738">
                  <c:v>6</c:v>
                </c:pt>
                <c:pt idx="739">
                  <c:v>1.8</c:v>
                </c:pt>
                <c:pt idx="740">
                  <c:v>4</c:v>
                </c:pt>
                <c:pt idx="741">
                  <c:v>2.4</c:v>
                </c:pt>
                <c:pt idx="742">
                  <c:v>3.4</c:v>
                </c:pt>
                <c:pt idx="743">
                  <c:v>4</c:v>
                </c:pt>
                <c:pt idx="744">
                  <c:v>4</c:v>
                </c:pt>
                <c:pt idx="745">
                  <c:v>4.0999999999999996</c:v>
                </c:pt>
                <c:pt idx="746">
                  <c:v>5.9</c:v>
                </c:pt>
                <c:pt idx="747">
                  <c:v>4.2</c:v>
                </c:pt>
                <c:pt idx="748">
                  <c:v>3.1</c:v>
                </c:pt>
                <c:pt idx="749">
                  <c:v>4.9000000000000004</c:v>
                </c:pt>
                <c:pt idx="750">
                  <c:v>5.3</c:v>
                </c:pt>
                <c:pt idx="751">
                  <c:v>1.7</c:v>
                </c:pt>
                <c:pt idx="752">
                  <c:v>4.4000000000000004</c:v>
                </c:pt>
                <c:pt idx="753">
                  <c:v>4.5999999999999996</c:v>
                </c:pt>
                <c:pt idx="754">
                  <c:v>3.1</c:v>
                </c:pt>
                <c:pt idx="755">
                  <c:v>5.6</c:v>
                </c:pt>
                <c:pt idx="756">
                  <c:v>3.3</c:v>
                </c:pt>
                <c:pt idx="757">
                  <c:v>3.7</c:v>
                </c:pt>
                <c:pt idx="758">
                  <c:v>3.2</c:v>
                </c:pt>
                <c:pt idx="759">
                  <c:v>3.5</c:v>
                </c:pt>
                <c:pt idx="760">
                  <c:v>1.9</c:v>
                </c:pt>
                <c:pt idx="761">
                  <c:v>1.3</c:v>
                </c:pt>
                <c:pt idx="762">
                  <c:v>5.9</c:v>
                </c:pt>
                <c:pt idx="763">
                  <c:v>2.2000000000000002</c:v>
                </c:pt>
                <c:pt idx="764">
                  <c:v>2</c:v>
                </c:pt>
                <c:pt idx="765">
                  <c:v>0.5</c:v>
                </c:pt>
                <c:pt idx="766">
                  <c:v>2.5</c:v>
                </c:pt>
                <c:pt idx="767">
                  <c:v>1.5</c:v>
                </c:pt>
                <c:pt idx="768">
                  <c:v>6</c:v>
                </c:pt>
                <c:pt idx="769">
                  <c:v>5</c:v>
                </c:pt>
                <c:pt idx="770">
                  <c:v>2.5</c:v>
                </c:pt>
                <c:pt idx="771">
                  <c:v>6.9</c:v>
                </c:pt>
                <c:pt idx="772">
                  <c:v>5</c:v>
                </c:pt>
                <c:pt idx="773">
                  <c:v>3</c:v>
                </c:pt>
                <c:pt idx="774">
                  <c:v>0.5</c:v>
                </c:pt>
                <c:pt idx="775">
                  <c:v>6.9</c:v>
                </c:pt>
                <c:pt idx="776">
                  <c:v>1.4</c:v>
                </c:pt>
                <c:pt idx="777">
                  <c:v>1</c:v>
                </c:pt>
                <c:pt idx="778">
                  <c:v>5</c:v>
                </c:pt>
                <c:pt idx="779">
                  <c:v>7.2</c:v>
                </c:pt>
                <c:pt idx="780">
                  <c:v>5.6</c:v>
                </c:pt>
                <c:pt idx="781">
                  <c:v>4.3</c:v>
                </c:pt>
                <c:pt idx="782">
                  <c:v>4.4000000000000004</c:v>
                </c:pt>
                <c:pt idx="783">
                  <c:v>4.8</c:v>
                </c:pt>
                <c:pt idx="784">
                  <c:v>4.5999999999999996</c:v>
                </c:pt>
                <c:pt idx="785">
                  <c:v>3.9</c:v>
                </c:pt>
                <c:pt idx="786">
                  <c:v>3.7</c:v>
                </c:pt>
                <c:pt idx="787">
                  <c:v>3.4</c:v>
                </c:pt>
                <c:pt idx="788">
                  <c:v>2.4</c:v>
                </c:pt>
                <c:pt idx="789">
                  <c:v>3.1</c:v>
                </c:pt>
                <c:pt idx="790">
                  <c:v>1</c:v>
                </c:pt>
                <c:pt idx="791">
                  <c:v>3.4</c:v>
                </c:pt>
                <c:pt idx="792">
                  <c:v>2</c:v>
                </c:pt>
                <c:pt idx="793">
                  <c:v>1.8</c:v>
                </c:pt>
                <c:pt idx="794">
                  <c:v>3.8</c:v>
                </c:pt>
                <c:pt idx="795">
                  <c:v>5.6</c:v>
                </c:pt>
                <c:pt idx="796">
                  <c:v>4.9000000000000004</c:v>
                </c:pt>
                <c:pt idx="797">
                  <c:v>1.1000000000000001</c:v>
                </c:pt>
                <c:pt idx="798">
                  <c:v>2</c:v>
                </c:pt>
                <c:pt idx="799">
                  <c:v>4.9000000000000004</c:v>
                </c:pt>
                <c:pt idx="800">
                  <c:v>2</c:v>
                </c:pt>
                <c:pt idx="801">
                  <c:v>3.2</c:v>
                </c:pt>
                <c:pt idx="802">
                  <c:v>4.3</c:v>
                </c:pt>
                <c:pt idx="803">
                  <c:v>2</c:v>
                </c:pt>
                <c:pt idx="804">
                  <c:v>3.7</c:v>
                </c:pt>
                <c:pt idx="805">
                  <c:v>1.5</c:v>
                </c:pt>
                <c:pt idx="806">
                  <c:v>2.6</c:v>
                </c:pt>
                <c:pt idx="807">
                  <c:v>4</c:v>
                </c:pt>
                <c:pt idx="808">
                  <c:v>1.1000000000000001</c:v>
                </c:pt>
                <c:pt idx="809">
                  <c:v>4.2</c:v>
                </c:pt>
                <c:pt idx="810">
                  <c:v>3.5</c:v>
                </c:pt>
                <c:pt idx="811">
                  <c:v>4.3</c:v>
                </c:pt>
                <c:pt idx="812">
                  <c:v>3.8</c:v>
                </c:pt>
                <c:pt idx="813">
                  <c:v>5.5</c:v>
                </c:pt>
                <c:pt idx="814">
                  <c:v>3.7</c:v>
                </c:pt>
                <c:pt idx="815">
                  <c:v>2.9</c:v>
                </c:pt>
                <c:pt idx="816">
                  <c:v>3.7</c:v>
                </c:pt>
                <c:pt idx="817">
                  <c:v>4.3</c:v>
                </c:pt>
                <c:pt idx="818">
                  <c:v>3.6</c:v>
                </c:pt>
                <c:pt idx="819">
                  <c:v>3.6</c:v>
                </c:pt>
                <c:pt idx="820">
                  <c:v>2.4</c:v>
                </c:pt>
                <c:pt idx="821">
                  <c:v>2.5</c:v>
                </c:pt>
                <c:pt idx="822">
                  <c:v>1.4</c:v>
                </c:pt>
                <c:pt idx="823">
                  <c:v>6.1</c:v>
                </c:pt>
                <c:pt idx="824">
                  <c:v>1.6</c:v>
                </c:pt>
                <c:pt idx="825">
                  <c:v>2.5</c:v>
                </c:pt>
                <c:pt idx="826">
                  <c:v>2.4</c:v>
                </c:pt>
                <c:pt idx="827">
                  <c:v>4.8</c:v>
                </c:pt>
                <c:pt idx="828">
                  <c:v>3.1</c:v>
                </c:pt>
                <c:pt idx="829">
                  <c:v>5.4</c:v>
                </c:pt>
                <c:pt idx="830">
                  <c:v>2.5</c:v>
                </c:pt>
                <c:pt idx="831">
                  <c:v>3.9</c:v>
                </c:pt>
                <c:pt idx="832">
                  <c:v>2.2000000000000002</c:v>
                </c:pt>
                <c:pt idx="833">
                  <c:v>6.7</c:v>
                </c:pt>
                <c:pt idx="834">
                  <c:v>1.7</c:v>
                </c:pt>
                <c:pt idx="835">
                  <c:v>4</c:v>
                </c:pt>
                <c:pt idx="836">
                  <c:v>4.5</c:v>
                </c:pt>
                <c:pt idx="837">
                  <c:v>4.0999999999999996</c:v>
                </c:pt>
                <c:pt idx="838">
                  <c:v>3.2</c:v>
                </c:pt>
                <c:pt idx="839">
                  <c:v>3.3</c:v>
                </c:pt>
                <c:pt idx="840">
                  <c:v>3.6</c:v>
                </c:pt>
                <c:pt idx="841">
                  <c:v>3.3</c:v>
                </c:pt>
                <c:pt idx="842">
                  <c:v>4.9000000000000004</c:v>
                </c:pt>
                <c:pt idx="843">
                  <c:v>6.8</c:v>
                </c:pt>
                <c:pt idx="844">
                  <c:v>2.7</c:v>
                </c:pt>
                <c:pt idx="845">
                  <c:v>1.4</c:v>
                </c:pt>
                <c:pt idx="846">
                  <c:v>3.4</c:v>
                </c:pt>
                <c:pt idx="847">
                  <c:v>7.4</c:v>
                </c:pt>
                <c:pt idx="848">
                  <c:v>2.2999999999999998</c:v>
                </c:pt>
                <c:pt idx="849">
                  <c:v>6</c:v>
                </c:pt>
                <c:pt idx="850">
                  <c:v>6</c:v>
                </c:pt>
                <c:pt idx="851">
                  <c:v>2.7</c:v>
                </c:pt>
                <c:pt idx="852">
                  <c:v>4.4000000000000004</c:v>
                </c:pt>
                <c:pt idx="853">
                  <c:v>5.9</c:v>
                </c:pt>
                <c:pt idx="854">
                  <c:v>2.9</c:v>
                </c:pt>
                <c:pt idx="855">
                  <c:v>3.2</c:v>
                </c:pt>
                <c:pt idx="856">
                  <c:v>2.6</c:v>
                </c:pt>
                <c:pt idx="857">
                  <c:v>2</c:v>
                </c:pt>
                <c:pt idx="858">
                  <c:v>2.5</c:v>
                </c:pt>
                <c:pt idx="859">
                  <c:v>1.7</c:v>
                </c:pt>
                <c:pt idx="860">
                  <c:v>3.6</c:v>
                </c:pt>
                <c:pt idx="861">
                  <c:v>2.2999999999999998</c:v>
                </c:pt>
                <c:pt idx="862">
                  <c:v>3.9</c:v>
                </c:pt>
                <c:pt idx="863">
                  <c:v>1.2</c:v>
                </c:pt>
                <c:pt idx="864">
                  <c:v>4</c:v>
                </c:pt>
                <c:pt idx="865">
                  <c:v>4.8</c:v>
                </c:pt>
                <c:pt idx="866">
                  <c:v>0.5</c:v>
                </c:pt>
                <c:pt idx="867">
                  <c:v>4.0999999999999996</c:v>
                </c:pt>
                <c:pt idx="868">
                  <c:v>5.3</c:v>
                </c:pt>
                <c:pt idx="869">
                  <c:v>1.7</c:v>
                </c:pt>
                <c:pt idx="870">
                  <c:v>6</c:v>
                </c:pt>
                <c:pt idx="871">
                  <c:v>4.0999999999999996</c:v>
                </c:pt>
                <c:pt idx="872">
                  <c:v>2.4</c:v>
                </c:pt>
                <c:pt idx="873">
                  <c:v>3.4</c:v>
                </c:pt>
                <c:pt idx="874">
                  <c:v>4.3</c:v>
                </c:pt>
                <c:pt idx="875">
                  <c:v>3.6</c:v>
                </c:pt>
                <c:pt idx="876">
                  <c:v>4.3</c:v>
                </c:pt>
                <c:pt idx="877">
                  <c:v>2.1</c:v>
                </c:pt>
                <c:pt idx="878">
                  <c:v>3.8</c:v>
                </c:pt>
                <c:pt idx="879">
                  <c:v>1.4</c:v>
                </c:pt>
                <c:pt idx="880">
                  <c:v>3.3</c:v>
                </c:pt>
                <c:pt idx="881">
                  <c:v>2.1</c:v>
                </c:pt>
                <c:pt idx="882">
                  <c:v>2.4</c:v>
                </c:pt>
                <c:pt idx="883">
                  <c:v>5.4</c:v>
                </c:pt>
                <c:pt idx="884">
                  <c:v>5.0999999999999996</c:v>
                </c:pt>
                <c:pt idx="885">
                  <c:v>4.4000000000000004</c:v>
                </c:pt>
                <c:pt idx="886">
                  <c:v>1.9</c:v>
                </c:pt>
                <c:pt idx="887">
                  <c:v>3</c:v>
                </c:pt>
                <c:pt idx="888">
                  <c:v>5.3</c:v>
                </c:pt>
                <c:pt idx="889">
                  <c:v>3.7</c:v>
                </c:pt>
                <c:pt idx="890">
                  <c:v>7</c:v>
                </c:pt>
                <c:pt idx="891">
                  <c:v>4.0999999999999996</c:v>
                </c:pt>
                <c:pt idx="892">
                  <c:v>3.8</c:v>
                </c:pt>
                <c:pt idx="893">
                  <c:v>3</c:v>
                </c:pt>
                <c:pt idx="894">
                  <c:v>3.7</c:v>
                </c:pt>
                <c:pt idx="895">
                  <c:v>3.3</c:v>
                </c:pt>
                <c:pt idx="896">
                  <c:v>4.5999999999999996</c:v>
                </c:pt>
                <c:pt idx="897">
                  <c:v>4.9000000000000004</c:v>
                </c:pt>
                <c:pt idx="898">
                  <c:v>2.2999999999999998</c:v>
                </c:pt>
                <c:pt idx="899">
                  <c:v>1.5</c:v>
                </c:pt>
                <c:pt idx="900">
                  <c:v>0.7</c:v>
                </c:pt>
                <c:pt idx="901">
                  <c:v>4.3</c:v>
                </c:pt>
                <c:pt idx="902">
                  <c:v>1.8</c:v>
                </c:pt>
                <c:pt idx="903">
                  <c:v>0.5</c:v>
                </c:pt>
                <c:pt idx="904">
                  <c:v>4.0999999999999996</c:v>
                </c:pt>
                <c:pt idx="905">
                  <c:v>7.2</c:v>
                </c:pt>
                <c:pt idx="906">
                  <c:v>3.5</c:v>
                </c:pt>
                <c:pt idx="907">
                  <c:v>4.8</c:v>
                </c:pt>
                <c:pt idx="908">
                  <c:v>3.6</c:v>
                </c:pt>
                <c:pt idx="909">
                  <c:v>3.4</c:v>
                </c:pt>
                <c:pt idx="910">
                  <c:v>4.9000000000000004</c:v>
                </c:pt>
                <c:pt idx="911">
                  <c:v>3.1</c:v>
                </c:pt>
                <c:pt idx="912">
                  <c:v>3.9</c:v>
                </c:pt>
                <c:pt idx="913">
                  <c:v>4</c:v>
                </c:pt>
                <c:pt idx="914">
                  <c:v>2.5</c:v>
                </c:pt>
                <c:pt idx="915">
                  <c:v>5</c:v>
                </c:pt>
                <c:pt idx="916">
                  <c:v>3.2</c:v>
                </c:pt>
                <c:pt idx="917">
                  <c:v>2.4</c:v>
                </c:pt>
                <c:pt idx="918">
                  <c:v>4.3</c:v>
                </c:pt>
                <c:pt idx="919">
                  <c:v>2.2000000000000002</c:v>
                </c:pt>
                <c:pt idx="920">
                  <c:v>3.5</c:v>
                </c:pt>
                <c:pt idx="921">
                  <c:v>3.5</c:v>
                </c:pt>
                <c:pt idx="922">
                  <c:v>5.0999999999999996</c:v>
                </c:pt>
                <c:pt idx="923">
                  <c:v>4.2</c:v>
                </c:pt>
                <c:pt idx="924">
                  <c:v>3.5</c:v>
                </c:pt>
                <c:pt idx="925">
                  <c:v>4.7</c:v>
                </c:pt>
                <c:pt idx="926">
                  <c:v>5.6</c:v>
                </c:pt>
                <c:pt idx="927">
                  <c:v>4.3</c:v>
                </c:pt>
                <c:pt idx="928">
                  <c:v>3.5</c:v>
                </c:pt>
                <c:pt idx="929">
                  <c:v>1.5</c:v>
                </c:pt>
                <c:pt idx="930">
                  <c:v>1.9</c:v>
                </c:pt>
                <c:pt idx="931">
                  <c:v>3</c:v>
                </c:pt>
                <c:pt idx="932">
                  <c:v>2.6</c:v>
                </c:pt>
                <c:pt idx="933">
                  <c:v>3.2</c:v>
                </c:pt>
                <c:pt idx="934">
                  <c:v>3.6</c:v>
                </c:pt>
                <c:pt idx="935">
                  <c:v>4.3</c:v>
                </c:pt>
                <c:pt idx="936">
                  <c:v>3.4</c:v>
                </c:pt>
                <c:pt idx="937">
                  <c:v>4.2</c:v>
                </c:pt>
                <c:pt idx="938">
                  <c:v>3.6</c:v>
                </c:pt>
                <c:pt idx="939">
                  <c:v>0.5</c:v>
                </c:pt>
                <c:pt idx="940">
                  <c:v>2.1</c:v>
                </c:pt>
                <c:pt idx="941">
                  <c:v>3.3</c:v>
                </c:pt>
                <c:pt idx="942">
                  <c:v>1.7</c:v>
                </c:pt>
                <c:pt idx="943">
                  <c:v>4.4000000000000004</c:v>
                </c:pt>
                <c:pt idx="944">
                  <c:v>5.8</c:v>
                </c:pt>
                <c:pt idx="945">
                  <c:v>5.3</c:v>
                </c:pt>
                <c:pt idx="946">
                  <c:v>3.2</c:v>
                </c:pt>
                <c:pt idx="947">
                  <c:v>5.7</c:v>
                </c:pt>
                <c:pt idx="948">
                  <c:v>3.7</c:v>
                </c:pt>
                <c:pt idx="949">
                  <c:v>3</c:v>
                </c:pt>
                <c:pt idx="950">
                  <c:v>2.6</c:v>
                </c:pt>
                <c:pt idx="951">
                  <c:v>3</c:v>
                </c:pt>
                <c:pt idx="952">
                  <c:v>2.9</c:v>
                </c:pt>
                <c:pt idx="953">
                  <c:v>3.8</c:v>
                </c:pt>
                <c:pt idx="954">
                  <c:v>3.7</c:v>
                </c:pt>
                <c:pt idx="955">
                  <c:v>3.5</c:v>
                </c:pt>
                <c:pt idx="956">
                  <c:v>4.2</c:v>
                </c:pt>
                <c:pt idx="957">
                  <c:v>5.3</c:v>
                </c:pt>
                <c:pt idx="958">
                  <c:v>4.9000000000000004</c:v>
                </c:pt>
                <c:pt idx="959">
                  <c:v>1.3</c:v>
                </c:pt>
                <c:pt idx="960">
                  <c:v>0.5</c:v>
                </c:pt>
                <c:pt idx="961">
                  <c:v>4.9000000000000004</c:v>
                </c:pt>
                <c:pt idx="962">
                  <c:v>1.4</c:v>
                </c:pt>
                <c:pt idx="963">
                  <c:v>3.2</c:v>
                </c:pt>
                <c:pt idx="964">
                  <c:v>1.7</c:v>
                </c:pt>
                <c:pt idx="965">
                  <c:v>0.8</c:v>
                </c:pt>
                <c:pt idx="966">
                  <c:v>4.3</c:v>
                </c:pt>
                <c:pt idx="967">
                  <c:v>4.5999999999999996</c:v>
                </c:pt>
                <c:pt idx="968">
                  <c:v>2.6</c:v>
                </c:pt>
                <c:pt idx="969">
                  <c:v>0.5</c:v>
                </c:pt>
                <c:pt idx="970">
                  <c:v>2.7</c:v>
                </c:pt>
                <c:pt idx="971">
                  <c:v>4.0999999999999996</c:v>
                </c:pt>
                <c:pt idx="972">
                  <c:v>1.3</c:v>
                </c:pt>
                <c:pt idx="973">
                  <c:v>3.8</c:v>
                </c:pt>
                <c:pt idx="974">
                  <c:v>3.5</c:v>
                </c:pt>
                <c:pt idx="975">
                  <c:v>4.4000000000000004</c:v>
                </c:pt>
                <c:pt idx="976">
                  <c:v>3.7</c:v>
                </c:pt>
                <c:pt idx="977">
                  <c:v>2</c:v>
                </c:pt>
                <c:pt idx="978">
                  <c:v>5.3</c:v>
                </c:pt>
                <c:pt idx="979">
                  <c:v>3.3</c:v>
                </c:pt>
                <c:pt idx="980">
                  <c:v>3.5</c:v>
                </c:pt>
                <c:pt idx="981">
                  <c:v>2.1</c:v>
                </c:pt>
                <c:pt idx="982">
                  <c:v>2.8</c:v>
                </c:pt>
                <c:pt idx="983">
                  <c:v>2.2000000000000002</c:v>
                </c:pt>
                <c:pt idx="984">
                  <c:v>3.2</c:v>
                </c:pt>
                <c:pt idx="985">
                  <c:v>6.1</c:v>
                </c:pt>
                <c:pt idx="986">
                  <c:v>1.4</c:v>
                </c:pt>
                <c:pt idx="987">
                  <c:v>1.1000000000000001</c:v>
                </c:pt>
                <c:pt idx="988">
                  <c:v>5.7</c:v>
                </c:pt>
                <c:pt idx="989">
                  <c:v>3.2</c:v>
                </c:pt>
                <c:pt idx="990">
                  <c:v>2.5</c:v>
                </c:pt>
                <c:pt idx="991">
                  <c:v>5.0999999999999996</c:v>
                </c:pt>
                <c:pt idx="992">
                  <c:v>2.6</c:v>
                </c:pt>
                <c:pt idx="993">
                  <c:v>6.2</c:v>
                </c:pt>
                <c:pt idx="994">
                  <c:v>4.5</c:v>
                </c:pt>
                <c:pt idx="995">
                  <c:v>2.8</c:v>
                </c:pt>
                <c:pt idx="996">
                  <c:v>6.7</c:v>
                </c:pt>
                <c:pt idx="997">
                  <c:v>2.6</c:v>
                </c:pt>
                <c:pt idx="998">
                  <c:v>4.5999999999999996</c:v>
                </c:pt>
                <c:pt idx="999">
                  <c:v>3.9</c:v>
                </c:pt>
              </c:numCache>
            </c:numRef>
          </c:xVal>
          <c:yVal>
            <c:numRef>
              <c:f>'working dataset'!$K$4:$K$1003</c:f>
              <c:numCache>
                <c:formatCode>0</c:formatCode>
                <c:ptCount val="1000"/>
                <c:pt idx="0">
                  <c:v>100</c:v>
                </c:pt>
                <c:pt idx="1">
                  <c:v>100</c:v>
                </c:pt>
                <c:pt idx="2">
                  <c:v>97</c:v>
                </c:pt>
                <c:pt idx="3">
                  <c:v>84</c:v>
                </c:pt>
                <c:pt idx="4">
                  <c:v>68</c:v>
                </c:pt>
                <c:pt idx="5">
                  <c:v>82</c:v>
                </c:pt>
                <c:pt idx="6">
                  <c:v>70</c:v>
                </c:pt>
                <c:pt idx="7">
                  <c:v>88</c:v>
                </c:pt>
                <c:pt idx="8">
                  <c:v>84</c:v>
                </c:pt>
                <c:pt idx="9">
                  <c:v>74</c:v>
                </c:pt>
                <c:pt idx="10">
                  <c:v>69</c:v>
                </c:pt>
                <c:pt idx="11">
                  <c:v>77</c:v>
                </c:pt>
                <c:pt idx="12">
                  <c:v>83</c:v>
                </c:pt>
                <c:pt idx="13">
                  <c:v>93</c:v>
                </c:pt>
                <c:pt idx="14">
                  <c:v>74</c:v>
                </c:pt>
                <c:pt idx="15">
                  <c:v>85</c:v>
                </c:pt>
                <c:pt idx="16">
                  <c:v>82</c:v>
                </c:pt>
                <c:pt idx="17">
                  <c:v>76</c:v>
                </c:pt>
                <c:pt idx="18">
                  <c:v>90</c:v>
                </c:pt>
                <c:pt idx="19">
                  <c:v>93</c:v>
                </c:pt>
                <c:pt idx="20">
                  <c:v>74</c:v>
                </c:pt>
                <c:pt idx="21">
                  <c:v>100</c:v>
                </c:pt>
                <c:pt idx="22">
                  <c:v>73</c:v>
                </c:pt>
                <c:pt idx="23">
                  <c:v>71</c:v>
                </c:pt>
                <c:pt idx="24">
                  <c:v>97</c:v>
                </c:pt>
                <c:pt idx="25">
                  <c:v>76</c:v>
                </c:pt>
                <c:pt idx="26">
                  <c:v>79</c:v>
                </c:pt>
                <c:pt idx="27">
                  <c:v>97</c:v>
                </c:pt>
                <c:pt idx="28">
                  <c:v>84</c:v>
                </c:pt>
                <c:pt idx="29">
                  <c:v>90</c:v>
                </c:pt>
                <c:pt idx="30">
                  <c:v>82</c:v>
                </c:pt>
                <c:pt idx="31">
                  <c:v>88</c:v>
                </c:pt>
                <c:pt idx="32">
                  <c:v>100</c:v>
                </c:pt>
                <c:pt idx="33">
                  <c:v>93</c:v>
                </c:pt>
                <c:pt idx="34">
                  <c:v>100</c:v>
                </c:pt>
                <c:pt idx="35">
                  <c:v>93</c:v>
                </c:pt>
                <c:pt idx="36">
                  <c:v>83</c:v>
                </c:pt>
                <c:pt idx="37">
                  <c:v>81</c:v>
                </c:pt>
                <c:pt idx="38">
                  <c:v>90</c:v>
                </c:pt>
                <c:pt idx="39">
                  <c:v>92</c:v>
                </c:pt>
                <c:pt idx="40">
                  <c:v>75</c:v>
                </c:pt>
                <c:pt idx="41">
                  <c:v>79</c:v>
                </c:pt>
                <c:pt idx="42">
                  <c:v>100</c:v>
                </c:pt>
                <c:pt idx="43">
                  <c:v>79</c:v>
                </c:pt>
                <c:pt idx="44">
                  <c:v>71</c:v>
                </c:pt>
                <c:pt idx="45">
                  <c:v>62</c:v>
                </c:pt>
                <c:pt idx="46">
                  <c:v>68</c:v>
                </c:pt>
                <c:pt idx="47">
                  <c:v>80</c:v>
                </c:pt>
                <c:pt idx="48">
                  <c:v>89</c:v>
                </c:pt>
                <c:pt idx="49">
                  <c:v>69</c:v>
                </c:pt>
                <c:pt idx="50">
                  <c:v>100</c:v>
                </c:pt>
                <c:pt idx="51">
                  <c:v>82</c:v>
                </c:pt>
                <c:pt idx="52">
                  <c:v>73</c:v>
                </c:pt>
                <c:pt idx="53">
                  <c:v>85</c:v>
                </c:pt>
                <c:pt idx="54">
                  <c:v>100</c:v>
                </c:pt>
                <c:pt idx="55">
                  <c:v>84</c:v>
                </c:pt>
                <c:pt idx="56">
                  <c:v>72</c:v>
                </c:pt>
                <c:pt idx="57">
                  <c:v>84</c:v>
                </c:pt>
                <c:pt idx="58">
                  <c:v>75</c:v>
                </c:pt>
                <c:pt idx="59">
                  <c:v>90</c:v>
                </c:pt>
                <c:pt idx="60">
                  <c:v>80</c:v>
                </c:pt>
                <c:pt idx="61">
                  <c:v>71</c:v>
                </c:pt>
                <c:pt idx="62">
                  <c:v>88</c:v>
                </c:pt>
                <c:pt idx="63">
                  <c:v>73</c:v>
                </c:pt>
                <c:pt idx="64">
                  <c:v>81</c:v>
                </c:pt>
                <c:pt idx="65">
                  <c:v>97</c:v>
                </c:pt>
                <c:pt idx="66">
                  <c:v>68</c:v>
                </c:pt>
                <c:pt idx="67">
                  <c:v>79</c:v>
                </c:pt>
                <c:pt idx="68">
                  <c:v>74</c:v>
                </c:pt>
                <c:pt idx="69">
                  <c:v>85</c:v>
                </c:pt>
                <c:pt idx="70">
                  <c:v>80</c:v>
                </c:pt>
                <c:pt idx="71">
                  <c:v>77</c:v>
                </c:pt>
                <c:pt idx="72">
                  <c:v>95</c:v>
                </c:pt>
                <c:pt idx="73">
                  <c:v>78</c:v>
                </c:pt>
                <c:pt idx="74">
                  <c:v>100</c:v>
                </c:pt>
                <c:pt idx="75">
                  <c:v>64</c:v>
                </c:pt>
                <c:pt idx="76">
                  <c:v>72</c:v>
                </c:pt>
                <c:pt idx="77">
                  <c:v>79</c:v>
                </c:pt>
                <c:pt idx="78">
                  <c:v>75</c:v>
                </c:pt>
                <c:pt idx="79">
                  <c:v>87</c:v>
                </c:pt>
                <c:pt idx="80">
                  <c:v>98</c:v>
                </c:pt>
                <c:pt idx="81">
                  <c:v>75</c:v>
                </c:pt>
                <c:pt idx="82">
                  <c:v>64</c:v>
                </c:pt>
                <c:pt idx="83">
                  <c:v>90</c:v>
                </c:pt>
                <c:pt idx="84">
                  <c:v>99</c:v>
                </c:pt>
                <c:pt idx="85">
                  <c:v>64</c:v>
                </c:pt>
                <c:pt idx="86">
                  <c:v>79</c:v>
                </c:pt>
                <c:pt idx="87">
                  <c:v>100</c:v>
                </c:pt>
                <c:pt idx="88">
                  <c:v>79</c:v>
                </c:pt>
                <c:pt idx="89">
                  <c:v>85</c:v>
                </c:pt>
                <c:pt idx="90">
                  <c:v>72</c:v>
                </c:pt>
                <c:pt idx="91">
                  <c:v>86</c:v>
                </c:pt>
                <c:pt idx="92">
                  <c:v>98</c:v>
                </c:pt>
                <c:pt idx="93">
                  <c:v>88</c:v>
                </c:pt>
                <c:pt idx="94">
                  <c:v>100</c:v>
                </c:pt>
                <c:pt idx="95">
                  <c:v>75</c:v>
                </c:pt>
                <c:pt idx="96">
                  <c:v>87</c:v>
                </c:pt>
                <c:pt idx="97">
                  <c:v>89</c:v>
                </c:pt>
                <c:pt idx="98">
                  <c:v>65</c:v>
                </c:pt>
                <c:pt idx="99">
                  <c:v>79</c:v>
                </c:pt>
                <c:pt idx="100">
                  <c:v>75</c:v>
                </c:pt>
                <c:pt idx="101">
                  <c:v>66</c:v>
                </c:pt>
                <c:pt idx="102">
                  <c:v>90</c:v>
                </c:pt>
                <c:pt idx="103">
                  <c:v>93</c:v>
                </c:pt>
                <c:pt idx="104">
                  <c:v>87</c:v>
                </c:pt>
                <c:pt idx="105">
                  <c:v>93</c:v>
                </c:pt>
                <c:pt idx="106">
                  <c:v>76</c:v>
                </c:pt>
                <c:pt idx="107">
                  <c:v>74</c:v>
                </c:pt>
                <c:pt idx="108">
                  <c:v>100</c:v>
                </c:pt>
                <c:pt idx="109">
                  <c:v>76</c:v>
                </c:pt>
                <c:pt idx="110">
                  <c:v>62</c:v>
                </c:pt>
                <c:pt idx="111">
                  <c:v>91</c:v>
                </c:pt>
                <c:pt idx="112">
                  <c:v>73</c:v>
                </c:pt>
                <c:pt idx="113">
                  <c:v>75</c:v>
                </c:pt>
                <c:pt idx="114">
                  <c:v>97</c:v>
                </c:pt>
                <c:pt idx="115">
                  <c:v>95</c:v>
                </c:pt>
                <c:pt idx="116">
                  <c:v>59</c:v>
                </c:pt>
                <c:pt idx="117">
                  <c:v>96</c:v>
                </c:pt>
                <c:pt idx="118">
                  <c:v>75</c:v>
                </c:pt>
                <c:pt idx="119">
                  <c:v>73</c:v>
                </c:pt>
                <c:pt idx="120">
                  <c:v>96</c:v>
                </c:pt>
                <c:pt idx="121">
                  <c:v>81</c:v>
                </c:pt>
                <c:pt idx="122">
                  <c:v>77</c:v>
                </c:pt>
                <c:pt idx="123">
                  <c:v>88</c:v>
                </c:pt>
                <c:pt idx="124">
                  <c:v>88</c:v>
                </c:pt>
                <c:pt idx="125">
                  <c:v>92</c:v>
                </c:pt>
                <c:pt idx="126">
                  <c:v>85</c:v>
                </c:pt>
                <c:pt idx="127">
                  <c:v>63</c:v>
                </c:pt>
                <c:pt idx="128">
                  <c:v>81</c:v>
                </c:pt>
                <c:pt idx="129">
                  <c:v>87</c:v>
                </c:pt>
                <c:pt idx="130">
                  <c:v>100</c:v>
                </c:pt>
                <c:pt idx="131">
                  <c:v>76</c:v>
                </c:pt>
                <c:pt idx="132">
                  <c:v>77</c:v>
                </c:pt>
                <c:pt idx="133">
                  <c:v>86</c:v>
                </c:pt>
                <c:pt idx="134">
                  <c:v>81</c:v>
                </c:pt>
                <c:pt idx="135">
                  <c:v>95</c:v>
                </c:pt>
                <c:pt idx="136">
                  <c:v>60</c:v>
                </c:pt>
                <c:pt idx="137">
                  <c:v>81</c:v>
                </c:pt>
                <c:pt idx="138">
                  <c:v>83</c:v>
                </c:pt>
                <c:pt idx="139">
                  <c:v>80</c:v>
                </c:pt>
                <c:pt idx="140">
                  <c:v>82</c:v>
                </c:pt>
                <c:pt idx="141">
                  <c:v>76</c:v>
                </c:pt>
                <c:pt idx="142">
                  <c:v>89</c:v>
                </c:pt>
                <c:pt idx="143">
                  <c:v>70</c:v>
                </c:pt>
                <c:pt idx="144">
                  <c:v>87</c:v>
                </c:pt>
                <c:pt idx="145">
                  <c:v>65</c:v>
                </c:pt>
                <c:pt idx="146">
                  <c:v>82</c:v>
                </c:pt>
                <c:pt idx="147">
                  <c:v>47</c:v>
                </c:pt>
                <c:pt idx="148">
                  <c:v>69</c:v>
                </c:pt>
                <c:pt idx="149">
                  <c:v>69</c:v>
                </c:pt>
                <c:pt idx="150">
                  <c:v>85</c:v>
                </c:pt>
                <c:pt idx="151">
                  <c:v>76</c:v>
                </c:pt>
                <c:pt idx="152">
                  <c:v>85</c:v>
                </c:pt>
                <c:pt idx="153">
                  <c:v>76</c:v>
                </c:pt>
                <c:pt idx="154">
                  <c:v>95</c:v>
                </c:pt>
                <c:pt idx="155">
                  <c:v>88</c:v>
                </c:pt>
                <c:pt idx="156">
                  <c:v>88</c:v>
                </c:pt>
                <c:pt idx="157">
                  <c:v>89</c:v>
                </c:pt>
                <c:pt idx="158">
                  <c:v>64</c:v>
                </c:pt>
                <c:pt idx="159">
                  <c:v>74</c:v>
                </c:pt>
                <c:pt idx="160">
                  <c:v>88</c:v>
                </c:pt>
                <c:pt idx="161">
                  <c:v>77</c:v>
                </c:pt>
                <c:pt idx="162">
                  <c:v>97</c:v>
                </c:pt>
                <c:pt idx="163">
                  <c:v>90</c:v>
                </c:pt>
                <c:pt idx="164">
                  <c:v>89</c:v>
                </c:pt>
                <c:pt idx="165">
                  <c:v>85</c:v>
                </c:pt>
                <c:pt idx="166">
                  <c:v>100</c:v>
                </c:pt>
                <c:pt idx="167">
                  <c:v>82</c:v>
                </c:pt>
                <c:pt idx="168">
                  <c:v>75</c:v>
                </c:pt>
                <c:pt idx="169">
                  <c:v>78</c:v>
                </c:pt>
                <c:pt idx="170">
                  <c:v>93</c:v>
                </c:pt>
                <c:pt idx="171">
                  <c:v>72</c:v>
                </c:pt>
                <c:pt idx="172">
                  <c:v>79</c:v>
                </c:pt>
                <c:pt idx="173">
                  <c:v>83</c:v>
                </c:pt>
                <c:pt idx="174">
                  <c:v>79</c:v>
                </c:pt>
                <c:pt idx="175">
                  <c:v>90</c:v>
                </c:pt>
                <c:pt idx="176">
                  <c:v>89</c:v>
                </c:pt>
                <c:pt idx="177">
                  <c:v>82</c:v>
                </c:pt>
                <c:pt idx="178">
                  <c:v>97</c:v>
                </c:pt>
                <c:pt idx="179">
                  <c:v>74</c:v>
                </c:pt>
                <c:pt idx="180">
                  <c:v>77</c:v>
                </c:pt>
                <c:pt idx="181">
                  <c:v>77</c:v>
                </c:pt>
                <c:pt idx="182">
                  <c:v>73</c:v>
                </c:pt>
                <c:pt idx="183">
                  <c:v>84</c:v>
                </c:pt>
                <c:pt idx="184">
                  <c:v>86</c:v>
                </c:pt>
                <c:pt idx="185">
                  <c:v>96</c:v>
                </c:pt>
                <c:pt idx="186">
                  <c:v>89</c:v>
                </c:pt>
                <c:pt idx="187">
                  <c:v>83</c:v>
                </c:pt>
                <c:pt idx="188">
                  <c:v>100</c:v>
                </c:pt>
                <c:pt idx="189">
                  <c:v>67</c:v>
                </c:pt>
                <c:pt idx="190">
                  <c:v>85</c:v>
                </c:pt>
                <c:pt idx="191">
                  <c:v>100</c:v>
                </c:pt>
                <c:pt idx="192">
                  <c:v>75</c:v>
                </c:pt>
                <c:pt idx="193">
                  <c:v>81</c:v>
                </c:pt>
                <c:pt idx="194">
                  <c:v>97</c:v>
                </c:pt>
                <c:pt idx="195">
                  <c:v>80</c:v>
                </c:pt>
                <c:pt idx="196">
                  <c:v>73</c:v>
                </c:pt>
                <c:pt idx="197">
                  <c:v>92</c:v>
                </c:pt>
                <c:pt idx="198">
                  <c:v>87</c:v>
                </c:pt>
                <c:pt idx="199">
                  <c:v>93</c:v>
                </c:pt>
                <c:pt idx="200">
                  <c:v>95</c:v>
                </c:pt>
                <c:pt idx="201">
                  <c:v>76</c:v>
                </c:pt>
                <c:pt idx="202">
                  <c:v>85</c:v>
                </c:pt>
                <c:pt idx="203">
                  <c:v>77</c:v>
                </c:pt>
                <c:pt idx="204">
                  <c:v>87</c:v>
                </c:pt>
                <c:pt idx="205">
                  <c:v>61</c:v>
                </c:pt>
                <c:pt idx="206">
                  <c:v>100</c:v>
                </c:pt>
                <c:pt idx="207">
                  <c:v>91</c:v>
                </c:pt>
                <c:pt idx="208">
                  <c:v>96</c:v>
                </c:pt>
                <c:pt idx="209">
                  <c:v>73</c:v>
                </c:pt>
                <c:pt idx="210">
                  <c:v>81</c:v>
                </c:pt>
                <c:pt idx="211">
                  <c:v>82</c:v>
                </c:pt>
                <c:pt idx="212">
                  <c:v>70</c:v>
                </c:pt>
                <c:pt idx="213">
                  <c:v>79</c:v>
                </c:pt>
                <c:pt idx="214">
                  <c:v>85</c:v>
                </c:pt>
                <c:pt idx="215">
                  <c:v>75</c:v>
                </c:pt>
                <c:pt idx="216">
                  <c:v>91</c:v>
                </c:pt>
                <c:pt idx="217">
                  <c:v>93</c:v>
                </c:pt>
                <c:pt idx="218">
                  <c:v>87</c:v>
                </c:pt>
                <c:pt idx="219">
                  <c:v>100</c:v>
                </c:pt>
                <c:pt idx="220">
                  <c:v>84</c:v>
                </c:pt>
                <c:pt idx="221">
                  <c:v>72</c:v>
                </c:pt>
                <c:pt idx="222">
                  <c:v>71</c:v>
                </c:pt>
                <c:pt idx="223">
                  <c:v>90</c:v>
                </c:pt>
                <c:pt idx="224">
                  <c:v>81</c:v>
                </c:pt>
                <c:pt idx="225">
                  <c:v>67</c:v>
                </c:pt>
                <c:pt idx="226">
                  <c:v>82</c:v>
                </c:pt>
                <c:pt idx="227">
                  <c:v>90</c:v>
                </c:pt>
                <c:pt idx="228">
                  <c:v>100</c:v>
                </c:pt>
                <c:pt idx="229">
                  <c:v>83</c:v>
                </c:pt>
                <c:pt idx="230">
                  <c:v>98</c:v>
                </c:pt>
                <c:pt idx="231">
                  <c:v>92</c:v>
                </c:pt>
                <c:pt idx="232">
                  <c:v>82</c:v>
                </c:pt>
                <c:pt idx="233">
                  <c:v>100</c:v>
                </c:pt>
                <c:pt idx="234">
                  <c:v>80</c:v>
                </c:pt>
                <c:pt idx="235">
                  <c:v>86</c:v>
                </c:pt>
                <c:pt idx="236">
                  <c:v>100</c:v>
                </c:pt>
                <c:pt idx="237">
                  <c:v>84</c:v>
                </c:pt>
                <c:pt idx="238">
                  <c:v>100</c:v>
                </c:pt>
                <c:pt idx="239">
                  <c:v>85</c:v>
                </c:pt>
                <c:pt idx="240">
                  <c:v>81</c:v>
                </c:pt>
                <c:pt idx="241">
                  <c:v>85</c:v>
                </c:pt>
                <c:pt idx="242">
                  <c:v>69</c:v>
                </c:pt>
                <c:pt idx="243">
                  <c:v>92</c:v>
                </c:pt>
                <c:pt idx="244">
                  <c:v>76</c:v>
                </c:pt>
                <c:pt idx="245">
                  <c:v>100</c:v>
                </c:pt>
                <c:pt idx="246">
                  <c:v>92</c:v>
                </c:pt>
                <c:pt idx="247">
                  <c:v>77</c:v>
                </c:pt>
                <c:pt idx="248">
                  <c:v>83</c:v>
                </c:pt>
                <c:pt idx="249">
                  <c:v>67</c:v>
                </c:pt>
                <c:pt idx="250">
                  <c:v>88</c:v>
                </c:pt>
                <c:pt idx="251">
                  <c:v>91</c:v>
                </c:pt>
                <c:pt idx="252">
                  <c:v>76</c:v>
                </c:pt>
                <c:pt idx="253">
                  <c:v>88</c:v>
                </c:pt>
                <c:pt idx="254">
                  <c:v>88</c:v>
                </c:pt>
                <c:pt idx="255">
                  <c:v>97</c:v>
                </c:pt>
                <c:pt idx="256">
                  <c:v>87</c:v>
                </c:pt>
                <c:pt idx="257">
                  <c:v>64</c:v>
                </c:pt>
                <c:pt idx="258">
                  <c:v>73</c:v>
                </c:pt>
                <c:pt idx="259">
                  <c:v>94</c:v>
                </c:pt>
                <c:pt idx="260">
                  <c:v>71</c:v>
                </c:pt>
                <c:pt idx="261">
                  <c:v>80</c:v>
                </c:pt>
                <c:pt idx="262">
                  <c:v>81</c:v>
                </c:pt>
                <c:pt idx="263">
                  <c:v>91</c:v>
                </c:pt>
                <c:pt idx="264">
                  <c:v>98</c:v>
                </c:pt>
                <c:pt idx="265">
                  <c:v>100</c:v>
                </c:pt>
                <c:pt idx="266">
                  <c:v>82</c:v>
                </c:pt>
                <c:pt idx="267">
                  <c:v>84</c:v>
                </c:pt>
                <c:pt idx="268">
                  <c:v>100</c:v>
                </c:pt>
                <c:pt idx="269">
                  <c:v>80</c:v>
                </c:pt>
                <c:pt idx="270">
                  <c:v>75</c:v>
                </c:pt>
                <c:pt idx="271">
                  <c:v>78</c:v>
                </c:pt>
                <c:pt idx="272">
                  <c:v>65</c:v>
                </c:pt>
                <c:pt idx="273">
                  <c:v>98</c:v>
                </c:pt>
                <c:pt idx="274">
                  <c:v>74</c:v>
                </c:pt>
                <c:pt idx="275">
                  <c:v>76</c:v>
                </c:pt>
                <c:pt idx="276">
                  <c:v>76</c:v>
                </c:pt>
                <c:pt idx="277">
                  <c:v>88</c:v>
                </c:pt>
                <c:pt idx="278">
                  <c:v>94</c:v>
                </c:pt>
                <c:pt idx="279">
                  <c:v>59</c:v>
                </c:pt>
                <c:pt idx="280">
                  <c:v>81</c:v>
                </c:pt>
                <c:pt idx="281">
                  <c:v>85</c:v>
                </c:pt>
                <c:pt idx="282">
                  <c:v>70</c:v>
                </c:pt>
                <c:pt idx="283">
                  <c:v>82</c:v>
                </c:pt>
                <c:pt idx="284">
                  <c:v>83</c:v>
                </c:pt>
                <c:pt idx="285">
                  <c:v>70</c:v>
                </c:pt>
                <c:pt idx="286">
                  <c:v>69</c:v>
                </c:pt>
                <c:pt idx="287">
                  <c:v>62</c:v>
                </c:pt>
                <c:pt idx="288">
                  <c:v>72</c:v>
                </c:pt>
                <c:pt idx="289">
                  <c:v>74</c:v>
                </c:pt>
                <c:pt idx="290">
                  <c:v>95</c:v>
                </c:pt>
                <c:pt idx="291">
                  <c:v>100</c:v>
                </c:pt>
                <c:pt idx="292">
                  <c:v>85</c:v>
                </c:pt>
                <c:pt idx="293">
                  <c:v>94</c:v>
                </c:pt>
                <c:pt idx="294">
                  <c:v>100</c:v>
                </c:pt>
                <c:pt idx="295">
                  <c:v>82</c:v>
                </c:pt>
                <c:pt idx="296">
                  <c:v>71</c:v>
                </c:pt>
                <c:pt idx="297">
                  <c:v>90</c:v>
                </c:pt>
                <c:pt idx="298">
                  <c:v>69</c:v>
                </c:pt>
                <c:pt idx="299">
                  <c:v>82</c:v>
                </c:pt>
                <c:pt idx="300">
                  <c:v>81</c:v>
                </c:pt>
                <c:pt idx="301">
                  <c:v>82</c:v>
                </c:pt>
                <c:pt idx="302">
                  <c:v>91</c:v>
                </c:pt>
                <c:pt idx="303">
                  <c:v>82</c:v>
                </c:pt>
                <c:pt idx="304">
                  <c:v>83</c:v>
                </c:pt>
                <c:pt idx="305">
                  <c:v>81</c:v>
                </c:pt>
                <c:pt idx="306">
                  <c:v>87</c:v>
                </c:pt>
                <c:pt idx="307">
                  <c:v>73</c:v>
                </c:pt>
                <c:pt idx="308">
                  <c:v>85</c:v>
                </c:pt>
                <c:pt idx="309">
                  <c:v>83</c:v>
                </c:pt>
                <c:pt idx="310">
                  <c:v>83</c:v>
                </c:pt>
                <c:pt idx="311">
                  <c:v>63</c:v>
                </c:pt>
                <c:pt idx="312">
                  <c:v>100</c:v>
                </c:pt>
                <c:pt idx="313">
                  <c:v>79</c:v>
                </c:pt>
                <c:pt idx="314">
                  <c:v>100</c:v>
                </c:pt>
                <c:pt idx="315">
                  <c:v>100</c:v>
                </c:pt>
                <c:pt idx="316">
                  <c:v>73</c:v>
                </c:pt>
                <c:pt idx="317">
                  <c:v>79</c:v>
                </c:pt>
                <c:pt idx="318">
                  <c:v>84</c:v>
                </c:pt>
                <c:pt idx="319">
                  <c:v>81</c:v>
                </c:pt>
                <c:pt idx="320">
                  <c:v>85</c:v>
                </c:pt>
                <c:pt idx="321">
                  <c:v>93</c:v>
                </c:pt>
                <c:pt idx="322">
                  <c:v>74</c:v>
                </c:pt>
                <c:pt idx="323">
                  <c:v>91</c:v>
                </c:pt>
                <c:pt idx="324">
                  <c:v>81</c:v>
                </c:pt>
                <c:pt idx="325">
                  <c:v>89</c:v>
                </c:pt>
                <c:pt idx="326">
                  <c:v>64</c:v>
                </c:pt>
                <c:pt idx="327">
                  <c:v>83</c:v>
                </c:pt>
                <c:pt idx="328">
                  <c:v>64</c:v>
                </c:pt>
                <c:pt idx="329">
                  <c:v>97</c:v>
                </c:pt>
                <c:pt idx="330">
                  <c:v>97</c:v>
                </c:pt>
                <c:pt idx="331">
                  <c:v>93</c:v>
                </c:pt>
                <c:pt idx="332">
                  <c:v>83</c:v>
                </c:pt>
                <c:pt idx="333">
                  <c:v>81</c:v>
                </c:pt>
                <c:pt idx="334">
                  <c:v>89</c:v>
                </c:pt>
                <c:pt idx="335">
                  <c:v>71</c:v>
                </c:pt>
                <c:pt idx="336">
                  <c:v>87</c:v>
                </c:pt>
                <c:pt idx="337">
                  <c:v>95</c:v>
                </c:pt>
                <c:pt idx="338">
                  <c:v>76</c:v>
                </c:pt>
                <c:pt idx="339">
                  <c:v>85</c:v>
                </c:pt>
                <c:pt idx="340">
                  <c:v>96</c:v>
                </c:pt>
                <c:pt idx="341">
                  <c:v>100</c:v>
                </c:pt>
                <c:pt idx="342">
                  <c:v>92</c:v>
                </c:pt>
                <c:pt idx="343">
                  <c:v>77</c:v>
                </c:pt>
                <c:pt idx="344">
                  <c:v>98</c:v>
                </c:pt>
                <c:pt idx="345">
                  <c:v>71</c:v>
                </c:pt>
                <c:pt idx="346">
                  <c:v>87</c:v>
                </c:pt>
                <c:pt idx="347">
                  <c:v>69</c:v>
                </c:pt>
                <c:pt idx="348">
                  <c:v>90</c:v>
                </c:pt>
                <c:pt idx="349">
                  <c:v>74</c:v>
                </c:pt>
                <c:pt idx="350">
                  <c:v>75</c:v>
                </c:pt>
                <c:pt idx="351">
                  <c:v>87</c:v>
                </c:pt>
                <c:pt idx="352">
                  <c:v>100</c:v>
                </c:pt>
                <c:pt idx="353">
                  <c:v>94</c:v>
                </c:pt>
                <c:pt idx="354">
                  <c:v>72</c:v>
                </c:pt>
                <c:pt idx="355">
                  <c:v>76</c:v>
                </c:pt>
                <c:pt idx="356">
                  <c:v>81</c:v>
                </c:pt>
                <c:pt idx="357">
                  <c:v>85</c:v>
                </c:pt>
                <c:pt idx="358">
                  <c:v>82</c:v>
                </c:pt>
                <c:pt idx="359">
                  <c:v>78</c:v>
                </c:pt>
                <c:pt idx="360">
                  <c:v>94</c:v>
                </c:pt>
                <c:pt idx="361">
                  <c:v>95</c:v>
                </c:pt>
                <c:pt idx="362">
                  <c:v>67</c:v>
                </c:pt>
                <c:pt idx="363">
                  <c:v>76</c:v>
                </c:pt>
                <c:pt idx="364">
                  <c:v>57</c:v>
                </c:pt>
                <c:pt idx="365">
                  <c:v>75</c:v>
                </c:pt>
                <c:pt idx="366">
                  <c:v>81</c:v>
                </c:pt>
                <c:pt idx="367">
                  <c:v>75</c:v>
                </c:pt>
                <c:pt idx="368">
                  <c:v>68</c:v>
                </c:pt>
                <c:pt idx="369">
                  <c:v>97</c:v>
                </c:pt>
                <c:pt idx="370">
                  <c:v>80</c:v>
                </c:pt>
                <c:pt idx="371">
                  <c:v>83</c:v>
                </c:pt>
                <c:pt idx="372">
                  <c:v>88</c:v>
                </c:pt>
                <c:pt idx="373">
                  <c:v>86</c:v>
                </c:pt>
                <c:pt idx="374">
                  <c:v>92</c:v>
                </c:pt>
                <c:pt idx="375">
                  <c:v>85</c:v>
                </c:pt>
                <c:pt idx="376">
                  <c:v>99</c:v>
                </c:pt>
                <c:pt idx="377">
                  <c:v>74</c:v>
                </c:pt>
                <c:pt idx="378">
                  <c:v>93</c:v>
                </c:pt>
                <c:pt idx="379">
                  <c:v>79</c:v>
                </c:pt>
                <c:pt idx="380">
                  <c:v>77</c:v>
                </c:pt>
                <c:pt idx="381">
                  <c:v>100</c:v>
                </c:pt>
                <c:pt idx="382">
                  <c:v>77</c:v>
                </c:pt>
                <c:pt idx="383">
                  <c:v>100</c:v>
                </c:pt>
                <c:pt idx="384">
                  <c:v>89</c:v>
                </c:pt>
                <c:pt idx="385">
                  <c:v>79</c:v>
                </c:pt>
                <c:pt idx="386">
                  <c:v>79</c:v>
                </c:pt>
                <c:pt idx="387">
                  <c:v>100</c:v>
                </c:pt>
                <c:pt idx="388">
                  <c:v>87</c:v>
                </c:pt>
                <c:pt idx="389">
                  <c:v>70</c:v>
                </c:pt>
                <c:pt idx="390">
                  <c:v>86</c:v>
                </c:pt>
                <c:pt idx="391">
                  <c:v>87</c:v>
                </c:pt>
                <c:pt idx="392">
                  <c:v>72</c:v>
                </c:pt>
                <c:pt idx="393">
                  <c:v>92</c:v>
                </c:pt>
                <c:pt idx="394">
                  <c:v>68</c:v>
                </c:pt>
                <c:pt idx="395">
                  <c:v>73</c:v>
                </c:pt>
                <c:pt idx="396">
                  <c:v>76</c:v>
                </c:pt>
                <c:pt idx="397">
                  <c:v>81</c:v>
                </c:pt>
                <c:pt idx="398">
                  <c:v>90</c:v>
                </c:pt>
                <c:pt idx="399">
                  <c:v>73</c:v>
                </c:pt>
                <c:pt idx="400">
                  <c:v>85</c:v>
                </c:pt>
                <c:pt idx="401">
                  <c:v>96</c:v>
                </c:pt>
                <c:pt idx="402">
                  <c:v>82</c:v>
                </c:pt>
                <c:pt idx="403">
                  <c:v>87</c:v>
                </c:pt>
                <c:pt idx="404">
                  <c:v>85</c:v>
                </c:pt>
                <c:pt idx="405">
                  <c:v>93</c:v>
                </c:pt>
                <c:pt idx="406">
                  <c:v>79</c:v>
                </c:pt>
                <c:pt idx="407">
                  <c:v>90</c:v>
                </c:pt>
                <c:pt idx="408">
                  <c:v>80</c:v>
                </c:pt>
                <c:pt idx="409">
                  <c:v>78</c:v>
                </c:pt>
                <c:pt idx="410">
                  <c:v>70</c:v>
                </c:pt>
                <c:pt idx="411">
                  <c:v>90</c:v>
                </c:pt>
                <c:pt idx="412">
                  <c:v>87</c:v>
                </c:pt>
                <c:pt idx="413">
                  <c:v>94</c:v>
                </c:pt>
                <c:pt idx="414">
                  <c:v>83</c:v>
                </c:pt>
                <c:pt idx="415">
                  <c:v>81</c:v>
                </c:pt>
                <c:pt idx="416">
                  <c:v>76</c:v>
                </c:pt>
                <c:pt idx="417">
                  <c:v>85</c:v>
                </c:pt>
                <c:pt idx="418">
                  <c:v>79</c:v>
                </c:pt>
                <c:pt idx="419">
                  <c:v>73</c:v>
                </c:pt>
                <c:pt idx="420">
                  <c:v>70</c:v>
                </c:pt>
                <c:pt idx="421">
                  <c:v>90</c:v>
                </c:pt>
                <c:pt idx="422">
                  <c:v>77</c:v>
                </c:pt>
                <c:pt idx="423">
                  <c:v>65</c:v>
                </c:pt>
                <c:pt idx="424">
                  <c:v>82</c:v>
                </c:pt>
                <c:pt idx="425">
                  <c:v>86</c:v>
                </c:pt>
                <c:pt idx="426">
                  <c:v>100</c:v>
                </c:pt>
                <c:pt idx="427">
                  <c:v>100</c:v>
                </c:pt>
                <c:pt idx="428">
                  <c:v>100</c:v>
                </c:pt>
                <c:pt idx="429">
                  <c:v>72</c:v>
                </c:pt>
                <c:pt idx="430">
                  <c:v>81</c:v>
                </c:pt>
                <c:pt idx="431">
                  <c:v>100</c:v>
                </c:pt>
                <c:pt idx="432">
                  <c:v>80</c:v>
                </c:pt>
                <c:pt idx="433">
                  <c:v>89</c:v>
                </c:pt>
                <c:pt idx="434">
                  <c:v>78</c:v>
                </c:pt>
                <c:pt idx="435">
                  <c:v>93</c:v>
                </c:pt>
                <c:pt idx="436">
                  <c:v>100</c:v>
                </c:pt>
                <c:pt idx="437">
                  <c:v>77</c:v>
                </c:pt>
                <c:pt idx="438">
                  <c:v>79</c:v>
                </c:pt>
                <c:pt idx="439">
                  <c:v>100</c:v>
                </c:pt>
                <c:pt idx="440">
                  <c:v>99</c:v>
                </c:pt>
                <c:pt idx="441">
                  <c:v>88</c:v>
                </c:pt>
                <c:pt idx="442">
                  <c:v>85</c:v>
                </c:pt>
                <c:pt idx="443">
                  <c:v>86</c:v>
                </c:pt>
                <c:pt idx="444">
                  <c:v>81</c:v>
                </c:pt>
                <c:pt idx="445">
                  <c:v>80</c:v>
                </c:pt>
                <c:pt idx="446">
                  <c:v>79</c:v>
                </c:pt>
                <c:pt idx="447">
                  <c:v>87</c:v>
                </c:pt>
                <c:pt idx="448">
                  <c:v>91</c:v>
                </c:pt>
                <c:pt idx="449">
                  <c:v>65</c:v>
                </c:pt>
                <c:pt idx="450">
                  <c:v>78</c:v>
                </c:pt>
                <c:pt idx="451">
                  <c:v>82</c:v>
                </c:pt>
                <c:pt idx="452">
                  <c:v>93</c:v>
                </c:pt>
                <c:pt idx="453">
                  <c:v>85</c:v>
                </c:pt>
                <c:pt idx="454">
                  <c:v>81</c:v>
                </c:pt>
                <c:pt idx="455">
                  <c:v>73</c:v>
                </c:pt>
                <c:pt idx="456">
                  <c:v>69</c:v>
                </c:pt>
                <c:pt idx="457">
                  <c:v>90</c:v>
                </c:pt>
                <c:pt idx="458">
                  <c:v>83</c:v>
                </c:pt>
                <c:pt idx="459">
                  <c:v>87</c:v>
                </c:pt>
                <c:pt idx="460">
                  <c:v>98</c:v>
                </c:pt>
                <c:pt idx="461">
                  <c:v>100</c:v>
                </c:pt>
                <c:pt idx="462">
                  <c:v>95</c:v>
                </c:pt>
                <c:pt idx="463">
                  <c:v>94</c:v>
                </c:pt>
                <c:pt idx="464">
                  <c:v>63</c:v>
                </c:pt>
                <c:pt idx="465">
                  <c:v>100</c:v>
                </c:pt>
                <c:pt idx="466">
                  <c:v>77</c:v>
                </c:pt>
                <c:pt idx="467">
                  <c:v>89</c:v>
                </c:pt>
                <c:pt idx="468">
                  <c:v>100</c:v>
                </c:pt>
                <c:pt idx="469">
                  <c:v>90</c:v>
                </c:pt>
                <c:pt idx="470">
                  <c:v>88</c:v>
                </c:pt>
                <c:pt idx="471">
                  <c:v>68</c:v>
                </c:pt>
                <c:pt idx="472">
                  <c:v>82</c:v>
                </c:pt>
                <c:pt idx="473">
                  <c:v>94</c:v>
                </c:pt>
                <c:pt idx="474">
                  <c:v>91</c:v>
                </c:pt>
                <c:pt idx="475">
                  <c:v>85</c:v>
                </c:pt>
                <c:pt idx="476">
                  <c:v>100</c:v>
                </c:pt>
                <c:pt idx="477">
                  <c:v>100</c:v>
                </c:pt>
                <c:pt idx="478">
                  <c:v>87</c:v>
                </c:pt>
                <c:pt idx="479">
                  <c:v>85</c:v>
                </c:pt>
                <c:pt idx="480">
                  <c:v>90</c:v>
                </c:pt>
                <c:pt idx="481">
                  <c:v>92</c:v>
                </c:pt>
                <c:pt idx="482">
                  <c:v>87</c:v>
                </c:pt>
                <c:pt idx="483">
                  <c:v>100</c:v>
                </c:pt>
                <c:pt idx="484">
                  <c:v>76</c:v>
                </c:pt>
                <c:pt idx="485">
                  <c:v>87</c:v>
                </c:pt>
                <c:pt idx="486">
                  <c:v>67</c:v>
                </c:pt>
                <c:pt idx="487">
                  <c:v>74</c:v>
                </c:pt>
                <c:pt idx="488">
                  <c:v>100</c:v>
                </c:pt>
                <c:pt idx="489">
                  <c:v>100</c:v>
                </c:pt>
                <c:pt idx="490">
                  <c:v>74</c:v>
                </c:pt>
                <c:pt idx="491">
                  <c:v>71</c:v>
                </c:pt>
                <c:pt idx="492">
                  <c:v>67</c:v>
                </c:pt>
                <c:pt idx="493">
                  <c:v>82</c:v>
                </c:pt>
                <c:pt idx="494">
                  <c:v>89</c:v>
                </c:pt>
                <c:pt idx="495">
                  <c:v>79</c:v>
                </c:pt>
                <c:pt idx="496">
                  <c:v>71</c:v>
                </c:pt>
                <c:pt idx="497">
                  <c:v>85</c:v>
                </c:pt>
                <c:pt idx="498">
                  <c:v>62</c:v>
                </c:pt>
                <c:pt idx="499">
                  <c:v>100</c:v>
                </c:pt>
                <c:pt idx="500">
                  <c:v>76</c:v>
                </c:pt>
                <c:pt idx="501">
                  <c:v>90</c:v>
                </c:pt>
                <c:pt idx="502">
                  <c:v>93</c:v>
                </c:pt>
                <c:pt idx="503">
                  <c:v>89</c:v>
                </c:pt>
                <c:pt idx="504">
                  <c:v>99</c:v>
                </c:pt>
                <c:pt idx="505">
                  <c:v>100</c:v>
                </c:pt>
                <c:pt idx="506">
                  <c:v>75</c:v>
                </c:pt>
                <c:pt idx="507">
                  <c:v>73</c:v>
                </c:pt>
                <c:pt idx="508">
                  <c:v>76</c:v>
                </c:pt>
                <c:pt idx="509">
                  <c:v>100</c:v>
                </c:pt>
                <c:pt idx="510">
                  <c:v>80</c:v>
                </c:pt>
                <c:pt idx="511">
                  <c:v>88</c:v>
                </c:pt>
                <c:pt idx="512">
                  <c:v>89</c:v>
                </c:pt>
                <c:pt idx="513">
                  <c:v>78</c:v>
                </c:pt>
                <c:pt idx="514">
                  <c:v>97</c:v>
                </c:pt>
                <c:pt idx="515">
                  <c:v>79</c:v>
                </c:pt>
                <c:pt idx="516">
                  <c:v>84</c:v>
                </c:pt>
                <c:pt idx="517">
                  <c:v>86</c:v>
                </c:pt>
                <c:pt idx="518">
                  <c:v>68</c:v>
                </c:pt>
                <c:pt idx="519">
                  <c:v>81</c:v>
                </c:pt>
                <c:pt idx="520">
                  <c:v>65</c:v>
                </c:pt>
                <c:pt idx="521">
                  <c:v>72</c:v>
                </c:pt>
                <c:pt idx="522">
                  <c:v>85</c:v>
                </c:pt>
                <c:pt idx="523">
                  <c:v>100</c:v>
                </c:pt>
                <c:pt idx="524">
                  <c:v>82</c:v>
                </c:pt>
                <c:pt idx="525">
                  <c:v>87</c:v>
                </c:pt>
                <c:pt idx="526">
                  <c:v>85</c:v>
                </c:pt>
                <c:pt idx="527">
                  <c:v>96</c:v>
                </c:pt>
                <c:pt idx="528">
                  <c:v>84</c:v>
                </c:pt>
                <c:pt idx="529">
                  <c:v>85</c:v>
                </c:pt>
                <c:pt idx="530">
                  <c:v>95</c:v>
                </c:pt>
                <c:pt idx="531">
                  <c:v>90</c:v>
                </c:pt>
                <c:pt idx="532">
                  <c:v>69</c:v>
                </c:pt>
                <c:pt idx="533">
                  <c:v>93</c:v>
                </c:pt>
                <c:pt idx="534">
                  <c:v>81</c:v>
                </c:pt>
                <c:pt idx="535">
                  <c:v>78</c:v>
                </c:pt>
                <c:pt idx="536">
                  <c:v>88</c:v>
                </c:pt>
                <c:pt idx="537">
                  <c:v>86</c:v>
                </c:pt>
                <c:pt idx="538">
                  <c:v>100</c:v>
                </c:pt>
                <c:pt idx="539">
                  <c:v>57</c:v>
                </c:pt>
                <c:pt idx="540">
                  <c:v>76</c:v>
                </c:pt>
                <c:pt idx="541">
                  <c:v>87</c:v>
                </c:pt>
                <c:pt idx="542">
                  <c:v>89</c:v>
                </c:pt>
                <c:pt idx="543">
                  <c:v>92</c:v>
                </c:pt>
                <c:pt idx="544">
                  <c:v>66</c:v>
                </c:pt>
                <c:pt idx="545">
                  <c:v>100</c:v>
                </c:pt>
                <c:pt idx="546">
                  <c:v>71</c:v>
                </c:pt>
                <c:pt idx="547">
                  <c:v>89</c:v>
                </c:pt>
                <c:pt idx="548">
                  <c:v>100</c:v>
                </c:pt>
                <c:pt idx="549">
                  <c:v>85</c:v>
                </c:pt>
                <c:pt idx="550">
                  <c:v>75</c:v>
                </c:pt>
                <c:pt idx="551">
                  <c:v>100</c:v>
                </c:pt>
                <c:pt idx="552">
                  <c:v>79</c:v>
                </c:pt>
                <c:pt idx="553">
                  <c:v>83</c:v>
                </c:pt>
                <c:pt idx="554">
                  <c:v>63</c:v>
                </c:pt>
                <c:pt idx="555">
                  <c:v>81</c:v>
                </c:pt>
                <c:pt idx="556">
                  <c:v>81</c:v>
                </c:pt>
                <c:pt idx="557">
                  <c:v>73</c:v>
                </c:pt>
                <c:pt idx="558">
                  <c:v>100</c:v>
                </c:pt>
                <c:pt idx="559">
                  <c:v>74</c:v>
                </c:pt>
                <c:pt idx="560">
                  <c:v>68</c:v>
                </c:pt>
                <c:pt idx="561">
                  <c:v>84</c:v>
                </c:pt>
                <c:pt idx="562">
                  <c:v>75</c:v>
                </c:pt>
                <c:pt idx="563">
                  <c:v>79</c:v>
                </c:pt>
                <c:pt idx="564">
                  <c:v>83</c:v>
                </c:pt>
                <c:pt idx="565">
                  <c:v>100</c:v>
                </c:pt>
                <c:pt idx="566">
                  <c:v>93</c:v>
                </c:pt>
                <c:pt idx="567">
                  <c:v>99</c:v>
                </c:pt>
                <c:pt idx="568">
                  <c:v>76</c:v>
                </c:pt>
                <c:pt idx="569">
                  <c:v>91</c:v>
                </c:pt>
                <c:pt idx="570">
                  <c:v>63</c:v>
                </c:pt>
                <c:pt idx="571">
                  <c:v>85</c:v>
                </c:pt>
                <c:pt idx="572">
                  <c:v>89</c:v>
                </c:pt>
                <c:pt idx="573">
                  <c:v>75</c:v>
                </c:pt>
                <c:pt idx="574">
                  <c:v>85</c:v>
                </c:pt>
                <c:pt idx="575">
                  <c:v>81</c:v>
                </c:pt>
                <c:pt idx="576">
                  <c:v>76</c:v>
                </c:pt>
                <c:pt idx="577">
                  <c:v>96</c:v>
                </c:pt>
                <c:pt idx="578">
                  <c:v>83</c:v>
                </c:pt>
                <c:pt idx="579">
                  <c:v>96</c:v>
                </c:pt>
                <c:pt idx="580">
                  <c:v>70</c:v>
                </c:pt>
                <c:pt idx="581">
                  <c:v>83</c:v>
                </c:pt>
                <c:pt idx="582">
                  <c:v>77</c:v>
                </c:pt>
                <c:pt idx="583">
                  <c:v>68</c:v>
                </c:pt>
                <c:pt idx="584">
                  <c:v>85</c:v>
                </c:pt>
                <c:pt idx="585">
                  <c:v>68</c:v>
                </c:pt>
                <c:pt idx="586">
                  <c:v>89</c:v>
                </c:pt>
                <c:pt idx="587">
                  <c:v>85</c:v>
                </c:pt>
                <c:pt idx="588">
                  <c:v>77</c:v>
                </c:pt>
                <c:pt idx="589">
                  <c:v>72</c:v>
                </c:pt>
                <c:pt idx="590">
                  <c:v>89</c:v>
                </c:pt>
                <c:pt idx="591">
                  <c:v>63</c:v>
                </c:pt>
                <c:pt idx="592">
                  <c:v>73</c:v>
                </c:pt>
                <c:pt idx="593">
                  <c:v>87</c:v>
                </c:pt>
                <c:pt idx="594">
                  <c:v>89</c:v>
                </c:pt>
                <c:pt idx="595">
                  <c:v>80</c:v>
                </c:pt>
                <c:pt idx="596">
                  <c:v>80</c:v>
                </c:pt>
                <c:pt idx="597">
                  <c:v>81</c:v>
                </c:pt>
                <c:pt idx="598">
                  <c:v>86</c:v>
                </c:pt>
                <c:pt idx="599">
                  <c:v>86</c:v>
                </c:pt>
                <c:pt idx="600">
                  <c:v>93</c:v>
                </c:pt>
                <c:pt idx="601">
                  <c:v>95</c:v>
                </c:pt>
                <c:pt idx="602">
                  <c:v>84</c:v>
                </c:pt>
                <c:pt idx="603">
                  <c:v>100</c:v>
                </c:pt>
                <c:pt idx="604">
                  <c:v>81</c:v>
                </c:pt>
                <c:pt idx="605">
                  <c:v>76</c:v>
                </c:pt>
                <c:pt idx="606">
                  <c:v>74</c:v>
                </c:pt>
                <c:pt idx="607">
                  <c:v>84</c:v>
                </c:pt>
                <c:pt idx="608">
                  <c:v>59</c:v>
                </c:pt>
                <c:pt idx="609">
                  <c:v>96</c:v>
                </c:pt>
                <c:pt idx="610">
                  <c:v>79</c:v>
                </c:pt>
                <c:pt idx="611">
                  <c:v>80</c:v>
                </c:pt>
                <c:pt idx="612">
                  <c:v>70</c:v>
                </c:pt>
                <c:pt idx="613">
                  <c:v>75</c:v>
                </c:pt>
                <c:pt idx="614">
                  <c:v>95</c:v>
                </c:pt>
                <c:pt idx="615">
                  <c:v>92</c:v>
                </c:pt>
                <c:pt idx="616">
                  <c:v>86</c:v>
                </c:pt>
                <c:pt idx="617">
                  <c:v>79</c:v>
                </c:pt>
                <c:pt idx="618">
                  <c:v>92</c:v>
                </c:pt>
                <c:pt idx="619">
                  <c:v>80</c:v>
                </c:pt>
                <c:pt idx="620">
                  <c:v>98</c:v>
                </c:pt>
                <c:pt idx="621">
                  <c:v>79</c:v>
                </c:pt>
                <c:pt idx="622">
                  <c:v>90</c:v>
                </c:pt>
                <c:pt idx="623">
                  <c:v>76</c:v>
                </c:pt>
                <c:pt idx="624">
                  <c:v>90</c:v>
                </c:pt>
                <c:pt idx="625">
                  <c:v>71</c:v>
                </c:pt>
                <c:pt idx="626">
                  <c:v>97</c:v>
                </c:pt>
                <c:pt idx="627">
                  <c:v>62</c:v>
                </c:pt>
                <c:pt idx="628">
                  <c:v>94</c:v>
                </c:pt>
                <c:pt idx="629">
                  <c:v>81</c:v>
                </c:pt>
                <c:pt idx="630">
                  <c:v>78</c:v>
                </c:pt>
                <c:pt idx="631">
                  <c:v>71</c:v>
                </c:pt>
                <c:pt idx="632">
                  <c:v>89</c:v>
                </c:pt>
                <c:pt idx="633">
                  <c:v>74</c:v>
                </c:pt>
                <c:pt idx="634">
                  <c:v>76</c:v>
                </c:pt>
                <c:pt idx="635">
                  <c:v>96</c:v>
                </c:pt>
                <c:pt idx="636">
                  <c:v>100</c:v>
                </c:pt>
                <c:pt idx="637">
                  <c:v>100</c:v>
                </c:pt>
                <c:pt idx="638">
                  <c:v>84</c:v>
                </c:pt>
                <c:pt idx="639">
                  <c:v>79</c:v>
                </c:pt>
                <c:pt idx="640">
                  <c:v>86</c:v>
                </c:pt>
                <c:pt idx="641">
                  <c:v>98</c:v>
                </c:pt>
                <c:pt idx="642">
                  <c:v>91</c:v>
                </c:pt>
                <c:pt idx="643">
                  <c:v>70</c:v>
                </c:pt>
                <c:pt idx="644">
                  <c:v>83</c:v>
                </c:pt>
                <c:pt idx="645">
                  <c:v>76</c:v>
                </c:pt>
                <c:pt idx="646">
                  <c:v>100</c:v>
                </c:pt>
                <c:pt idx="647">
                  <c:v>94</c:v>
                </c:pt>
                <c:pt idx="648">
                  <c:v>89</c:v>
                </c:pt>
                <c:pt idx="649">
                  <c:v>97</c:v>
                </c:pt>
                <c:pt idx="650">
                  <c:v>60</c:v>
                </c:pt>
                <c:pt idx="651">
                  <c:v>73</c:v>
                </c:pt>
                <c:pt idx="652">
                  <c:v>88</c:v>
                </c:pt>
                <c:pt idx="653">
                  <c:v>75</c:v>
                </c:pt>
                <c:pt idx="654">
                  <c:v>90</c:v>
                </c:pt>
                <c:pt idx="655">
                  <c:v>73</c:v>
                </c:pt>
                <c:pt idx="656">
                  <c:v>84</c:v>
                </c:pt>
                <c:pt idx="657">
                  <c:v>100</c:v>
                </c:pt>
                <c:pt idx="658">
                  <c:v>84</c:v>
                </c:pt>
                <c:pt idx="659">
                  <c:v>85</c:v>
                </c:pt>
                <c:pt idx="660">
                  <c:v>95</c:v>
                </c:pt>
                <c:pt idx="661">
                  <c:v>69</c:v>
                </c:pt>
                <c:pt idx="662">
                  <c:v>94</c:v>
                </c:pt>
                <c:pt idx="663">
                  <c:v>100</c:v>
                </c:pt>
                <c:pt idx="664">
                  <c:v>86</c:v>
                </c:pt>
                <c:pt idx="665">
                  <c:v>92</c:v>
                </c:pt>
                <c:pt idx="666">
                  <c:v>92</c:v>
                </c:pt>
                <c:pt idx="667">
                  <c:v>96</c:v>
                </c:pt>
                <c:pt idx="668">
                  <c:v>98</c:v>
                </c:pt>
                <c:pt idx="669">
                  <c:v>66</c:v>
                </c:pt>
                <c:pt idx="670">
                  <c:v>61</c:v>
                </c:pt>
                <c:pt idx="671">
                  <c:v>100</c:v>
                </c:pt>
                <c:pt idx="672">
                  <c:v>85</c:v>
                </c:pt>
                <c:pt idx="673">
                  <c:v>73</c:v>
                </c:pt>
                <c:pt idx="674">
                  <c:v>84</c:v>
                </c:pt>
                <c:pt idx="675">
                  <c:v>61</c:v>
                </c:pt>
                <c:pt idx="676">
                  <c:v>91</c:v>
                </c:pt>
                <c:pt idx="677">
                  <c:v>68</c:v>
                </c:pt>
                <c:pt idx="678">
                  <c:v>64</c:v>
                </c:pt>
                <c:pt idx="679">
                  <c:v>84</c:v>
                </c:pt>
                <c:pt idx="680">
                  <c:v>86</c:v>
                </c:pt>
                <c:pt idx="681">
                  <c:v>94</c:v>
                </c:pt>
                <c:pt idx="682">
                  <c:v>74</c:v>
                </c:pt>
                <c:pt idx="683">
                  <c:v>79</c:v>
                </c:pt>
                <c:pt idx="684">
                  <c:v>84</c:v>
                </c:pt>
                <c:pt idx="685">
                  <c:v>92</c:v>
                </c:pt>
                <c:pt idx="686">
                  <c:v>92</c:v>
                </c:pt>
                <c:pt idx="687">
                  <c:v>74</c:v>
                </c:pt>
                <c:pt idx="688">
                  <c:v>82</c:v>
                </c:pt>
                <c:pt idx="689">
                  <c:v>68</c:v>
                </c:pt>
                <c:pt idx="690">
                  <c:v>71</c:v>
                </c:pt>
                <c:pt idx="691">
                  <c:v>80</c:v>
                </c:pt>
                <c:pt idx="692">
                  <c:v>92</c:v>
                </c:pt>
                <c:pt idx="693">
                  <c:v>100</c:v>
                </c:pt>
                <c:pt idx="694">
                  <c:v>90</c:v>
                </c:pt>
                <c:pt idx="695">
                  <c:v>78</c:v>
                </c:pt>
                <c:pt idx="696">
                  <c:v>73</c:v>
                </c:pt>
                <c:pt idx="697">
                  <c:v>98</c:v>
                </c:pt>
                <c:pt idx="698">
                  <c:v>86</c:v>
                </c:pt>
                <c:pt idx="699">
                  <c:v>92</c:v>
                </c:pt>
                <c:pt idx="700">
                  <c:v>85</c:v>
                </c:pt>
                <c:pt idx="701">
                  <c:v>83</c:v>
                </c:pt>
                <c:pt idx="702">
                  <c:v>65</c:v>
                </c:pt>
                <c:pt idx="703">
                  <c:v>90</c:v>
                </c:pt>
                <c:pt idx="704">
                  <c:v>83</c:v>
                </c:pt>
                <c:pt idx="705">
                  <c:v>94</c:v>
                </c:pt>
                <c:pt idx="706">
                  <c:v>93</c:v>
                </c:pt>
                <c:pt idx="707">
                  <c:v>77</c:v>
                </c:pt>
                <c:pt idx="708">
                  <c:v>98</c:v>
                </c:pt>
                <c:pt idx="709">
                  <c:v>72</c:v>
                </c:pt>
                <c:pt idx="710">
                  <c:v>95</c:v>
                </c:pt>
                <c:pt idx="711">
                  <c:v>67</c:v>
                </c:pt>
                <c:pt idx="712">
                  <c:v>72</c:v>
                </c:pt>
                <c:pt idx="713">
                  <c:v>96</c:v>
                </c:pt>
                <c:pt idx="714">
                  <c:v>92</c:v>
                </c:pt>
                <c:pt idx="715">
                  <c:v>54</c:v>
                </c:pt>
                <c:pt idx="716">
                  <c:v>99</c:v>
                </c:pt>
                <c:pt idx="717">
                  <c:v>85</c:v>
                </c:pt>
                <c:pt idx="718">
                  <c:v>99</c:v>
                </c:pt>
                <c:pt idx="719">
                  <c:v>78</c:v>
                </c:pt>
                <c:pt idx="720">
                  <c:v>84</c:v>
                </c:pt>
                <c:pt idx="721">
                  <c:v>71</c:v>
                </c:pt>
                <c:pt idx="722">
                  <c:v>70</c:v>
                </c:pt>
                <c:pt idx="723">
                  <c:v>94</c:v>
                </c:pt>
                <c:pt idx="724">
                  <c:v>85</c:v>
                </c:pt>
                <c:pt idx="725">
                  <c:v>100</c:v>
                </c:pt>
                <c:pt idx="726">
                  <c:v>98</c:v>
                </c:pt>
                <c:pt idx="727">
                  <c:v>88</c:v>
                </c:pt>
                <c:pt idx="728">
                  <c:v>85</c:v>
                </c:pt>
                <c:pt idx="729">
                  <c:v>99</c:v>
                </c:pt>
                <c:pt idx="730">
                  <c:v>100</c:v>
                </c:pt>
                <c:pt idx="731">
                  <c:v>85</c:v>
                </c:pt>
                <c:pt idx="732">
                  <c:v>74</c:v>
                </c:pt>
                <c:pt idx="733">
                  <c:v>100</c:v>
                </c:pt>
                <c:pt idx="734">
                  <c:v>80</c:v>
                </c:pt>
                <c:pt idx="735">
                  <c:v>91</c:v>
                </c:pt>
                <c:pt idx="736">
                  <c:v>95</c:v>
                </c:pt>
                <c:pt idx="737">
                  <c:v>67</c:v>
                </c:pt>
                <c:pt idx="738">
                  <c:v>93</c:v>
                </c:pt>
                <c:pt idx="739">
                  <c:v>82</c:v>
                </c:pt>
                <c:pt idx="740">
                  <c:v>63</c:v>
                </c:pt>
                <c:pt idx="741">
                  <c:v>94</c:v>
                </c:pt>
                <c:pt idx="742">
                  <c:v>85</c:v>
                </c:pt>
                <c:pt idx="743">
                  <c:v>82</c:v>
                </c:pt>
                <c:pt idx="744">
                  <c:v>90</c:v>
                </c:pt>
                <c:pt idx="745">
                  <c:v>83</c:v>
                </c:pt>
                <c:pt idx="746">
                  <c:v>100</c:v>
                </c:pt>
                <c:pt idx="747">
                  <c:v>92</c:v>
                </c:pt>
                <c:pt idx="748">
                  <c:v>77</c:v>
                </c:pt>
                <c:pt idx="749">
                  <c:v>95</c:v>
                </c:pt>
                <c:pt idx="750">
                  <c:v>89</c:v>
                </c:pt>
                <c:pt idx="751">
                  <c:v>93</c:v>
                </c:pt>
                <c:pt idx="752">
                  <c:v>96</c:v>
                </c:pt>
                <c:pt idx="753">
                  <c:v>67</c:v>
                </c:pt>
                <c:pt idx="754">
                  <c:v>85</c:v>
                </c:pt>
                <c:pt idx="755">
                  <c:v>90</c:v>
                </c:pt>
                <c:pt idx="756">
                  <c:v>90</c:v>
                </c:pt>
                <c:pt idx="757">
                  <c:v>83</c:v>
                </c:pt>
                <c:pt idx="758">
                  <c:v>85</c:v>
                </c:pt>
                <c:pt idx="759">
                  <c:v>72</c:v>
                </c:pt>
                <c:pt idx="760">
                  <c:v>53</c:v>
                </c:pt>
                <c:pt idx="761">
                  <c:v>74</c:v>
                </c:pt>
                <c:pt idx="762">
                  <c:v>97</c:v>
                </c:pt>
                <c:pt idx="763">
                  <c:v>81</c:v>
                </c:pt>
                <c:pt idx="764">
                  <c:v>85</c:v>
                </c:pt>
                <c:pt idx="765">
                  <c:v>81</c:v>
                </c:pt>
                <c:pt idx="766">
                  <c:v>84</c:v>
                </c:pt>
                <c:pt idx="767">
                  <c:v>71</c:v>
                </c:pt>
                <c:pt idx="768">
                  <c:v>86</c:v>
                </c:pt>
                <c:pt idx="769">
                  <c:v>98</c:v>
                </c:pt>
                <c:pt idx="770">
                  <c:v>83</c:v>
                </c:pt>
                <c:pt idx="771">
                  <c:v>92</c:v>
                </c:pt>
                <c:pt idx="772">
                  <c:v>91</c:v>
                </c:pt>
                <c:pt idx="773">
                  <c:v>84</c:v>
                </c:pt>
                <c:pt idx="774">
                  <c:v>75</c:v>
                </c:pt>
                <c:pt idx="775">
                  <c:v>89</c:v>
                </c:pt>
                <c:pt idx="776">
                  <c:v>74</c:v>
                </c:pt>
                <c:pt idx="777">
                  <c:v>96</c:v>
                </c:pt>
                <c:pt idx="778">
                  <c:v>87</c:v>
                </c:pt>
                <c:pt idx="779">
                  <c:v>90</c:v>
                </c:pt>
                <c:pt idx="780">
                  <c:v>79</c:v>
                </c:pt>
                <c:pt idx="781">
                  <c:v>98</c:v>
                </c:pt>
                <c:pt idx="782">
                  <c:v>90</c:v>
                </c:pt>
                <c:pt idx="783">
                  <c:v>78</c:v>
                </c:pt>
                <c:pt idx="784">
                  <c:v>93</c:v>
                </c:pt>
                <c:pt idx="785">
                  <c:v>97</c:v>
                </c:pt>
                <c:pt idx="786">
                  <c:v>77</c:v>
                </c:pt>
                <c:pt idx="787">
                  <c:v>97</c:v>
                </c:pt>
                <c:pt idx="788">
                  <c:v>72</c:v>
                </c:pt>
                <c:pt idx="789">
                  <c:v>75</c:v>
                </c:pt>
                <c:pt idx="790">
                  <c:v>58</c:v>
                </c:pt>
                <c:pt idx="791">
                  <c:v>68</c:v>
                </c:pt>
                <c:pt idx="792">
                  <c:v>91</c:v>
                </c:pt>
                <c:pt idx="793">
                  <c:v>87</c:v>
                </c:pt>
                <c:pt idx="794">
                  <c:v>90</c:v>
                </c:pt>
                <c:pt idx="795">
                  <c:v>100</c:v>
                </c:pt>
                <c:pt idx="796">
                  <c:v>93</c:v>
                </c:pt>
                <c:pt idx="797">
                  <c:v>79</c:v>
                </c:pt>
                <c:pt idx="798">
                  <c:v>61</c:v>
                </c:pt>
                <c:pt idx="799">
                  <c:v>96</c:v>
                </c:pt>
                <c:pt idx="800">
                  <c:v>83</c:v>
                </c:pt>
                <c:pt idx="801">
                  <c:v>94</c:v>
                </c:pt>
                <c:pt idx="802">
                  <c:v>100</c:v>
                </c:pt>
                <c:pt idx="803">
                  <c:v>95</c:v>
                </c:pt>
                <c:pt idx="804">
                  <c:v>88</c:v>
                </c:pt>
                <c:pt idx="805">
                  <c:v>82</c:v>
                </c:pt>
                <c:pt idx="806">
                  <c:v>80</c:v>
                </c:pt>
                <c:pt idx="807">
                  <c:v>58</c:v>
                </c:pt>
                <c:pt idx="808">
                  <c:v>74</c:v>
                </c:pt>
                <c:pt idx="809">
                  <c:v>83</c:v>
                </c:pt>
                <c:pt idx="810">
                  <c:v>86</c:v>
                </c:pt>
                <c:pt idx="811">
                  <c:v>88</c:v>
                </c:pt>
                <c:pt idx="812">
                  <c:v>100</c:v>
                </c:pt>
                <c:pt idx="813">
                  <c:v>76</c:v>
                </c:pt>
                <c:pt idx="814">
                  <c:v>78</c:v>
                </c:pt>
                <c:pt idx="815">
                  <c:v>80</c:v>
                </c:pt>
                <c:pt idx="816">
                  <c:v>80</c:v>
                </c:pt>
                <c:pt idx="817">
                  <c:v>82</c:v>
                </c:pt>
                <c:pt idx="818">
                  <c:v>80</c:v>
                </c:pt>
                <c:pt idx="819">
                  <c:v>96</c:v>
                </c:pt>
                <c:pt idx="820">
                  <c:v>65</c:v>
                </c:pt>
                <c:pt idx="821">
                  <c:v>80</c:v>
                </c:pt>
                <c:pt idx="822">
                  <c:v>72</c:v>
                </c:pt>
                <c:pt idx="823">
                  <c:v>100</c:v>
                </c:pt>
                <c:pt idx="824">
                  <c:v>94</c:v>
                </c:pt>
                <c:pt idx="825">
                  <c:v>88</c:v>
                </c:pt>
                <c:pt idx="826">
                  <c:v>86</c:v>
                </c:pt>
                <c:pt idx="827">
                  <c:v>78</c:v>
                </c:pt>
                <c:pt idx="828">
                  <c:v>70</c:v>
                </c:pt>
                <c:pt idx="829">
                  <c:v>100</c:v>
                </c:pt>
                <c:pt idx="830">
                  <c:v>74</c:v>
                </c:pt>
                <c:pt idx="831">
                  <c:v>91</c:v>
                </c:pt>
                <c:pt idx="832">
                  <c:v>78</c:v>
                </c:pt>
                <c:pt idx="833">
                  <c:v>89</c:v>
                </c:pt>
                <c:pt idx="834">
                  <c:v>82</c:v>
                </c:pt>
                <c:pt idx="835">
                  <c:v>90</c:v>
                </c:pt>
                <c:pt idx="836">
                  <c:v>100</c:v>
                </c:pt>
                <c:pt idx="837">
                  <c:v>89</c:v>
                </c:pt>
                <c:pt idx="838">
                  <c:v>86</c:v>
                </c:pt>
                <c:pt idx="839">
                  <c:v>83</c:v>
                </c:pt>
                <c:pt idx="840">
                  <c:v>89</c:v>
                </c:pt>
                <c:pt idx="841">
                  <c:v>79</c:v>
                </c:pt>
                <c:pt idx="842">
                  <c:v>85</c:v>
                </c:pt>
                <c:pt idx="843">
                  <c:v>80</c:v>
                </c:pt>
                <c:pt idx="844">
                  <c:v>80</c:v>
                </c:pt>
                <c:pt idx="845">
                  <c:v>80</c:v>
                </c:pt>
                <c:pt idx="846">
                  <c:v>70</c:v>
                </c:pt>
                <c:pt idx="847">
                  <c:v>100</c:v>
                </c:pt>
                <c:pt idx="848">
                  <c:v>81</c:v>
                </c:pt>
                <c:pt idx="849">
                  <c:v>100</c:v>
                </c:pt>
                <c:pt idx="850">
                  <c:v>100</c:v>
                </c:pt>
                <c:pt idx="851">
                  <c:v>81</c:v>
                </c:pt>
                <c:pt idx="852">
                  <c:v>87</c:v>
                </c:pt>
                <c:pt idx="853">
                  <c:v>99</c:v>
                </c:pt>
                <c:pt idx="854">
                  <c:v>82</c:v>
                </c:pt>
                <c:pt idx="855">
                  <c:v>79</c:v>
                </c:pt>
                <c:pt idx="856">
                  <c:v>92</c:v>
                </c:pt>
                <c:pt idx="857">
                  <c:v>79</c:v>
                </c:pt>
                <c:pt idx="858">
                  <c:v>85</c:v>
                </c:pt>
                <c:pt idx="859">
                  <c:v>67</c:v>
                </c:pt>
                <c:pt idx="860">
                  <c:v>91</c:v>
                </c:pt>
                <c:pt idx="861">
                  <c:v>74</c:v>
                </c:pt>
                <c:pt idx="862">
                  <c:v>86</c:v>
                </c:pt>
                <c:pt idx="863">
                  <c:v>71</c:v>
                </c:pt>
                <c:pt idx="864">
                  <c:v>84</c:v>
                </c:pt>
                <c:pt idx="865">
                  <c:v>90</c:v>
                </c:pt>
                <c:pt idx="866">
                  <c:v>80</c:v>
                </c:pt>
                <c:pt idx="867">
                  <c:v>92</c:v>
                </c:pt>
                <c:pt idx="868">
                  <c:v>96</c:v>
                </c:pt>
                <c:pt idx="869">
                  <c:v>84</c:v>
                </c:pt>
                <c:pt idx="870">
                  <c:v>96</c:v>
                </c:pt>
                <c:pt idx="871">
                  <c:v>93</c:v>
                </c:pt>
                <c:pt idx="872">
                  <c:v>76</c:v>
                </c:pt>
                <c:pt idx="873">
                  <c:v>85</c:v>
                </c:pt>
                <c:pt idx="874">
                  <c:v>94</c:v>
                </c:pt>
                <c:pt idx="875">
                  <c:v>81</c:v>
                </c:pt>
                <c:pt idx="876">
                  <c:v>99</c:v>
                </c:pt>
                <c:pt idx="877">
                  <c:v>65</c:v>
                </c:pt>
                <c:pt idx="878">
                  <c:v>78</c:v>
                </c:pt>
                <c:pt idx="879">
                  <c:v>86</c:v>
                </c:pt>
                <c:pt idx="880">
                  <c:v>81</c:v>
                </c:pt>
                <c:pt idx="881">
                  <c:v>85</c:v>
                </c:pt>
                <c:pt idx="882">
                  <c:v>72</c:v>
                </c:pt>
                <c:pt idx="883">
                  <c:v>94</c:v>
                </c:pt>
                <c:pt idx="884">
                  <c:v>100</c:v>
                </c:pt>
                <c:pt idx="885">
                  <c:v>77</c:v>
                </c:pt>
                <c:pt idx="886">
                  <c:v>77</c:v>
                </c:pt>
                <c:pt idx="887">
                  <c:v>80</c:v>
                </c:pt>
                <c:pt idx="888">
                  <c:v>82</c:v>
                </c:pt>
                <c:pt idx="889">
                  <c:v>77</c:v>
                </c:pt>
                <c:pt idx="890">
                  <c:v>100</c:v>
                </c:pt>
                <c:pt idx="891">
                  <c:v>87</c:v>
                </c:pt>
                <c:pt idx="892">
                  <c:v>76</c:v>
                </c:pt>
                <c:pt idx="893">
                  <c:v>80</c:v>
                </c:pt>
                <c:pt idx="894">
                  <c:v>71</c:v>
                </c:pt>
                <c:pt idx="895">
                  <c:v>81</c:v>
                </c:pt>
                <c:pt idx="896">
                  <c:v>91</c:v>
                </c:pt>
                <c:pt idx="897">
                  <c:v>79</c:v>
                </c:pt>
                <c:pt idx="898">
                  <c:v>67</c:v>
                </c:pt>
                <c:pt idx="899">
                  <c:v>69</c:v>
                </c:pt>
                <c:pt idx="900">
                  <c:v>70</c:v>
                </c:pt>
                <c:pt idx="901">
                  <c:v>81</c:v>
                </c:pt>
                <c:pt idx="902">
                  <c:v>73</c:v>
                </c:pt>
                <c:pt idx="903">
                  <c:v>69</c:v>
                </c:pt>
                <c:pt idx="904">
                  <c:v>91</c:v>
                </c:pt>
                <c:pt idx="905">
                  <c:v>100</c:v>
                </c:pt>
                <c:pt idx="906">
                  <c:v>85</c:v>
                </c:pt>
                <c:pt idx="907">
                  <c:v>86</c:v>
                </c:pt>
                <c:pt idx="908">
                  <c:v>73</c:v>
                </c:pt>
                <c:pt idx="909">
                  <c:v>88</c:v>
                </c:pt>
                <c:pt idx="910">
                  <c:v>97</c:v>
                </c:pt>
                <c:pt idx="911">
                  <c:v>100</c:v>
                </c:pt>
                <c:pt idx="912">
                  <c:v>82</c:v>
                </c:pt>
                <c:pt idx="913">
                  <c:v>80</c:v>
                </c:pt>
                <c:pt idx="914">
                  <c:v>77</c:v>
                </c:pt>
                <c:pt idx="915">
                  <c:v>82</c:v>
                </c:pt>
                <c:pt idx="916">
                  <c:v>88</c:v>
                </c:pt>
                <c:pt idx="917">
                  <c:v>88</c:v>
                </c:pt>
                <c:pt idx="918">
                  <c:v>97</c:v>
                </c:pt>
                <c:pt idx="919">
                  <c:v>83</c:v>
                </c:pt>
                <c:pt idx="920">
                  <c:v>73</c:v>
                </c:pt>
                <c:pt idx="921">
                  <c:v>91</c:v>
                </c:pt>
                <c:pt idx="922">
                  <c:v>84</c:v>
                </c:pt>
                <c:pt idx="923">
                  <c:v>93</c:v>
                </c:pt>
                <c:pt idx="924">
                  <c:v>71</c:v>
                </c:pt>
                <c:pt idx="925">
                  <c:v>95</c:v>
                </c:pt>
                <c:pt idx="926">
                  <c:v>100</c:v>
                </c:pt>
                <c:pt idx="927">
                  <c:v>92</c:v>
                </c:pt>
                <c:pt idx="928">
                  <c:v>75</c:v>
                </c:pt>
                <c:pt idx="929">
                  <c:v>81</c:v>
                </c:pt>
                <c:pt idx="930">
                  <c:v>73</c:v>
                </c:pt>
                <c:pt idx="931">
                  <c:v>64</c:v>
                </c:pt>
                <c:pt idx="932">
                  <c:v>75</c:v>
                </c:pt>
                <c:pt idx="933">
                  <c:v>72</c:v>
                </c:pt>
                <c:pt idx="934">
                  <c:v>100</c:v>
                </c:pt>
                <c:pt idx="935">
                  <c:v>83</c:v>
                </c:pt>
                <c:pt idx="936">
                  <c:v>86</c:v>
                </c:pt>
                <c:pt idx="937">
                  <c:v>93</c:v>
                </c:pt>
                <c:pt idx="938">
                  <c:v>77</c:v>
                </c:pt>
                <c:pt idx="939">
                  <c:v>75</c:v>
                </c:pt>
                <c:pt idx="940">
                  <c:v>77</c:v>
                </c:pt>
                <c:pt idx="941">
                  <c:v>85</c:v>
                </c:pt>
                <c:pt idx="942">
                  <c:v>69</c:v>
                </c:pt>
                <c:pt idx="943">
                  <c:v>96</c:v>
                </c:pt>
                <c:pt idx="944">
                  <c:v>96</c:v>
                </c:pt>
                <c:pt idx="945">
                  <c:v>96</c:v>
                </c:pt>
                <c:pt idx="946">
                  <c:v>70</c:v>
                </c:pt>
                <c:pt idx="947">
                  <c:v>86</c:v>
                </c:pt>
                <c:pt idx="948">
                  <c:v>100</c:v>
                </c:pt>
                <c:pt idx="949">
                  <c:v>66</c:v>
                </c:pt>
                <c:pt idx="950">
                  <c:v>72</c:v>
                </c:pt>
                <c:pt idx="951">
                  <c:v>84</c:v>
                </c:pt>
                <c:pt idx="952">
                  <c:v>90</c:v>
                </c:pt>
                <c:pt idx="953">
                  <c:v>78</c:v>
                </c:pt>
                <c:pt idx="954">
                  <c:v>100</c:v>
                </c:pt>
                <c:pt idx="955">
                  <c:v>88</c:v>
                </c:pt>
                <c:pt idx="956">
                  <c:v>94</c:v>
                </c:pt>
                <c:pt idx="957">
                  <c:v>89</c:v>
                </c:pt>
                <c:pt idx="958">
                  <c:v>88</c:v>
                </c:pt>
                <c:pt idx="959">
                  <c:v>81</c:v>
                </c:pt>
                <c:pt idx="960">
                  <c:v>75</c:v>
                </c:pt>
                <c:pt idx="961">
                  <c:v>81</c:v>
                </c:pt>
                <c:pt idx="962">
                  <c:v>73</c:v>
                </c:pt>
                <c:pt idx="963">
                  <c:v>78</c:v>
                </c:pt>
                <c:pt idx="964">
                  <c:v>70</c:v>
                </c:pt>
                <c:pt idx="965">
                  <c:v>76</c:v>
                </c:pt>
                <c:pt idx="966">
                  <c:v>90</c:v>
                </c:pt>
                <c:pt idx="967">
                  <c:v>100</c:v>
                </c:pt>
                <c:pt idx="968">
                  <c:v>60</c:v>
                </c:pt>
                <c:pt idx="969">
                  <c:v>78</c:v>
                </c:pt>
                <c:pt idx="970">
                  <c:v>100</c:v>
                </c:pt>
                <c:pt idx="971">
                  <c:v>76</c:v>
                </c:pt>
                <c:pt idx="972">
                  <c:v>84</c:v>
                </c:pt>
                <c:pt idx="973">
                  <c:v>78</c:v>
                </c:pt>
                <c:pt idx="974">
                  <c:v>68</c:v>
                </c:pt>
                <c:pt idx="975">
                  <c:v>67</c:v>
                </c:pt>
                <c:pt idx="976">
                  <c:v>81</c:v>
                </c:pt>
                <c:pt idx="977">
                  <c:v>72</c:v>
                </c:pt>
                <c:pt idx="978">
                  <c:v>83</c:v>
                </c:pt>
                <c:pt idx="979">
                  <c:v>94</c:v>
                </c:pt>
                <c:pt idx="980">
                  <c:v>91</c:v>
                </c:pt>
                <c:pt idx="981">
                  <c:v>80</c:v>
                </c:pt>
                <c:pt idx="982">
                  <c:v>78</c:v>
                </c:pt>
                <c:pt idx="983">
                  <c:v>85</c:v>
                </c:pt>
                <c:pt idx="984">
                  <c:v>75</c:v>
                </c:pt>
                <c:pt idx="985">
                  <c:v>96</c:v>
                </c:pt>
                <c:pt idx="986">
                  <c:v>82</c:v>
                </c:pt>
                <c:pt idx="987">
                  <c:v>86</c:v>
                </c:pt>
                <c:pt idx="988">
                  <c:v>81</c:v>
                </c:pt>
                <c:pt idx="989">
                  <c:v>94</c:v>
                </c:pt>
                <c:pt idx="990">
                  <c:v>82</c:v>
                </c:pt>
                <c:pt idx="991">
                  <c:v>80</c:v>
                </c:pt>
                <c:pt idx="992">
                  <c:v>79</c:v>
                </c:pt>
                <c:pt idx="993">
                  <c:v>93</c:v>
                </c:pt>
                <c:pt idx="994">
                  <c:v>79</c:v>
                </c:pt>
                <c:pt idx="995">
                  <c:v>71</c:v>
                </c:pt>
                <c:pt idx="996">
                  <c:v>100</c:v>
                </c:pt>
                <c:pt idx="997">
                  <c:v>79</c:v>
                </c:pt>
                <c:pt idx="998">
                  <c:v>82</c:v>
                </c:pt>
                <c:pt idx="999">
                  <c:v>70</c:v>
                </c:pt>
              </c:numCache>
            </c:numRef>
          </c:yVal>
          <c:smooth val="0"/>
          <c:extLst>
            <c:ext xmlns:c16="http://schemas.microsoft.com/office/drawing/2014/chart" uri="{C3380CC4-5D6E-409C-BE32-E72D297353CC}">
              <c16:uniqueId val="{00000001-A679-495E-B509-2CDCC50DD355}"/>
            </c:ext>
          </c:extLst>
        </c:ser>
        <c:dLbls>
          <c:showLegendKey val="0"/>
          <c:showVal val="0"/>
          <c:showCatName val="0"/>
          <c:showSerName val="0"/>
          <c:showPercent val="0"/>
          <c:showBubbleSize val="0"/>
        </c:dLbls>
        <c:axId val="1586298543"/>
        <c:axId val="1586306447"/>
      </c:scatterChart>
      <c:valAx>
        <c:axId val="15862985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Study</a:t>
                </a:r>
                <a:r>
                  <a:rPr lang="en-US" sz="1200" b="1" baseline="0"/>
                  <a:t> Time  (Hours</a:t>
                </a:r>
                <a:r>
                  <a:rPr lang="en-US" b="1" baseline="0"/>
                  <a:t>)</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306447"/>
        <c:crosses val="autoZero"/>
        <c:crossBetween val="midCat"/>
      </c:valAx>
      <c:valAx>
        <c:axId val="1586306447"/>
        <c:scaling>
          <c:orientation val="minMax"/>
          <c:max val="1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Final</a:t>
                </a:r>
                <a:r>
                  <a:rPr lang="en-US" sz="1200" b="1" baseline="0"/>
                  <a:t> Exam Score</a:t>
                </a:r>
                <a:endParaRPr lang="en-US"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98543"/>
        <c:crosses val="autoZero"/>
        <c:crossBetween val="midCat"/>
        <c:majorUnit val="2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Average</a:t>
            </a:r>
            <a:r>
              <a:rPr lang="en-US" b="1" baseline="0">
                <a:solidFill>
                  <a:schemeClr val="tx1"/>
                </a:solidFill>
              </a:rPr>
              <a:t> Exam Score by Part-Time Job</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No</c:v>
              </c:pt>
              <c:pt idx="1">
                <c:v>Yes</c:v>
              </c:pt>
            </c:strLit>
          </c:cat>
          <c:val>
            <c:numLit>
              <c:formatCode>General</c:formatCode>
              <c:ptCount val="2"/>
              <c:pt idx="0">
                <c:v>84.615497076023388</c:v>
              </c:pt>
              <c:pt idx="1">
                <c:v>81.351265822784811</c:v>
              </c:pt>
            </c:numLit>
          </c:val>
          <c:extLst>
            <c:ext xmlns:c16="http://schemas.microsoft.com/office/drawing/2014/chart" uri="{C3380CC4-5D6E-409C-BE32-E72D297353CC}">
              <c16:uniqueId val="{00000000-0BC5-4AB5-988A-E8DE923CBEFE}"/>
            </c:ext>
          </c:extLst>
        </c:ser>
        <c:dLbls>
          <c:dLblPos val="outEnd"/>
          <c:showLegendKey val="0"/>
          <c:showVal val="1"/>
          <c:showCatName val="0"/>
          <c:showSerName val="0"/>
          <c:showPercent val="0"/>
          <c:showBubbleSize val="0"/>
        </c:dLbls>
        <c:gapWidth val="219"/>
        <c:overlap val="-27"/>
        <c:axId val="1584941375"/>
        <c:axId val="1584938047"/>
      </c:barChart>
      <c:catAx>
        <c:axId val="1584941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84938047"/>
        <c:crosses val="autoZero"/>
        <c:auto val="1"/>
        <c:lblAlgn val="ctr"/>
        <c:lblOffset val="100"/>
        <c:noMultiLvlLbl val="0"/>
      </c:catAx>
      <c:valAx>
        <c:axId val="1584938047"/>
        <c:scaling>
          <c:orientation val="minMax"/>
          <c:max val="100"/>
          <c:min val="0"/>
        </c:scaling>
        <c:delete val="0"/>
        <c:axPos val="l"/>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sz="1200" b="1">
                    <a:solidFill>
                      <a:schemeClr val="tx1"/>
                    </a:solidFill>
                  </a:rPr>
                  <a:t>Final Exam Score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K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84941375"/>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student_performance_dataset dashboard.xlsm]pivot tables!PivotTable9</c:name>
    <c:fmtId val="1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KE" sz="1400" b="1" i="0" u="none" strike="noStrike" baseline="0"/>
              <a:t>Average Final Exam Score by Extracurricular Activities</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tables'!$C$38</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tables'!$B$39:$B$41</c:f>
              <c:strCache>
                <c:ptCount val="2"/>
                <c:pt idx="0">
                  <c:v>No</c:v>
                </c:pt>
                <c:pt idx="1">
                  <c:v>Yes</c:v>
                </c:pt>
              </c:strCache>
            </c:strRef>
          </c:cat>
          <c:val>
            <c:numRef>
              <c:f>'pivot tables'!$C$39:$C$41</c:f>
              <c:numCache>
                <c:formatCode>General</c:formatCode>
                <c:ptCount val="2"/>
                <c:pt idx="0">
                  <c:v>83.324766355140184</c:v>
                </c:pt>
                <c:pt idx="1">
                  <c:v>83.777972027972027</c:v>
                </c:pt>
              </c:numCache>
            </c:numRef>
          </c:val>
          <c:extLst>
            <c:ext xmlns:c16="http://schemas.microsoft.com/office/drawing/2014/chart" uri="{C3380CC4-5D6E-409C-BE32-E72D297353CC}">
              <c16:uniqueId val="{00000000-7619-4A99-BDD5-D7033C7D248C}"/>
            </c:ext>
          </c:extLst>
        </c:ser>
        <c:dLbls>
          <c:dLblPos val="outEnd"/>
          <c:showLegendKey val="0"/>
          <c:showVal val="1"/>
          <c:showCatName val="0"/>
          <c:showSerName val="0"/>
          <c:showPercent val="0"/>
          <c:showBubbleSize val="0"/>
        </c:dLbls>
        <c:gapWidth val="219"/>
        <c:overlap val="-27"/>
        <c:axId val="1586312687"/>
        <c:axId val="1586301039"/>
      </c:barChart>
      <c:catAx>
        <c:axId val="158631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86301039"/>
        <c:crosses val="autoZero"/>
        <c:auto val="1"/>
        <c:lblAlgn val="ctr"/>
        <c:lblOffset val="100"/>
        <c:noMultiLvlLbl val="0"/>
      </c:catAx>
      <c:valAx>
        <c:axId val="1586301039"/>
        <c:scaling>
          <c:orientation val="minMax"/>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solidFill>
                      <a:schemeClr val="tx1"/>
                    </a:solidFill>
                  </a:rPr>
                  <a:t>Final Exam Scores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K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86312687"/>
        <c:crosses val="autoZero"/>
        <c:crossBetween val="between"/>
        <c:majorUnit val="10"/>
      </c:valAx>
      <c:spPr>
        <a:noFill/>
        <a:ln w="25400">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student_performance_dataset dashboard.xlsm]pivot tables!PivotTable11</c:name>
    <c:fmtId val="1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tx1"/>
                </a:solidFill>
              </a:rPr>
              <a:t>Average Final Exam Score Vs Internet Access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K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tables'!$C$70</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tables'!$B$71:$B$73</c:f>
              <c:strCache>
                <c:ptCount val="2"/>
                <c:pt idx="0">
                  <c:v>No</c:v>
                </c:pt>
                <c:pt idx="1">
                  <c:v>Yes</c:v>
                </c:pt>
              </c:strCache>
            </c:strRef>
          </c:cat>
          <c:val>
            <c:numRef>
              <c:f>'pivot tables'!$C$71:$C$73</c:f>
              <c:numCache>
                <c:formatCode>General</c:formatCode>
                <c:ptCount val="2"/>
                <c:pt idx="0">
                  <c:v>79.294520547945211</c:v>
                </c:pt>
                <c:pt idx="1">
                  <c:v>84.317330210772838</c:v>
                </c:pt>
              </c:numCache>
            </c:numRef>
          </c:val>
          <c:extLst>
            <c:ext xmlns:c16="http://schemas.microsoft.com/office/drawing/2014/chart" uri="{C3380CC4-5D6E-409C-BE32-E72D297353CC}">
              <c16:uniqueId val="{00000000-C625-4DCB-8CC2-4723AD651FF2}"/>
            </c:ext>
          </c:extLst>
        </c:ser>
        <c:dLbls>
          <c:dLblPos val="outEnd"/>
          <c:showLegendKey val="0"/>
          <c:showVal val="1"/>
          <c:showCatName val="0"/>
          <c:showSerName val="0"/>
          <c:showPercent val="0"/>
          <c:showBubbleSize val="0"/>
        </c:dLbls>
        <c:gapWidth val="219"/>
        <c:overlap val="-27"/>
        <c:axId val="1586317263"/>
        <c:axId val="1586291887"/>
      </c:barChart>
      <c:catAx>
        <c:axId val="15863172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86291887"/>
        <c:crosses val="autoZero"/>
        <c:auto val="1"/>
        <c:lblAlgn val="ctr"/>
        <c:lblOffset val="100"/>
        <c:noMultiLvlLbl val="0"/>
      </c:catAx>
      <c:valAx>
        <c:axId val="1586291887"/>
        <c:scaling>
          <c:orientation val="minMax"/>
          <c:max val="100"/>
          <c:min val="0"/>
        </c:scaling>
        <c:delete val="0"/>
        <c:axPos val="l"/>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sz="1200" b="1">
                    <a:solidFill>
                      <a:schemeClr val="tx1"/>
                    </a:solidFill>
                  </a:rPr>
                  <a:t>Final</a:t>
                </a:r>
                <a:r>
                  <a:rPr lang="en-US" sz="1200" b="1" baseline="0">
                    <a:solidFill>
                      <a:schemeClr val="tx1"/>
                    </a:solidFill>
                  </a:rPr>
                  <a:t> Exam Scor</a:t>
                </a:r>
                <a:r>
                  <a:rPr lang="en-US" sz="1200" b="1">
                    <a:solidFill>
                      <a:schemeClr val="tx1"/>
                    </a:solidFill>
                  </a:rPr>
                  <a:t>e</a:t>
                </a:r>
              </a:p>
            </c:rich>
          </c:tx>
          <c:layout>
            <c:manualLayout>
              <c:xMode val="edge"/>
              <c:yMode val="edge"/>
              <c:x val="4.7170628916957405E-2"/>
              <c:y val="0.245136969302787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KE"/>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8631726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student_performance_dataset dashboard.xlsm]pivot tables!PivotTable10</c:name>
    <c:fmtId val="25"/>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 Average</a:t>
            </a:r>
            <a:r>
              <a:rPr lang="en-US" b="1" baseline="0">
                <a:solidFill>
                  <a:schemeClr val="tx1"/>
                </a:solidFill>
              </a:rPr>
              <a:t> Final Score by Parental Education</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s>
    <c:plotArea>
      <c:layout/>
      <c:barChart>
        <c:barDir val="col"/>
        <c:grouping val="clustered"/>
        <c:varyColors val="0"/>
        <c:ser>
          <c:idx val="0"/>
          <c:order val="0"/>
          <c:tx>
            <c:strRef>
              <c:f>'pivot tables'!$C$53</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tables'!$B$54:$B$59</c:f>
              <c:strCache>
                <c:ptCount val="5"/>
                <c:pt idx="0">
                  <c:v>High School</c:v>
                </c:pt>
                <c:pt idx="1">
                  <c:v>Bachelors</c:v>
                </c:pt>
                <c:pt idx="2">
                  <c:v>None</c:v>
                </c:pt>
                <c:pt idx="3">
                  <c:v>Masters</c:v>
                </c:pt>
                <c:pt idx="4">
                  <c:v>PhD</c:v>
                </c:pt>
              </c:strCache>
            </c:strRef>
          </c:cat>
          <c:val>
            <c:numRef>
              <c:f>'pivot tables'!$C$54:$C$59</c:f>
              <c:numCache>
                <c:formatCode>General</c:formatCode>
                <c:ptCount val="5"/>
                <c:pt idx="0">
                  <c:v>83.294943820224717</c:v>
                </c:pt>
                <c:pt idx="1">
                  <c:v>83.431818181818187</c:v>
                </c:pt>
                <c:pt idx="2">
                  <c:v>83.450980392156865</c:v>
                </c:pt>
                <c:pt idx="3">
                  <c:v>84.065217391304344</c:v>
                </c:pt>
                <c:pt idx="4">
                  <c:v>85.08</c:v>
                </c:pt>
              </c:numCache>
            </c:numRef>
          </c:val>
          <c:extLst>
            <c:ext xmlns:c16="http://schemas.microsoft.com/office/drawing/2014/chart" uri="{C3380CC4-5D6E-409C-BE32-E72D297353CC}">
              <c16:uniqueId val="{00000000-F8F9-4489-B57D-A041CACB1069}"/>
            </c:ext>
          </c:extLst>
        </c:ser>
        <c:dLbls>
          <c:dLblPos val="outEnd"/>
          <c:showLegendKey val="0"/>
          <c:showVal val="1"/>
          <c:showCatName val="0"/>
          <c:showSerName val="0"/>
          <c:showPercent val="0"/>
          <c:showBubbleSize val="0"/>
        </c:dLbls>
        <c:gapWidth val="150"/>
        <c:axId val="1586311023"/>
        <c:axId val="1586312271"/>
      </c:barChart>
      <c:catAx>
        <c:axId val="15863110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sz="1200" b="1">
                    <a:solidFill>
                      <a:schemeClr val="tx1"/>
                    </a:solidFill>
                  </a:rPr>
                  <a:t>Parental Education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K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86312271"/>
        <c:crosses val="autoZero"/>
        <c:auto val="1"/>
        <c:lblAlgn val="ctr"/>
        <c:lblOffset val="100"/>
        <c:noMultiLvlLbl val="0"/>
      </c:catAx>
      <c:valAx>
        <c:axId val="1586312271"/>
        <c:scaling>
          <c:orientation val="minMax"/>
          <c:max val="100"/>
          <c:min val="0"/>
        </c:scaling>
        <c:delete val="0"/>
        <c:axPos val="l"/>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sz="1200" b="1">
                    <a:solidFill>
                      <a:schemeClr val="tx1"/>
                    </a:solidFill>
                  </a:rPr>
                  <a:t>Final Exam Score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K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86311023"/>
        <c:crosses val="autoZero"/>
        <c:crossBetween val="between"/>
        <c:majorUnit val="10"/>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Final Exams Score Distribution</cx:v>
        </cx:txData>
      </cx:tx>
      <cx:txPr>
        <a:bodyPr spcFirstLastPara="1" vertOverflow="ellipsis" wrap="square" lIns="0" tIns="0" rIns="0" bIns="0" anchor="ctr" anchorCtr="1"/>
        <a:lstStyle/>
        <a:p>
          <a:pPr algn="ctr">
            <a:defRPr/>
          </a:pPr>
          <a:r>
            <a:rPr lang="en-US"/>
            <a:t>Final Exams Score Distribution</a:t>
          </a:r>
        </a:p>
      </cx:txPr>
    </cx:title>
    <cx:plotArea>
      <cx:plotAreaRegion>
        <cx:series layoutId="clusteredColumn" uniqueId="{A6599212-47D3-488A-98FC-DD78DC01D39F}">
          <cx:dataLabels>
            <cx:visibility seriesName="0" categoryName="0" value="1"/>
          </cx:dataLabels>
          <cx:dataId val="0"/>
          <cx:layoutPr>
            <cx:binning intervalClosed="r">
              <cx:binSize val="5.2999999999999998"/>
            </cx:binning>
          </cx:layoutPr>
        </cx:series>
      </cx:plotAreaRegion>
      <cx:axis id="0">
        <cx:catScaling gapWidth="0"/>
        <cx:title>
          <cx:tx>
            <cx:txData>
              <cx:v>Study time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Study time</a:t>
              </a:r>
            </a:p>
          </cx:txPr>
        </cx:title>
        <cx:tickLabels/>
      </cx:axis>
      <cx:axis id="1">
        <cx:valScaling/>
        <cx:title>
          <cx:tx>
            <cx:txData>
              <cx:v> Final Exam Score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 Final Exam Score</a:t>
              </a:r>
            </a:p>
          </cx:txPr>
        </cx:titl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Final Exams Score Distribution</cx:v>
        </cx:txData>
      </cx:tx>
      <cx:txPr>
        <a:bodyPr spcFirstLastPara="1" vertOverflow="ellipsis" wrap="square" lIns="0" tIns="0" rIns="0" bIns="0" anchor="ctr" anchorCtr="1"/>
        <a:lstStyle/>
        <a:p>
          <a:pPr algn="ctr">
            <a:defRPr/>
          </a:pPr>
          <a:r>
            <a:rPr lang="en-US" b="1"/>
            <a:t>Final Exams Score Distribution</a:t>
          </a:r>
        </a:p>
      </cx:txPr>
    </cx:title>
    <cx:plotArea>
      <cx:plotAreaRegion>
        <cx:series layoutId="clusteredColumn" uniqueId="{A6599212-47D3-488A-98FC-DD78DC01D39F}">
          <cx:dataLabels>
            <cx:visibility seriesName="0" categoryName="0" value="1"/>
          </cx:dataLabels>
          <cx:dataId val="0"/>
          <cx:layoutPr>
            <cx:binning intervalClosed="r">
              <cx:binSize val="5.2999999999999998"/>
            </cx:binning>
          </cx:layoutPr>
        </cx:series>
      </cx:plotAreaRegion>
      <cx:axis id="0">
        <cx:catScaling gapWidth="0"/>
        <cx:title>
          <cx:tx>
            <cx:txData>
              <cx:v>Final Exam Score</cx:v>
            </cx:txData>
          </cx:tx>
          <cx:txPr>
            <a:bodyPr spcFirstLastPara="1" vertOverflow="ellipsis" horzOverflow="overflow" wrap="square" lIns="0" tIns="0" rIns="0" bIns="0" anchor="ctr" anchorCtr="1"/>
            <a:lstStyle/>
            <a:p>
              <a:pPr algn="ctr" rtl="0">
                <a:defRPr/>
              </a:pPr>
              <a:r>
                <a:rPr lang="en-US" sz="900" b="1" i="0" u="none" strike="noStrike" baseline="0">
                  <a:solidFill>
                    <a:sysClr val="windowText" lastClr="000000">
                      <a:lumMod val="65000"/>
                      <a:lumOff val="35000"/>
                    </a:sysClr>
                  </a:solidFill>
                  <a:latin typeface="Calibri" panose="020F0502020204030204"/>
                </a:rPr>
                <a:t>Final Exam Score</a:t>
              </a:r>
            </a:p>
          </cx:txPr>
        </cx:title>
        <cx:tickLabels/>
      </cx:axis>
      <cx:axis id="1">
        <cx:valScaling/>
        <cx:title>
          <cx:tx>
            <cx:txData>
              <cx:v> Nunber of students</cx:v>
            </cx:txData>
          </cx:tx>
          <cx:txPr>
            <a:bodyPr spcFirstLastPara="1" vertOverflow="ellipsis" horzOverflow="overflow" wrap="square" lIns="0" tIns="0" rIns="0" bIns="0" anchor="ctr" anchorCtr="1"/>
            <a:lstStyle/>
            <a:p>
              <a:pPr algn="ctr" rtl="0">
                <a:defRPr/>
              </a:pPr>
              <a:r>
                <a:rPr lang="en-US" sz="900" b="1" i="0" u="none" strike="noStrike" baseline="0">
                  <a:solidFill>
                    <a:sysClr val="windowText" lastClr="000000">
                      <a:lumMod val="65000"/>
                      <a:lumOff val="35000"/>
                    </a:sysClr>
                  </a:solidFill>
                  <a:latin typeface="Calibri" panose="020F0502020204030204"/>
                </a:rPr>
                <a:t> Nunber of students</a:t>
              </a:r>
            </a:p>
          </cx:txPr>
        </cx:title>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apeda.gov.in/cashew" TargetMode="External"/><Relationship Id="rId2" Type="http://schemas.openxmlformats.org/officeDocument/2006/relationships/image" Target="../media/image1.png"/><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11" Type="http://schemas.openxmlformats.org/officeDocument/2006/relationships/hyperlink" Target="https://apeda.gov.in/cashew" TargetMode="External"/><Relationship Id="rId5" Type="http://schemas.openxmlformats.org/officeDocument/2006/relationships/chart" Target="../charts/chart4.xml"/><Relationship Id="rId10" Type="http://schemas.openxmlformats.org/officeDocument/2006/relationships/image" Target="../media/image2.png"/><Relationship Id="rId4" Type="http://schemas.openxmlformats.org/officeDocument/2006/relationships/chart" Target="../charts/chart3.xml"/><Relationship Id="rId9" Type="http://schemas.openxmlformats.org/officeDocument/2006/relationships/hyperlink" Target="#Dashboard!A1"/></Relationships>
</file>

<file path=xl/drawings/_rels/drawing3.xml.rels><?xml version="1.0" encoding="UTF-8" standalone="yes"?>
<Relationships xmlns="http://schemas.openxmlformats.org/package/2006/relationships"><Relationship Id="rId3" Type="http://schemas.openxmlformats.org/officeDocument/2006/relationships/hyperlink" Target="https://apeda.gov.in/cashew" TargetMode="External"/><Relationship Id="rId2" Type="http://schemas.openxmlformats.org/officeDocument/2006/relationships/image" Target="../media/image3.png"/><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hyperlink" Target="#'pivot tables'!A1"/><Relationship Id="rId26" Type="http://schemas.openxmlformats.org/officeDocument/2006/relationships/hyperlink" Target="https://svgsilh.com/image/24185.html" TargetMode="External"/><Relationship Id="rId3" Type="http://schemas.openxmlformats.org/officeDocument/2006/relationships/chart" Target="../charts/chart10.xml"/><Relationship Id="rId21" Type="http://schemas.openxmlformats.org/officeDocument/2006/relationships/hyperlink" Target="#'working dataset'!A1"/><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hyperlink" Target="https://www.wilhelmsen.com/ships-service/revelle-emissions-monitoring/" TargetMode="External"/><Relationship Id="rId25" Type="http://schemas.openxmlformats.org/officeDocument/2006/relationships/image" Target="../media/image15.png"/><Relationship Id="rId2" Type="http://schemas.openxmlformats.org/officeDocument/2006/relationships/chart" Target="../charts/chart9.xml"/><Relationship Id="rId16" Type="http://schemas.openxmlformats.org/officeDocument/2006/relationships/image" Target="../media/image12.png"/><Relationship Id="rId20" Type="http://schemas.openxmlformats.org/officeDocument/2006/relationships/hyperlink" Target="https://www.rawpixel.com/image/380207/aerial-view-business-data-analysis-graph" TargetMode="External"/><Relationship Id="rId1" Type="http://schemas.openxmlformats.org/officeDocument/2006/relationships/chart" Target="../charts/chart8.xm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hyperlink" Target="#Dashboard!A1"/><Relationship Id="rId5" Type="http://schemas.openxmlformats.org/officeDocument/2006/relationships/chart" Target="../charts/chart12.xml"/><Relationship Id="rId15" Type="http://schemas.openxmlformats.org/officeDocument/2006/relationships/hyperlink" Target="#'Fidings and Recommendation'!A1"/><Relationship Id="rId23" Type="http://schemas.openxmlformats.org/officeDocument/2006/relationships/hyperlink" Target="https://comot17.blogspot.com/" TargetMode="External"/><Relationship Id="rId28" Type="http://schemas.openxmlformats.org/officeDocument/2006/relationships/image" Target="../media/image17.svg"/><Relationship Id="rId10" Type="http://schemas.openxmlformats.org/officeDocument/2006/relationships/image" Target="../media/image8.png"/><Relationship Id="rId19" Type="http://schemas.openxmlformats.org/officeDocument/2006/relationships/image" Target="../media/image13.png"/><Relationship Id="rId4" Type="http://schemas.openxmlformats.org/officeDocument/2006/relationships/chart" Target="../charts/chart11.xml"/><Relationship Id="rId9" Type="http://schemas.openxmlformats.org/officeDocument/2006/relationships/image" Target="../media/image7.svg"/><Relationship Id="rId14" Type="http://schemas.microsoft.com/office/2014/relationships/chartEx" Target="../charts/chartEx2.xml"/><Relationship Id="rId22" Type="http://schemas.openxmlformats.org/officeDocument/2006/relationships/image" Target="../media/image14.png"/><Relationship Id="rId27"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7470</xdr:rowOff>
    </xdr:from>
    <xdr:to>
      <xdr:col>1</xdr:col>
      <xdr:colOff>268941</xdr:colOff>
      <xdr:row>1</xdr:row>
      <xdr:rowOff>149410</xdr:rowOff>
    </xdr:to>
    <xdr:pic>
      <xdr:nvPicPr>
        <xdr:cNvPr id="3" name="Picture 2">
          <a:hlinkClick xmlns:r="http://schemas.openxmlformats.org/officeDocument/2006/relationships" r:id="rId1"/>
          <a:extLst>
            <a:ext uri="{FF2B5EF4-FFF2-40B4-BE49-F238E27FC236}">
              <a16:creationId xmlns:a16="http://schemas.microsoft.com/office/drawing/2014/main" id="{182FFFA5-E75E-4449-A217-1A09A1FEF1E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a:off x="0" y="7470"/>
          <a:ext cx="1053353" cy="3287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761476</xdr:colOff>
      <xdr:row>3</xdr:row>
      <xdr:rowOff>72253</xdr:rowOff>
    </xdr:from>
    <xdr:to>
      <xdr:col>7</xdr:col>
      <xdr:colOff>906261</xdr:colOff>
      <xdr:row>18</xdr:row>
      <xdr:rowOff>100828</xdr:rowOff>
    </xdr:to>
    <mc:AlternateContent xmlns:mc="http://schemas.openxmlformats.org/markup-compatibility/2006">
      <mc:Choice xmlns:cx1="http://schemas.microsoft.com/office/drawing/2015/9/8/chartex" Requires="cx1">
        <xdr:graphicFrame macro="">
          <xdr:nvGraphicFramePr>
            <xdr:cNvPr id="4" name="Chart 2">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625326" y="624703"/>
              <a:ext cx="4577085" cy="2790825"/>
            </a:xfrm>
            <a:prstGeom prst="rect">
              <a:avLst/>
            </a:prstGeom>
            <a:solidFill>
              <a:prstClr val="white"/>
            </a:solidFill>
            <a:ln w="1">
              <a:solidFill>
                <a:prstClr val="green"/>
              </a:solidFill>
            </a:ln>
          </xdr:spPr>
          <xdr:txBody>
            <a:bodyPr vertOverflow="clip" horzOverflow="clip"/>
            <a:lstStyle/>
            <a:p>
              <a:r>
                <a:rPr lang="en-K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548689</xdr:colOff>
      <xdr:row>3</xdr:row>
      <xdr:rowOff>35819</xdr:rowOff>
    </xdr:from>
    <xdr:to>
      <xdr:col>13</xdr:col>
      <xdr:colOff>238093</xdr:colOff>
      <xdr:row>17</xdr:row>
      <xdr:rowOff>106471</xdr:rowOff>
    </xdr:to>
    <xdr:graphicFrame macro="">
      <xdr:nvGraphicFramePr>
        <xdr:cNvPr id="5" name="Chart 3">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3300</xdr:colOff>
      <xdr:row>20</xdr:row>
      <xdr:rowOff>5914</xdr:rowOff>
    </xdr:from>
    <xdr:to>
      <xdr:col>8</xdr:col>
      <xdr:colOff>1</xdr:colOff>
      <xdr:row>29</xdr:row>
      <xdr:rowOff>164104</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729036</xdr:colOff>
      <xdr:row>31</xdr:row>
      <xdr:rowOff>171450</xdr:rowOff>
    </xdr:from>
    <xdr:to>
      <xdr:col>7</xdr:col>
      <xdr:colOff>915147</xdr:colOff>
      <xdr:row>43</xdr:row>
      <xdr:rowOff>57150</xdr:rowOff>
    </xdr:to>
    <xdr:graphicFrame macro="">
      <xdr:nvGraphicFramePr>
        <xdr:cNvPr id="9" name="Chart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761347</xdr:colOff>
      <xdr:row>46</xdr:row>
      <xdr:rowOff>174376</xdr:rowOff>
    </xdr:from>
    <xdr:to>
      <xdr:col>7</xdr:col>
      <xdr:colOff>896719</xdr:colOff>
      <xdr:row>59</xdr:row>
      <xdr:rowOff>120400</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779214</xdr:colOff>
      <xdr:row>63</xdr:row>
      <xdr:rowOff>3486</xdr:rowOff>
    </xdr:from>
    <xdr:to>
      <xdr:col>8</xdr:col>
      <xdr:colOff>31502</xdr:colOff>
      <xdr:row>73</xdr:row>
      <xdr:rowOff>37851</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4980</xdr:colOff>
      <xdr:row>74</xdr:row>
      <xdr:rowOff>184773</xdr:rowOff>
    </xdr:from>
    <xdr:to>
      <xdr:col>8</xdr:col>
      <xdr:colOff>18677</xdr:colOff>
      <xdr:row>89</xdr:row>
      <xdr:rowOff>126502</xdr:rowOff>
    </xdr:to>
    <xdr:graphicFrame macro="">
      <xdr:nvGraphicFramePr>
        <xdr:cNvPr id="2" name="Chart 1">
          <a:extLst>
            <a:ext uri="{FF2B5EF4-FFF2-40B4-BE49-F238E27FC236}">
              <a16:creationId xmlns:a16="http://schemas.microsoft.com/office/drawing/2014/main" id="{864055B7-D41C-419F-8A38-9032049853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605230</xdr:colOff>
      <xdr:row>73</xdr:row>
      <xdr:rowOff>164201</xdr:rowOff>
    </xdr:from>
    <xdr:to>
      <xdr:col>19</xdr:col>
      <xdr:colOff>297524</xdr:colOff>
      <xdr:row>88</xdr:row>
      <xdr:rowOff>107744</xdr:rowOff>
    </xdr:to>
    <xdr:graphicFrame macro="">
      <xdr:nvGraphicFramePr>
        <xdr:cNvPr id="8" name="Chart 7">
          <a:extLst>
            <a:ext uri="{FF2B5EF4-FFF2-40B4-BE49-F238E27FC236}">
              <a16:creationId xmlns:a16="http://schemas.microsoft.com/office/drawing/2014/main" id="{4F81CDA2-C4EA-068C-F2C8-DFADB0C06D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2</xdr:colOff>
      <xdr:row>0</xdr:row>
      <xdr:rowOff>2</xdr:rowOff>
    </xdr:from>
    <xdr:to>
      <xdr:col>1</xdr:col>
      <xdr:colOff>240437</xdr:colOff>
      <xdr:row>1</xdr:row>
      <xdr:rowOff>117136</xdr:rowOff>
    </xdr:to>
    <xdr:pic>
      <xdr:nvPicPr>
        <xdr:cNvPr id="7" name="Picture 6">
          <a:hlinkClick xmlns:r="http://schemas.openxmlformats.org/officeDocument/2006/relationships" r:id="rId9"/>
          <a:extLst>
            <a:ext uri="{FF2B5EF4-FFF2-40B4-BE49-F238E27FC236}">
              <a16:creationId xmlns:a16="http://schemas.microsoft.com/office/drawing/2014/main" id="{2855EEED-6EB6-480D-91C1-BB2B679F9D7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837473B0-CC2E-450A-ABE3-18F120FF3D39}">
              <a1611:picAttrSrcUrl xmlns:a1611="http://schemas.microsoft.com/office/drawing/2016/11/main" r:id="rId11"/>
            </a:ext>
          </a:extLst>
        </a:blip>
        <a:stretch>
          <a:fillRect/>
        </a:stretch>
      </xdr:blipFill>
      <xdr:spPr>
        <a:xfrm>
          <a:off x="2" y="2"/>
          <a:ext cx="850775" cy="3020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609600</xdr:colOff>
      <xdr:row>2</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8D54CFF5-52A7-4089-83EA-486D6D59C74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a:off x="0" y="0"/>
          <a:ext cx="1028700" cy="368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268400</xdr:colOff>
      <xdr:row>46</xdr:row>
      <xdr:rowOff>183815</xdr:rowOff>
    </xdr:to>
    <xdr:sp macro="" textlink="">
      <xdr:nvSpPr>
        <xdr:cNvPr id="37" name="Rectangle 36">
          <a:extLst>
            <a:ext uri="{FF2B5EF4-FFF2-40B4-BE49-F238E27FC236}">
              <a16:creationId xmlns:a16="http://schemas.microsoft.com/office/drawing/2014/main" id="{865DEF1E-F332-D647-09CF-22C455EE2127}"/>
            </a:ext>
          </a:extLst>
        </xdr:cNvPr>
        <xdr:cNvSpPr/>
      </xdr:nvSpPr>
      <xdr:spPr>
        <a:xfrm>
          <a:off x="0" y="0"/>
          <a:ext cx="15516755" cy="8639341"/>
        </a:xfrm>
        <a:prstGeom prst="rect">
          <a:avLst/>
        </a:prstGeom>
        <a:solidFill>
          <a:schemeClr val="tx2">
            <a:lumMod val="40000"/>
            <a:lumOff val="6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3</xdr:col>
      <xdr:colOff>274335</xdr:colOff>
      <xdr:row>0</xdr:row>
      <xdr:rowOff>0</xdr:rowOff>
    </xdr:from>
    <xdr:to>
      <xdr:col>25</xdr:col>
      <xdr:colOff>80262</xdr:colOff>
      <xdr:row>3</xdr:row>
      <xdr:rowOff>150239</xdr:rowOff>
    </xdr:to>
    <xdr:sp macro="" textlink="">
      <xdr:nvSpPr>
        <xdr:cNvPr id="31" name="Rectangle 30">
          <a:extLst>
            <a:ext uri="{FF2B5EF4-FFF2-40B4-BE49-F238E27FC236}">
              <a16:creationId xmlns:a16="http://schemas.microsoft.com/office/drawing/2014/main" id="{00000000-0008-0000-0300-00001F000000}"/>
            </a:ext>
          </a:extLst>
        </xdr:cNvPr>
        <xdr:cNvSpPr/>
      </xdr:nvSpPr>
      <xdr:spPr>
        <a:xfrm>
          <a:off x="2104138" y="0"/>
          <a:ext cx="13224479" cy="701686"/>
        </a:xfrm>
        <a:prstGeom prst="rect">
          <a:avLst/>
        </a:prstGeom>
        <a:solidFill>
          <a:srgbClr val="002060"/>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5400">
              <a:solidFill>
                <a:schemeClr val="bg1"/>
              </a:solidFill>
            </a:rPr>
            <a:t>Student Performance</a:t>
          </a:r>
          <a:r>
            <a:rPr lang="en-US" sz="5400" baseline="0">
              <a:solidFill>
                <a:schemeClr val="bg1"/>
              </a:solidFill>
            </a:rPr>
            <a:t> Dashboard</a:t>
          </a:r>
          <a:endParaRPr lang="en-US" sz="5400">
            <a:solidFill>
              <a:schemeClr val="bg1"/>
            </a:solidFill>
          </a:endParaRPr>
        </a:p>
      </xdr:txBody>
    </xdr:sp>
    <xdr:clientData/>
  </xdr:twoCellAnchor>
  <xdr:twoCellAnchor>
    <xdr:from>
      <xdr:col>7</xdr:col>
      <xdr:colOff>495266</xdr:colOff>
      <xdr:row>10</xdr:row>
      <xdr:rowOff>73272</xdr:rowOff>
    </xdr:from>
    <xdr:to>
      <xdr:col>11</xdr:col>
      <xdr:colOff>575529</xdr:colOff>
      <xdr:row>15</xdr:row>
      <xdr:rowOff>96916</xdr:rowOff>
    </xdr:to>
    <xdr:sp macro="" textlink="">
      <xdr:nvSpPr>
        <xdr:cNvPr id="11" name="Rectangle: Rounded Corners 10">
          <a:extLst>
            <a:ext uri="{FF2B5EF4-FFF2-40B4-BE49-F238E27FC236}">
              <a16:creationId xmlns:a16="http://schemas.microsoft.com/office/drawing/2014/main" id="{636355D2-394B-F10F-7411-7700EACCE6D1}"/>
            </a:ext>
          </a:extLst>
        </xdr:cNvPr>
        <xdr:cNvSpPr/>
      </xdr:nvSpPr>
      <xdr:spPr>
        <a:xfrm>
          <a:off x="4764805" y="1911430"/>
          <a:ext cx="2520000" cy="942723"/>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KE"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3</xdr:col>
      <xdr:colOff>253732</xdr:colOff>
      <xdr:row>10</xdr:row>
      <xdr:rowOff>81628</xdr:rowOff>
    </xdr:from>
    <xdr:to>
      <xdr:col>7</xdr:col>
      <xdr:colOff>333996</xdr:colOff>
      <xdr:row>15</xdr:row>
      <xdr:rowOff>105272</xdr:rowOff>
    </xdr:to>
    <xdr:sp macro="" textlink="">
      <xdr:nvSpPr>
        <xdr:cNvPr id="16" name="Rectangle: Rounded Corners 15">
          <a:extLst>
            <a:ext uri="{FF2B5EF4-FFF2-40B4-BE49-F238E27FC236}">
              <a16:creationId xmlns:a16="http://schemas.microsoft.com/office/drawing/2014/main" id="{1DACAD15-C941-4152-B92A-CFA762650F15}"/>
            </a:ext>
          </a:extLst>
        </xdr:cNvPr>
        <xdr:cNvSpPr/>
      </xdr:nvSpPr>
      <xdr:spPr>
        <a:xfrm>
          <a:off x="2083535" y="1919786"/>
          <a:ext cx="2520000" cy="942723"/>
        </a:xfrm>
        <a:prstGeom prst="round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KE" sz="1100"/>
        </a:p>
      </xdr:txBody>
    </xdr:sp>
    <xdr:clientData/>
  </xdr:twoCellAnchor>
  <xdr:twoCellAnchor>
    <xdr:from>
      <xdr:col>20</xdr:col>
      <xdr:colOff>609933</xdr:colOff>
      <xdr:row>10</xdr:row>
      <xdr:rowOff>77450</xdr:rowOff>
    </xdr:from>
    <xdr:to>
      <xdr:col>25</xdr:col>
      <xdr:colOff>80262</xdr:colOff>
      <xdr:row>15</xdr:row>
      <xdr:rowOff>101094</xdr:rowOff>
    </xdr:to>
    <xdr:sp macro="" textlink="">
      <xdr:nvSpPr>
        <xdr:cNvPr id="21" name="Rectangle: Rounded Corners 20">
          <a:extLst>
            <a:ext uri="{FF2B5EF4-FFF2-40B4-BE49-F238E27FC236}">
              <a16:creationId xmlns:a16="http://schemas.microsoft.com/office/drawing/2014/main" id="{E6017018-ED07-46C2-B21D-FDA6F05339B4}"/>
            </a:ext>
          </a:extLst>
        </xdr:cNvPr>
        <xdr:cNvSpPr/>
      </xdr:nvSpPr>
      <xdr:spPr>
        <a:xfrm>
          <a:off x="12808617" y="1915608"/>
          <a:ext cx="2520000" cy="942723"/>
        </a:xfrm>
        <a:prstGeom prst="round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KE" sz="1100"/>
        </a:p>
      </xdr:txBody>
    </xdr:sp>
    <xdr:clientData/>
  </xdr:twoCellAnchor>
  <xdr:twoCellAnchor>
    <xdr:from>
      <xdr:col>16</xdr:col>
      <xdr:colOff>368398</xdr:colOff>
      <xdr:row>10</xdr:row>
      <xdr:rowOff>75361</xdr:rowOff>
    </xdr:from>
    <xdr:to>
      <xdr:col>20</xdr:col>
      <xdr:colOff>448661</xdr:colOff>
      <xdr:row>15</xdr:row>
      <xdr:rowOff>99005</xdr:rowOff>
    </xdr:to>
    <xdr:sp macro="" textlink="">
      <xdr:nvSpPr>
        <xdr:cNvPr id="25" name="Rectangle: Rounded Corners 24">
          <a:extLst>
            <a:ext uri="{FF2B5EF4-FFF2-40B4-BE49-F238E27FC236}">
              <a16:creationId xmlns:a16="http://schemas.microsoft.com/office/drawing/2014/main" id="{5909A8D6-64EA-4AB6-90F7-C3F31396FAD4}"/>
            </a:ext>
          </a:extLst>
        </xdr:cNvPr>
        <xdr:cNvSpPr/>
      </xdr:nvSpPr>
      <xdr:spPr>
        <a:xfrm>
          <a:off x="10127345" y="1913519"/>
          <a:ext cx="2520000" cy="942723"/>
        </a:xfrm>
        <a:prstGeom prst="round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KE" sz="1100"/>
        </a:p>
      </xdr:txBody>
    </xdr:sp>
    <xdr:clientData/>
  </xdr:twoCellAnchor>
  <xdr:twoCellAnchor>
    <xdr:from>
      <xdr:col>12</xdr:col>
      <xdr:colOff>126864</xdr:colOff>
      <xdr:row>10</xdr:row>
      <xdr:rowOff>79539</xdr:rowOff>
    </xdr:from>
    <xdr:to>
      <xdr:col>16</xdr:col>
      <xdr:colOff>207128</xdr:colOff>
      <xdr:row>15</xdr:row>
      <xdr:rowOff>103183</xdr:rowOff>
    </xdr:to>
    <xdr:sp macro="" textlink="">
      <xdr:nvSpPr>
        <xdr:cNvPr id="29" name="Rectangle: Rounded Corners 28">
          <a:extLst>
            <a:ext uri="{FF2B5EF4-FFF2-40B4-BE49-F238E27FC236}">
              <a16:creationId xmlns:a16="http://schemas.microsoft.com/office/drawing/2014/main" id="{4613487D-3B4C-461B-978E-1BF78ACF87C6}"/>
            </a:ext>
          </a:extLst>
        </xdr:cNvPr>
        <xdr:cNvSpPr/>
      </xdr:nvSpPr>
      <xdr:spPr>
        <a:xfrm>
          <a:off x="7446075" y="1917697"/>
          <a:ext cx="2520000" cy="942723"/>
        </a:xfrm>
        <a:prstGeom prst="round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KE" sz="1100">
            <a:solidFill>
              <a:schemeClr val="dk1"/>
            </a:solidFill>
            <a:latin typeface="+mn-lt"/>
            <a:ea typeface="+mn-ea"/>
            <a:cs typeface="+mn-cs"/>
          </a:endParaRPr>
        </a:p>
      </xdr:txBody>
    </xdr:sp>
    <xdr:clientData/>
  </xdr:twoCellAnchor>
  <xdr:twoCellAnchor>
    <xdr:from>
      <xdr:col>13</xdr:col>
      <xdr:colOff>56265</xdr:colOff>
      <xdr:row>10</xdr:row>
      <xdr:rowOff>136733</xdr:rowOff>
    </xdr:from>
    <xdr:to>
      <xdr:col>15</xdr:col>
      <xdr:colOff>526382</xdr:colOff>
      <xdr:row>12</xdr:row>
      <xdr:rowOff>142039</xdr:rowOff>
    </xdr:to>
    <xdr:sp macro="" textlink="">
      <xdr:nvSpPr>
        <xdr:cNvPr id="48" name="Rectangle 47">
          <a:extLst>
            <a:ext uri="{FF2B5EF4-FFF2-40B4-BE49-F238E27FC236}">
              <a16:creationId xmlns:a16="http://schemas.microsoft.com/office/drawing/2014/main" id="{84874925-0309-425A-8C62-BB9785ADBF37}"/>
            </a:ext>
          </a:extLst>
        </xdr:cNvPr>
        <xdr:cNvSpPr/>
      </xdr:nvSpPr>
      <xdr:spPr>
        <a:xfrm>
          <a:off x="7985410" y="1974891"/>
          <a:ext cx="1689985" cy="372937"/>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US" sz="1400" b="1" baseline="0">
              <a:solidFill>
                <a:schemeClr val="dk1"/>
              </a:solidFill>
              <a:effectLst/>
              <a:latin typeface="+mn-lt"/>
              <a:ea typeface="+mn-ea"/>
              <a:cs typeface="+mn-cs"/>
            </a:rPr>
            <a:t> </a:t>
          </a:r>
          <a:r>
            <a:rPr lang="en-US" sz="1400" b="1" baseline="0">
              <a:solidFill>
                <a:schemeClr val="dk1"/>
              </a:solidFill>
              <a:effectLst>
                <a:outerShdw blurRad="38100" dist="19050" dir="2700000" algn="tl" rotWithShape="0">
                  <a:schemeClr val="dk1">
                    <a:alpha val="40000"/>
                  </a:schemeClr>
                </a:outerShdw>
              </a:effectLst>
              <a:latin typeface="+mn-lt"/>
              <a:ea typeface="+mn-ea"/>
              <a:cs typeface="+mn-cs"/>
            </a:rPr>
            <a:t>AVG</a:t>
          </a:r>
          <a:r>
            <a:rPr lang="en-US" sz="1400" b="1" baseline="0">
              <a:solidFill>
                <a:schemeClr val="dk1"/>
              </a:solidFill>
              <a:effectLst/>
              <a:latin typeface="+mn-lt"/>
              <a:ea typeface="+mn-ea"/>
              <a:cs typeface="+mn-cs"/>
            </a:rPr>
            <a:t> </a:t>
          </a:r>
          <a:r>
            <a:rPr lang="en-US" sz="1400" b="1" baseline="0">
              <a:solidFill>
                <a:schemeClr val="dk1"/>
              </a:solidFill>
              <a:effectLst>
                <a:outerShdw blurRad="38100" dist="19050" dir="2700000" algn="tl" rotWithShape="0">
                  <a:schemeClr val="dk1">
                    <a:alpha val="40000"/>
                  </a:schemeClr>
                </a:outerShdw>
              </a:effectLst>
              <a:latin typeface="+mn-lt"/>
              <a:ea typeface="+mn-ea"/>
              <a:cs typeface="+mn-cs"/>
            </a:rPr>
            <a:t>STUDY TIME</a:t>
          </a:r>
          <a:endParaRPr lang="en-KE" sz="1400">
            <a:effectLst/>
          </a:endParaRPr>
        </a:p>
      </xdr:txBody>
    </xdr:sp>
    <xdr:clientData/>
  </xdr:twoCellAnchor>
  <xdr:twoCellAnchor>
    <xdr:from>
      <xdr:col>17</xdr:col>
      <xdr:colOff>184577</xdr:colOff>
      <xdr:row>10</xdr:row>
      <xdr:rowOff>179857</xdr:rowOff>
    </xdr:from>
    <xdr:to>
      <xdr:col>20</xdr:col>
      <xdr:colOff>0</xdr:colOff>
      <xdr:row>12</xdr:row>
      <xdr:rowOff>142973</xdr:rowOff>
    </xdr:to>
    <xdr:sp macro="" textlink="">
      <xdr:nvSpPr>
        <xdr:cNvPr id="56" name="Rectangle 55">
          <a:extLst>
            <a:ext uri="{FF2B5EF4-FFF2-40B4-BE49-F238E27FC236}">
              <a16:creationId xmlns:a16="http://schemas.microsoft.com/office/drawing/2014/main" id="{025BD9BC-F727-4BCF-9DB5-15A3260E4967}"/>
            </a:ext>
          </a:extLst>
        </xdr:cNvPr>
        <xdr:cNvSpPr/>
      </xdr:nvSpPr>
      <xdr:spPr>
        <a:xfrm>
          <a:off x="10569640" y="2028591"/>
          <a:ext cx="1648082" cy="332863"/>
        </a:xfrm>
        <a:prstGeom prst="rect">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AVG</a:t>
          </a:r>
          <a:r>
            <a:rPr lang="en-US" sz="1400" b="1" cap="none" spc="0" baseline="0">
              <a:ln w="0"/>
              <a:solidFill>
                <a:schemeClr val="tx1"/>
              </a:solidFill>
              <a:effectLst>
                <a:outerShdw blurRad="38100" dist="19050" dir="2700000" algn="tl" rotWithShape="0">
                  <a:schemeClr val="dk1">
                    <a:alpha val="40000"/>
                  </a:schemeClr>
                </a:outerShdw>
              </a:effectLst>
            </a:rPr>
            <a:t> ATTENDANCE</a:t>
          </a:r>
          <a:endParaRPr lang="en-US"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21</xdr:col>
      <xdr:colOff>532224</xdr:colOff>
      <xdr:row>10</xdr:row>
      <xdr:rowOff>173460</xdr:rowOff>
    </xdr:from>
    <xdr:to>
      <xdr:col>24</xdr:col>
      <xdr:colOff>340108</xdr:colOff>
      <xdr:row>12</xdr:row>
      <xdr:rowOff>101152</xdr:rowOff>
    </xdr:to>
    <xdr:sp macro="" textlink="">
      <xdr:nvSpPr>
        <xdr:cNvPr id="60" name="Rectangle 59">
          <a:extLst>
            <a:ext uri="{FF2B5EF4-FFF2-40B4-BE49-F238E27FC236}">
              <a16:creationId xmlns:a16="http://schemas.microsoft.com/office/drawing/2014/main" id="{FA83CD5B-90BB-4DEA-BB0C-8D9105F5CE86}"/>
            </a:ext>
          </a:extLst>
        </xdr:cNvPr>
        <xdr:cNvSpPr/>
      </xdr:nvSpPr>
      <xdr:spPr>
        <a:xfrm>
          <a:off x="13360832" y="2022194"/>
          <a:ext cx="1640542" cy="297439"/>
        </a:xfrm>
        <a:prstGeom prst="rect">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AVG</a:t>
          </a:r>
          <a:r>
            <a:rPr lang="en-US" sz="1400" b="1" cap="none" spc="0" baseline="0">
              <a:ln w="0"/>
              <a:solidFill>
                <a:schemeClr val="tx1"/>
              </a:solidFill>
              <a:effectLst>
                <a:outerShdw blurRad="38100" dist="19050" dir="2700000" algn="tl" rotWithShape="0">
                  <a:schemeClr val="dk1">
                    <a:alpha val="40000"/>
                  </a:schemeClr>
                </a:outerShdw>
              </a:effectLst>
            </a:rPr>
            <a:t> SLEEP HOURS</a:t>
          </a:r>
          <a:endParaRPr lang="en-US"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18</xdr:col>
      <xdr:colOff>168577</xdr:colOff>
      <xdr:row>13</xdr:row>
      <xdr:rowOff>158863</xdr:rowOff>
    </xdr:from>
    <xdr:to>
      <xdr:col>19</xdr:col>
      <xdr:colOff>431203</xdr:colOff>
      <xdr:row>15</xdr:row>
      <xdr:rowOff>46463</xdr:rowOff>
    </xdr:to>
    <xdr:sp macro="" textlink="'pivot tables'!C15">
      <xdr:nvSpPr>
        <xdr:cNvPr id="58" name="Rectangle 57">
          <a:extLst>
            <a:ext uri="{FF2B5EF4-FFF2-40B4-BE49-F238E27FC236}">
              <a16:creationId xmlns:a16="http://schemas.microsoft.com/office/drawing/2014/main" id="{4ED13B56-6200-49BD-94E1-422B3794A33D}"/>
            </a:ext>
          </a:extLst>
        </xdr:cNvPr>
        <xdr:cNvSpPr/>
      </xdr:nvSpPr>
      <xdr:spPr>
        <a:xfrm>
          <a:off x="11164526" y="2562217"/>
          <a:ext cx="873512" cy="257347"/>
        </a:xfrm>
        <a:prstGeom prst="rect">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5A2AB500-F72E-4544-917F-46D6AB07AC76}" type="TxLink">
            <a:rPr lang="en-US" sz="2000" b="1" i="0" u="none" strike="noStrike" cap="none" spc="0">
              <a:ln w="0"/>
              <a:solidFill>
                <a:srgbClr val="000000"/>
              </a:solidFill>
              <a:effectLst>
                <a:outerShdw blurRad="38100" dist="19050" dir="2700000" algn="tl" rotWithShape="0">
                  <a:schemeClr val="dk1">
                    <a:alpha val="40000"/>
                  </a:schemeClr>
                </a:outerShdw>
              </a:effectLst>
              <a:latin typeface="Calibri"/>
              <a:ea typeface="Calibri"/>
              <a:cs typeface="Calibri"/>
            </a:rPr>
            <a:pPr marL="0" indent="0" algn="ctr"/>
            <a:t>85.1%</a:t>
          </a:fld>
          <a:endParaRPr lang="en-US" sz="2000" b="1" i="0" u="none" strike="noStrike"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8</xdr:col>
      <xdr:colOff>32939</xdr:colOff>
      <xdr:row>10</xdr:row>
      <xdr:rowOff>120498</xdr:rowOff>
    </xdr:from>
    <xdr:to>
      <xdr:col>11</xdr:col>
      <xdr:colOff>252326</xdr:colOff>
      <xdr:row>11</xdr:row>
      <xdr:rowOff>174704</xdr:rowOff>
    </xdr:to>
    <xdr:sp macro="" textlink="">
      <xdr:nvSpPr>
        <xdr:cNvPr id="66" name="Rectangle 65">
          <a:extLst>
            <a:ext uri="{FF2B5EF4-FFF2-40B4-BE49-F238E27FC236}">
              <a16:creationId xmlns:a16="http://schemas.microsoft.com/office/drawing/2014/main" id="{5E937FC4-064F-4AAC-B7B0-70C4386CF434}"/>
            </a:ext>
          </a:extLst>
        </xdr:cNvPr>
        <xdr:cNvSpPr/>
      </xdr:nvSpPr>
      <xdr:spPr>
        <a:xfrm>
          <a:off x="4920028" y="1969232"/>
          <a:ext cx="2052045" cy="239080"/>
        </a:xfrm>
        <a:prstGeom prst="rect">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400" b="1" baseline="0">
              <a:solidFill>
                <a:schemeClr val="bg1"/>
              </a:solidFill>
            </a:rPr>
            <a:t> </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AVG</a:t>
          </a:r>
          <a:r>
            <a:rPr lang="en-US" sz="1400" b="1" baseline="0">
              <a:solidFill>
                <a:schemeClr val="bg1"/>
              </a:solidFill>
            </a:rPr>
            <a:t> </a:t>
          </a:r>
          <a:r>
            <a:rPr lang="en-US" sz="1400" b="1" cap="none" spc="0" baseline="0">
              <a:ln w="0"/>
              <a:solidFill>
                <a:schemeClr val="tx1"/>
              </a:solidFill>
              <a:effectLst>
                <a:outerShdw blurRad="38100" dist="19050" dir="2700000" algn="tl" rotWithShape="0">
                  <a:schemeClr val="dk1">
                    <a:alpha val="40000"/>
                  </a:schemeClr>
                </a:outerShdw>
              </a:effectLst>
            </a:rPr>
            <a:t>FINAL</a:t>
          </a:r>
          <a:r>
            <a:rPr lang="en-US" sz="1400" b="1" baseline="0">
              <a:solidFill>
                <a:schemeClr val="bg1"/>
              </a:solidFill>
            </a:rPr>
            <a:t> </a:t>
          </a:r>
          <a:r>
            <a:rPr lang="en-US" sz="1400" b="1" cap="none" spc="0" baseline="0">
              <a:ln w="0"/>
              <a:solidFill>
                <a:schemeClr val="tx1"/>
              </a:solidFill>
              <a:effectLst>
                <a:outerShdw blurRad="38100" dist="19050" dir="2700000" algn="tl" rotWithShape="0">
                  <a:schemeClr val="dk1">
                    <a:alpha val="40000"/>
                  </a:schemeClr>
                </a:outerShdw>
              </a:effectLst>
            </a:rPr>
            <a:t>EXAM</a:t>
          </a:r>
          <a:r>
            <a:rPr lang="en-US" sz="1400" b="1" baseline="0">
              <a:solidFill>
                <a:schemeClr val="bg1"/>
              </a:solidFill>
            </a:rPr>
            <a:t> </a:t>
          </a:r>
          <a:r>
            <a:rPr lang="en-US" sz="1400" b="1" cap="none" spc="0" baseline="0">
              <a:ln w="0"/>
              <a:solidFill>
                <a:schemeClr val="tx1"/>
              </a:solidFill>
              <a:effectLst>
                <a:outerShdw blurRad="38100" dist="19050" dir="2700000" algn="tl" rotWithShape="0">
                  <a:schemeClr val="dk1">
                    <a:alpha val="40000"/>
                  </a:schemeClr>
                </a:outerShdw>
              </a:effectLst>
            </a:rPr>
            <a:t>SCORE</a:t>
          </a:r>
          <a:endParaRPr lang="en-US" sz="1400" b="1">
            <a:solidFill>
              <a:schemeClr val="bg1"/>
            </a:solidFill>
          </a:endParaRPr>
        </a:p>
      </xdr:txBody>
    </xdr:sp>
    <xdr:clientData/>
  </xdr:twoCellAnchor>
  <xdr:twoCellAnchor>
    <xdr:from>
      <xdr:col>22</xdr:col>
      <xdr:colOff>348341</xdr:colOff>
      <xdr:row>13</xdr:row>
      <xdr:rowOff>160751</xdr:rowOff>
    </xdr:from>
    <xdr:to>
      <xdr:col>24</xdr:col>
      <xdr:colOff>0</xdr:colOff>
      <xdr:row>15</xdr:row>
      <xdr:rowOff>46463</xdr:rowOff>
    </xdr:to>
    <xdr:sp macro="" textlink="'pivot tables'!C16">
      <xdr:nvSpPr>
        <xdr:cNvPr id="63" name="Rectangle 62">
          <a:extLst>
            <a:ext uri="{FF2B5EF4-FFF2-40B4-BE49-F238E27FC236}">
              <a16:creationId xmlns:a16="http://schemas.microsoft.com/office/drawing/2014/main" id="{4C64E9FD-19AF-4EBD-B231-296AA2649580}"/>
            </a:ext>
          </a:extLst>
        </xdr:cNvPr>
        <xdr:cNvSpPr/>
      </xdr:nvSpPr>
      <xdr:spPr>
        <a:xfrm>
          <a:off x="13787835" y="2564105"/>
          <a:ext cx="873431" cy="255459"/>
        </a:xfrm>
        <a:prstGeom prst="rect">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2E2C513E-0B71-4190-AA2A-C23E37929A6D}" type="TxLink">
            <a:rPr lang="en-US" sz="2000" b="1" i="0" u="none" strike="noStrike" cap="none" spc="0">
              <a:ln w="0"/>
              <a:solidFill>
                <a:srgbClr val="000000"/>
              </a:solidFill>
              <a:effectLst>
                <a:outerShdw blurRad="38100" dist="19050" dir="2700000" algn="tl" rotWithShape="0">
                  <a:schemeClr val="dk1">
                    <a:alpha val="40000"/>
                  </a:schemeClr>
                </a:outerShdw>
              </a:effectLst>
              <a:latin typeface="Calibri"/>
              <a:ea typeface="Calibri"/>
              <a:cs typeface="Calibri"/>
            </a:rPr>
            <a:pPr marL="0" indent="0" algn="ctr"/>
            <a:t>6.8</a:t>
          </a:fld>
          <a:endParaRPr lang="en-US" sz="2000" b="1" i="0" u="none" strike="noStrike"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4</xdr:col>
      <xdr:colOff>190525</xdr:colOff>
      <xdr:row>10</xdr:row>
      <xdr:rowOff>176837</xdr:rowOff>
    </xdr:from>
    <xdr:to>
      <xdr:col>7</xdr:col>
      <xdr:colOff>0</xdr:colOff>
      <xdr:row>12</xdr:row>
      <xdr:rowOff>136646</xdr:rowOff>
    </xdr:to>
    <xdr:sp macro="" textlink="">
      <xdr:nvSpPr>
        <xdr:cNvPr id="76" name="Rectangle 75">
          <a:extLst>
            <a:ext uri="{FF2B5EF4-FFF2-40B4-BE49-F238E27FC236}">
              <a16:creationId xmlns:a16="http://schemas.microsoft.com/office/drawing/2014/main" id="{E91751BC-B499-499E-8AA6-A208A08C15CE}"/>
            </a:ext>
          </a:extLst>
        </xdr:cNvPr>
        <xdr:cNvSpPr/>
      </xdr:nvSpPr>
      <xdr:spPr>
        <a:xfrm>
          <a:off x="2634069" y="2025571"/>
          <a:ext cx="1642134" cy="329556"/>
        </a:xfrm>
        <a:prstGeom prst="rect">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400" b="1" cap="none" spc="0" baseline="0">
              <a:ln w="0"/>
              <a:solidFill>
                <a:schemeClr val="tx1"/>
              </a:solidFill>
              <a:effectLst>
                <a:outerShdw blurRad="38100" dist="19050" dir="2700000" algn="tl" rotWithShape="0">
                  <a:schemeClr val="dk1">
                    <a:alpha val="40000"/>
                  </a:schemeClr>
                </a:outerShdw>
              </a:effectLst>
            </a:rPr>
            <a:t>TOTAL STUDENTS</a:t>
          </a:r>
          <a:endParaRPr lang="en-US"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226214</xdr:colOff>
      <xdr:row>13</xdr:row>
      <xdr:rowOff>48034</xdr:rowOff>
    </xdr:from>
    <xdr:to>
      <xdr:col>10</xdr:col>
      <xdr:colOff>487804</xdr:colOff>
      <xdr:row>15</xdr:row>
      <xdr:rowOff>46463</xdr:rowOff>
    </xdr:to>
    <xdr:sp macro="" textlink="'pivot tables'!C13">
      <xdr:nvSpPr>
        <xdr:cNvPr id="69" name="Rectangle 68">
          <a:extLst>
            <a:ext uri="{FF2B5EF4-FFF2-40B4-BE49-F238E27FC236}">
              <a16:creationId xmlns:a16="http://schemas.microsoft.com/office/drawing/2014/main" id="{E3A8ADE0-5C51-44C5-AF02-3366B95B5509}"/>
            </a:ext>
          </a:extLst>
        </xdr:cNvPr>
        <xdr:cNvSpPr/>
      </xdr:nvSpPr>
      <xdr:spPr>
        <a:xfrm>
          <a:off x="5724189" y="2451388"/>
          <a:ext cx="872476" cy="368176"/>
        </a:xfrm>
        <a:prstGeom prst="rect">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60DB99F1-78ED-427B-92C0-6E0CDB83E4EF}" type="TxLink">
            <a:rPr lang="en-US" sz="2000" b="1" i="0" u="none" strike="noStrike" cap="none" spc="0">
              <a:ln w="0"/>
              <a:solidFill>
                <a:srgbClr val="000000"/>
              </a:solidFill>
              <a:effectLst>
                <a:outerShdw blurRad="38100" dist="19050" dir="2700000" algn="tl" rotWithShape="0">
                  <a:schemeClr val="dk1">
                    <a:alpha val="40000"/>
                  </a:schemeClr>
                </a:outerShdw>
              </a:effectLst>
              <a:latin typeface="Calibri"/>
              <a:ea typeface="Calibri"/>
              <a:cs typeface="Calibri"/>
            </a:rPr>
            <a:pPr marL="0" indent="0" algn="ctr"/>
            <a:t>83.6</a:t>
          </a:fld>
          <a:endParaRPr lang="en-US" sz="2000" b="1" i="0" u="none" strike="noStrike"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0</xdr:col>
      <xdr:colOff>71864</xdr:colOff>
      <xdr:row>0</xdr:row>
      <xdr:rowOff>0</xdr:rowOff>
    </xdr:from>
    <xdr:to>
      <xdr:col>3</xdr:col>
      <xdr:colOff>144206</xdr:colOff>
      <xdr:row>46</xdr:row>
      <xdr:rowOff>0</xdr:rowOff>
    </xdr:to>
    <xdr:sp macro="" textlink="">
      <xdr:nvSpPr>
        <xdr:cNvPr id="2" name="Rectangle: Rounded Corners 1">
          <a:extLst>
            <a:ext uri="{FF2B5EF4-FFF2-40B4-BE49-F238E27FC236}">
              <a16:creationId xmlns:a16="http://schemas.microsoft.com/office/drawing/2014/main" id="{C5B1A3B1-9590-9975-7317-E8850BB9E722}"/>
            </a:ext>
          </a:extLst>
        </xdr:cNvPr>
        <xdr:cNvSpPr/>
      </xdr:nvSpPr>
      <xdr:spPr>
        <a:xfrm>
          <a:off x="71864" y="0"/>
          <a:ext cx="1901142" cy="8568267"/>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5</xdr:col>
      <xdr:colOff>21920</xdr:colOff>
      <xdr:row>13</xdr:row>
      <xdr:rowOff>154630</xdr:rowOff>
    </xdr:from>
    <xdr:to>
      <xdr:col>6</xdr:col>
      <xdr:colOff>286870</xdr:colOff>
      <xdr:row>15</xdr:row>
      <xdr:rowOff>46463</xdr:rowOff>
    </xdr:to>
    <xdr:sp macro="" textlink="'pivot tables'!C12">
      <xdr:nvSpPr>
        <xdr:cNvPr id="78" name="Rectangle 77">
          <a:extLst>
            <a:ext uri="{FF2B5EF4-FFF2-40B4-BE49-F238E27FC236}">
              <a16:creationId xmlns:a16="http://schemas.microsoft.com/office/drawing/2014/main" id="{801277FD-1EA0-4EDC-ADEF-5FA863E700E6}"/>
            </a:ext>
          </a:extLst>
        </xdr:cNvPr>
        <xdr:cNvSpPr/>
      </xdr:nvSpPr>
      <xdr:spPr>
        <a:xfrm>
          <a:off x="3076350" y="2557984"/>
          <a:ext cx="875836" cy="261580"/>
        </a:xfrm>
        <a:prstGeom prst="rect">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913BF056-891F-4A02-9EF7-8DB0EBA0675A}" type="TxLink">
            <a:rPr lang="en-US" sz="2000" b="1" i="0" u="none" strike="noStrike" cap="none" spc="0">
              <a:ln w="0"/>
              <a:solidFill>
                <a:srgbClr val="000000"/>
              </a:solidFill>
              <a:effectLst>
                <a:outerShdw blurRad="38100" dist="19050" dir="2700000" algn="tl" rotWithShape="0">
                  <a:schemeClr val="dk1">
                    <a:alpha val="40000"/>
                  </a:schemeClr>
                </a:outerShdw>
              </a:effectLst>
              <a:latin typeface="Calibri"/>
              <a:ea typeface="Calibri"/>
              <a:cs typeface="Calibri"/>
            </a:rPr>
            <a:pPr algn="ctr"/>
            <a:t>1000</a:t>
          </a:fld>
          <a:endParaRPr lang="en-US" sz="2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3</xdr:col>
      <xdr:colOff>247074</xdr:colOff>
      <xdr:row>15</xdr:row>
      <xdr:rowOff>182470</xdr:rowOff>
    </xdr:from>
    <xdr:to>
      <xdr:col>12</xdr:col>
      <xdr:colOff>109483</xdr:colOff>
      <xdr:row>30</xdr:row>
      <xdr:rowOff>145401</xdr:rowOff>
    </xdr:to>
    <xdr:sp macro="" textlink="">
      <xdr:nvSpPr>
        <xdr:cNvPr id="4" name="Rectangle: Rounded Corners 3">
          <a:extLst>
            <a:ext uri="{FF2B5EF4-FFF2-40B4-BE49-F238E27FC236}">
              <a16:creationId xmlns:a16="http://schemas.microsoft.com/office/drawing/2014/main" id="{FE22E492-F55B-4B99-8D05-5C5FEFBB24EA}"/>
            </a:ext>
          </a:extLst>
        </xdr:cNvPr>
        <xdr:cNvSpPr/>
      </xdr:nvSpPr>
      <xdr:spPr>
        <a:xfrm>
          <a:off x="2076877" y="2939707"/>
          <a:ext cx="5351817" cy="272016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b="1"/>
        </a:p>
      </xdr:txBody>
    </xdr:sp>
    <xdr:clientData/>
  </xdr:twoCellAnchor>
  <xdr:twoCellAnchor>
    <xdr:from>
      <xdr:col>12</xdr:col>
      <xdr:colOff>193385</xdr:colOff>
      <xdr:row>15</xdr:row>
      <xdr:rowOff>182470</xdr:rowOff>
    </xdr:from>
    <xdr:to>
      <xdr:col>19</xdr:col>
      <xdr:colOff>149660</xdr:colOff>
      <xdr:row>30</xdr:row>
      <xdr:rowOff>145401</xdr:rowOff>
    </xdr:to>
    <xdr:sp macro="" textlink="">
      <xdr:nvSpPr>
        <xdr:cNvPr id="6" name="Rectangle: Rounded Corners 5">
          <a:extLst>
            <a:ext uri="{FF2B5EF4-FFF2-40B4-BE49-F238E27FC236}">
              <a16:creationId xmlns:a16="http://schemas.microsoft.com/office/drawing/2014/main" id="{A0274E3D-2BCA-4B21-9CE4-A65FF8CCAD06}"/>
            </a:ext>
          </a:extLst>
        </xdr:cNvPr>
        <xdr:cNvSpPr/>
      </xdr:nvSpPr>
      <xdr:spPr>
        <a:xfrm>
          <a:off x="7550626" y="2919539"/>
          <a:ext cx="4248000" cy="2700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17</xdr:col>
      <xdr:colOff>503620</xdr:colOff>
      <xdr:row>31</xdr:row>
      <xdr:rowOff>58000</xdr:rowOff>
    </xdr:from>
    <xdr:to>
      <xdr:col>25</xdr:col>
      <xdr:colOff>217043</xdr:colOff>
      <xdr:row>46</xdr:row>
      <xdr:rowOff>0</xdr:rowOff>
    </xdr:to>
    <xdr:sp macro="" textlink="">
      <xdr:nvSpPr>
        <xdr:cNvPr id="8" name="Rectangle: Rounded Corners 7">
          <a:extLst>
            <a:ext uri="{FF2B5EF4-FFF2-40B4-BE49-F238E27FC236}">
              <a16:creationId xmlns:a16="http://schemas.microsoft.com/office/drawing/2014/main" id="{76350CCD-5E7B-45D8-83B6-483F1AFED377}"/>
            </a:ext>
          </a:extLst>
        </xdr:cNvPr>
        <xdr:cNvSpPr/>
      </xdr:nvSpPr>
      <xdr:spPr>
        <a:xfrm>
          <a:off x="10866820" y="5832267"/>
          <a:ext cx="4590223" cy="2736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19</xdr:col>
      <xdr:colOff>233563</xdr:colOff>
      <xdr:row>15</xdr:row>
      <xdr:rowOff>182470</xdr:rowOff>
    </xdr:from>
    <xdr:to>
      <xdr:col>25</xdr:col>
      <xdr:colOff>233563</xdr:colOff>
      <xdr:row>30</xdr:row>
      <xdr:rowOff>145401</xdr:rowOff>
    </xdr:to>
    <xdr:sp macro="" textlink="">
      <xdr:nvSpPr>
        <xdr:cNvPr id="12" name="Rectangle: Rounded Corners 11">
          <a:extLst>
            <a:ext uri="{FF2B5EF4-FFF2-40B4-BE49-F238E27FC236}">
              <a16:creationId xmlns:a16="http://schemas.microsoft.com/office/drawing/2014/main" id="{06C106F9-22AA-4E05-AEF5-632A56F7FFCA}"/>
            </a:ext>
          </a:extLst>
        </xdr:cNvPr>
        <xdr:cNvSpPr/>
      </xdr:nvSpPr>
      <xdr:spPr>
        <a:xfrm>
          <a:off x="11882529" y="2919539"/>
          <a:ext cx="3678620" cy="27000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3</xdr:col>
      <xdr:colOff>247585</xdr:colOff>
      <xdr:row>31</xdr:row>
      <xdr:rowOff>58000</xdr:rowOff>
    </xdr:from>
    <xdr:to>
      <xdr:col>10</xdr:col>
      <xdr:colOff>120385</xdr:colOff>
      <xdr:row>46</xdr:row>
      <xdr:rowOff>0</xdr:rowOff>
    </xdr:to>
    <xdr:sp macro="" textlink="">
      <xdr:nvSpPr>
        <xdr:cNvPr id="14" name="Rectangle: Rounded Corners 13">
          <a:extLst>
            <a:ext uri="{FF2B5EF4-FFF2-40B4-BE49-F238E27FC236}">
              <a16:creationId xmlns:a16="http://schemas.microsoft.com/office/drawing/2014/main" id="{2CDFF8EF-8B96-45F6-90F3-03430184A6FE}"/>
            </a:ext>
          </a:extLst>
        </xdr:cNvPr>
        <xdr:cNvSpPr/>
      </xdr:nvSpPr>
      <xdr:spPr>
        <a:xfrm>
          <a:off x="2077388" y="5756289"/>
          <a:ext cx="4142339" cy="269923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solidFill>
              <a:schemeClr val="tx1"/>
            </a:solidFill>
          </a:endParaRPr>
        </a:p>
      </xdr:txBody>
    </xdr:sp>
    <xdr:clientData/>
  </xdr:twoCellAnchor>
  <xdr:twoCellAnchor>
    <xdr:from>
      <xdr:col>12</xdr:col>
      <xdr:colOff>452529</xdr:colOff>
      <xdr:row>17</xdr:row>
      <xdr:rowOff>89597</xdr:rowOff>
    </xdr:from>
    <xdr:to>
      <xdr:col>18</xdr:col>
      <xdr:colOff>514784</xdr:colOff>
      <xdr:row>30</xdr:row>
      <xdr:rowOff>58391</xdr:rowOff>
    </xdr:to>
    <xdr:graphicFrame macro="">
      <xdr:nvGraphicFramePr>
        <xdr:cNvPr id="22" name="Chart 3">
          <a:extLst>
            <a:ext uri="{FF2B5EF4-FFF2-40B4-BE49-F238E27FC236}">
              <a16:creationId xmlns:a16="http://schemas.microsoft.com/office/drawing/2014/main" id="{1C740562-CE9A-49B1-9FF9-A084BD78B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32</xdr:row>
      <xdr:rowOff>0</xdr:rowOff>
    </xdr:from>
    <xdr:to>
      <xdr:col>10</xdr:col>
      <xdr:colOff>0</xdr:colOff>
      <xdr:row>43</xdr:row>
      <xdr:rowOff>182471</xdr:rowOff>
    </xdr:to>
    <xdr:graphicFrame macro="">
      <xdr:nvGraphicFramePr>
        <xdr:cNvPr id="27" name="Chart 26">
          <a:extLst>
            <a:ext uri="{FF2B5EF4-FFF2-40B4-BE49-F238E27FC236}">
              <a16:creationId xmlns:a16="http://schemas.microsoft.com/office/drawing/2014/main" id="{D3F050D0-BFFE-4135-8FD6-85C039B87C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588211</xdr:colOff>
      <xdr:row>32</xdr:row>
      <xdr:rowOff>91235</xdr:rowOff>
    </xdr:from>
    <xdr:to>
      <xdr:col>25</xdr:col>
      <xdr:colOff>0</xdr:colOff>
      <xdr:row>43</xdr:row>
      <xdr:rowOff>91236</xdr:rowOff>
    </xdr:to>
    <xdr:graphicFrame macro="">
      <xdr:nvGraphicFramePr>
        <xdr:cNvPr id="30" name="Chart 29">
          <a:extLst>
            <a:ext uri="{FF2B5EF4-FFF2-40B4-BE49-F238E27FC236}">
              <a16:creationId xmlns:a16="http://schemas.microsoft.com/office/drawing/2014/main" id="{81E12854-723C-4029-BCD9-A9BE9D58CD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253750</xdr:colOff>
      <xdr:row>31</xdr:row>
      <xdr:rowOff>58000</xdr:rowOff>
    </xdr:from>
    <xdr:to>
      <xdr:col>17</xdr:col>
      <xdr:colOff>370255</xdr:colOff>
      <xdr:row>46</xdr:row>
      <xdr:rowOff>0</xdr:rowOff>
    </xdr:to>
    <xdr:sp macro="" textlink="">
      <xdr:nvSpPr>
        <xdr:cNvPr id="33" name="Rectangle: Rounded Corners 32">
          <a:extLst>
            <a:ext uri="{FF2B5EF4-FFF2-40B4-BE49-F238E27FC236}">
              <a16:creationId xmlns:a16="http://schemas.microsoft.com/office/drawing/2014/main" id="{DCF71BC4-B499-4D30-9223-ABD6CAEBD4DC}"/>
            </a:ext>
          </a:extLst>
        </xdr:cNvPr>
        <xdr:cNvSpPr/>
      </xdr:nvSpPr>
      <xdr:spPr>
        <a:xfrm>
          <a:off x="6349750" y="5832267"/>
          <a:ext cx="4383705" cy="2736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19</xdr:col>
      <xdr:colOff>442010</xdr:colOff>
      <xdr:row>18</xdr:row>
      <xdr:rowOff>0</xdr:rowOff>
    </xdr:from>
    <xdr:to>
      <xdr:col>25</xdr:col>
      <xdr:colOff>0</xdr:colOff>
      <xdr:row>30</xdr:row>
      <xdr:rowOff>95251</xdr:rowOff>
    </xdr:to>
    <xdr:graphicFrame macro="">
      <xdr:nvGraphicFramePr>
        <xdr:cNvPr id="40" name="Chart 39">
          <a:extLst>
            <a:ext uri="{FF2B5EF4-FFF2-40B4-BE49-F238E27FC236}">
              <a16:creationId xmlns:a16="http://schemas.microsoft.com/office/drawing/2014/main" id="{F84C910D-EE17-41D9-BA4C-9D1457A641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387684</xdr:colOff>
      <xdr:row>32</xdr:row>
      <xdr:rowOff>45618</xdr:rowOff>
    </xdr:from>
    <xdr:to>
      <xdr:col>17</xdr:col>
      <xdr:colOff>200527</xdr:colOff>
      <xdr:row>44</xdr:row>
      <xdr:rowOff>45617</xdr:rowOff>
    </xdr:to>
    <xdr:graphicFrame macro="">
      <xdr:nvGraphicFramePr>
        <xdr:cNvPr id="42" name="Chart 41">
          <a:extLst>
            <a:ext uri="{FF2B5EF4-FFF2-40B4-BE49-F238E27FC236}">
              <a16:creationId xmlns:a16="http://schemas.microsoft.com/office/drawing/2014/main" id="{95ED6C44-1CA0-4E5A-B1A7-4F9D9AAAEC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371372</xdr:colOff>
      <xdr:row>12</xdr:row>
      <xdr:rowOff>169350</xdr:rowOff>
    </xdr:from>
    <xdr:to>
      <xdr:col>4</xdr:col>
      <xdr:colOff>221932</xdr:colOff>
      <xdr:row>15</xdr:row>
      <xdr:rowOff>25350</xdr:rowOff>
    </xdr:to>
    <xdr:pic>
      <xdr:nvPicPr>
        <xdr:cNvPr id="50" name="Graphic 49" descr="Group with solid fill">
          <a:extLst>
            <a:ext uri="{FF2B5EF4-FFF2-40B4-BE49-F238E27FC236}">
              <a16:creationId xmlns:a16="http://schemas.microsoft.com/office/drawing/2014/main" id="{789ADF82-6B4D-FC55-3594-5492E7FF10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203103" y="2416273"/>
          <a:ext cx="461137" cy="417731"/>
        </a:xfrm>
        <a:prstGeom prst="rect">
          <a:avLst/>
        </a:prstGeom>
      </xdr:spPr>
    </xdr:pic>
    <xdr:clientData/>
  </xdr:twoCellAnchor>
  <xdr:twoCellAnchor editAs="oneCell">
    <xdr:from>
      <xdr:col>12</xdr:col>
      <xdr:colOff>280161</xdr:colOff>
      <xdr:row>13</xdr:row>
      <xdr:rowOff>21738</xdr:rowOff>
    </xdr:from>
    <xdr:to>
      <xdr:col>13</xdr:col>
      <xdr:colOff>191022</xdr:colOff>
      <xdr:row>15</xdr:row>
      <xdr:rowOff>61843</xdr:rowOff>
    </xdr:to>
    <xdr:pic>
      <xdr:nvPicPr>
        <xdr:cNvPr id="53" name="Graphic 52" descr="Books with solid fill">
          <a:extLst>
            <a:ext uri="{FF2B5EF4-FFF2-40B4-BE49-F238E27FC236}">
              <a16:creationId xmlns:a16="http://schemas.microsoft.com/office/drawing/2014/main" id="{0C615E43-7CDE-1233-1122-0CF135FC06A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10794" y="2425092"/>
          <a:ext cx="521747" cy="409852"/>
        </a:xfrm>
        <a:prstGeom prst="rect">
          <a:avLst/>
        </a:prstGeom>
      </xdr:spPr>
    </xdr:pic>
    <xdr:clientData/>
  </xdr:twoCellAnchor>
  <xdr:twoCellAnchor editAs="oneCell">
    <xdr:from>
      <xdr:col>21</xdr:col>
      <xdr:colOff>123532</xdr:colOff>
      <xdr:row>13</xdr:row>
      <xdr:rowOff>40391</xdr:rowOff>
    </xdr:from>
    <xdr:to>
      <xdr:col>22</xdr:col>
      <xdr:colOff>98328</xdr:colOff>
      <xdr:row>16</xdr:row>
      <xdr:rowOff>0</xdr:rowOff>
    </xdr:to>
    <xdr:pic>
      <xdr:nvPicPr>
        <xdr:cNvPr id="55" name="Graphic 54" descr="Sleep with solid fill">
          <a:extLst>
            <a:ext uri="{FF2B5EF4-FFF2-40B4-BE49-F238E27FC236}">
              <a16:creationId xmlns:a16="http://schemas.microsoft.com/office/drawing/2014/main" id="{024904F9-8E89-B6EE-0A2B-A275706293A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2945647" y="2474558"/>
          <a:ext cx="585373" cy="521339"/>
        </a:xfrm>
        <a:prstGeom prst="rect">
          <a:avLst/>
        </a:prstGeom>
      </xdr:spPr>
    </xdr:pic>
    <xdr:clientData/>
  </xdr:twoCellAnchor>
  <xdr:twoCellAnchor editAs="oneCell">
    <xdr:from>
      <xdr:col>7</xdr:col>
      <xdr:colOff>488225</xdr:colOff>
      <xdr:row>13</xdr:row>
      <xdr:rowOff>52861</xdr:rowOff>
    </xdr:from>
    <xdr:to>
      <xdr:col>9</xdr:col>
      <xdr:colOff>0</xdr:colOff>
      <xdr:row>15</xdr:row>
      <xdr:rowOff>141502</xdr:rowOff>
    </xdr:to>
    <xdr:pic>
      <xdr:nvPicPr>
        <xdr:cNvPr id="65" name="Graphic 64" descr="Graph and note paper pads with pencil">
          <a:extLst>
            <a:ext uri="{FF2B5EF4-FFF2-40B4-BE49-F238E27FC236}">
              <a16:creationId xmlns:a16="http://schemas.microsoft.com/office/drawing/2014/main" id="{1DAABC16-534D-106B-7BDF-0B355FAFD81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4762263" y="2487028"/>
          <a:ext cx="732929" cy="463128"/>
        </a:xfrm>
        <a:prstGeom prst="rect">
          <a:avLst/>
        </a:prstGeom>
      </xdr:spPr>
    </xdr:pic>
    <xdr:clientData/>
  </xdr:twoCellAnchor>
  <xdr:twoCellAnchor>
    <xdr:from>
      <xdr:col>3</xdr:col>
      <xdr:colOff>313851</xdr:colOff>
      <xdr:row>17</xdr:row>
      <xdr:rowOff>51092</xdr:rowOff>
    </xdr:from>
    <xdr:to>
      <xdr:col>11</xdr:col>
      <xdr:colOff>496914</xdr:colOff>
      <xdr:row>30</xdr:row>
      <xdr:rowOff>75381</xdr:rowOff>
    </xdr:to>
    <mc:AlternateContent xmlns:mc="http://schemas.openxmlformats.org/markup-compatibility/2006">
      <mc:Choice xmlns:cx1="http://schemas.microsoft.com/office/drawing/2015/9/8/chartex" Requires="cx1">
        <xdr:graphicFrame macro="">
          <xdr:nvGraphicFramePr>
            <xdr:cNvPr id="5" name="Chart 2">
              <a:extLst>
                <a:ext uri="{FF2B5EF4-FFF2-40B4-BE49-F238E27FC236}">
                  <a16:creationId xmlns:a16="http://schemas.microsoft.com/office/drawing/2014/main" id="{71E2558C-F685-47C0-B101-68CC2F03815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2142651" y="3181642"/>
              <a:ext cx="5059863" cy="2418239"/>
            </a:xfrm>
            <a:prstGeom prst="rect">
              <a:avLst/>
            </a:prstGeom>
            <a:solidFill>
              <a:prstClr val="white"/>
            </a:solidFill>
            <a:ln w="1">
              <a:solidFill>
                <a:prstClr val="green"/>
              </a:solidFill>
            </a:ln>
          </xdr:spPr>
          <xdr:txBody>
            <a:bodyPr vertOverflow="clip" horzOverflow="clip"/>
            <a:lstStyle/>
            <a:p>
              <a:r>
                <a:rPr lang="en-KE"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204808</xdr:colOff>
      <xdr:row>9</xdr:row>
      <xdr:rowOff>141638</xdr:rowOff>
    </xdr:from>
    <xdr:to>
      <xdr:col>3</xdr:col>
      <xdr:colOff>11261</xdr:colOff>
      <xdr:row>17</xdr:row>
      <xdr:rowOff>55030</xdr:rowOff>
    </xdr:to>
    <xdr:pic>
      <xdr:nvPicPr>
        <xdr:cNvPr id="15" name="Picture 14">
          <a:hlinkClick xmlns:r="http://schemas.openxmlformats.org/officeDocument/2006/relationships" r:id="rId15"/>
          <a:extLst>
            <a:ext uri="{FF2B5EF4-FFF2-40B4-BE49-F238E27FC236}">
              <a16:creationId xmlns:a16="http://schemas.microsoft.com/office/drawing/2014/main" id="{E387F866-35BA-F345-3EBB-0E810E639396}"/>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837473B0-CC2E-450A-ABE3-18F120FF3D39}">
              <a1611:picAttrSrcUrl xmlns:a1611="http://schemas.microsoft.com/office/drawing/2016/11/main" r:id="rId17"/>
            </a:ext>
          </a:extLst>
        </a:blip>
        <a:stretch>
          <a:fillRect/>
        </a:stretch>
      </xdr:blipFill>
      <xdr:spPr>
        <a:xfrm>
          <a:off x="204808" y="1826830"/>
          <a:ext cx="1638184" cy="1411341"/>
        </a:xfrm>
        <a:prstGeom prst="rect">
          <a:avLst/>
        </a:prstGeom>
        <a:solidFill>
          <a:srgbClr val="FFFFFF">
            <a:shade val="85000"/>
          </a:srgbClr>
        </a:solidFill>
        <a:ln w="88900" cap="sq">
          <a:noFill/>
          <a:miter lim="800000"/>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3</xdr:col>
      <xdr:colOff>253732</xdr:colOff>
      <xdr:row>3</xdr:row>
      <xdr:rowOff>175969</xdr:rowOff>
    </xdr:from>
    <xdr:to>
      <xdr:col>8</xdr:col>
      <xdr:colOff>156061</xdr:colOff>
      <xdr:row>10</xdr:row>
      <xdr:rowOff>33855</xdr:rowOff>
    </xdr:to>
    <xdr:sp macro="" textlink="">
      <xdr:nvSpPr>
        <xdr:cNvPr id="3" name="Rectangle: Rounded Corners 2">
          <a:extLst>
            <a:ext uri="{FF2B5EF4-FFF2-40B4-BE49-F238E27FC236}">
              <a16:creationId xmlns:a16="http://schemas.microsoft.com/office/drawing/2014/main" id="{8AB8E765-9A82-90D1-B70D-64B36B99ECDE}"/>
            </a:ext>
          </a:extLst>
        </xdr:cNvPr>
        <xdr:cNvSpPr/>
      </xdr:nvSpPr>
      <xdr:spPr>
        <a:xfrm>
          <a:off x="2083535" y="727416"/>
          <a:ext cx="2952000" cy="1144597"/>
        </a:xfrm>
        <a:prstGeom prst="round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KE" sz="1100"/>
        </a:p>
      </xdr:txBody>
    </xdr:sp>
    <xdr:clientData/>
  </xdr:twoCellAnchor>
  <xdr:twoCellAnchor>
    <xdr:from>
      <xdr:col>8</xdr:col>
      <xdr:colOff>340658</xdr:colOff>
      <xdr:row>3</xdr:row>
      <xdr:rowOff>175969</xdr:rowOff>
    </xdr:from>
    <xdr:to>
      <xdr:col>13</xdr:col>
      <xdr:colOff>242987</xdr:colOff>
      <xdr:row>10</xdr:row>
      <xdr:rowOff>33855</xdr:rowOff>
    </xdr:to>
    <xdr:sp macro="" textlink="">
      <xdr:nvSpPr>
        <xdr:cNvPr id="32" name="Rectangle: Rounded Corners 31">
          <a:extLst>
            <a:ext uri="{FF2B5EF4-FFF2-40B4-BE49-F238E27FC236}">
              <a16:creationId xmlns:a16="http://schemas.microsoft.com/office/drawing/2014/main" id="{FB686745-6350-4BFF-91C2-CB6E9C8E50CE}"/>
            </a:ext>
          </a:extLst>
        </xdr:cNvPr>
        <xdr:cNvSpPr/>
      </xdr:nvSpPr>
      <xdr:spPr>
        <a:xfrm>
          <a:off x="5220132" y="727416"/>
          <a:ext cx="2952000" cy="1144597"/>
        </a:xfrm>
        <a:prstGeom prst="round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KE" sz="1100"/>
        </a:p>
      </xdr:txBody>
    </xdr:sp>
    <xdr:clientData/>
  </xdr:twoCellAnchor>
  <xdr:twoCellAnchor>
    <xdr:from>
      <xdr:col>13</xdr:col>
      <xdr:colOff>427584</xdr:colOff>
      <xdr:row>3</xdr:row>
      <xdr:rowOff>175969</xdr:rowOff>
    </xdr:from>
    <xdr:to>
      <xdr:col>18</xdr:col>
      <xdr:colOff>329913</xdr:colOff>
      <xdr:row>10</xdr:row>
      <xdr:rowOff>33855</xdr:rowOff>
    </xdr:to>
    <xdr:sp macro="" textlink="">
      <xdr:nvSpPr>
        <xdr:cNvPr id="35" name="Rectangle: Rounded Corners 34">
          <a:extLst>
            <a:ext uri="{FF2B5EF4-FFF2-40B4-BE49-F238E27FC236}">
              <a16:creationId xmlns:a16="http://schemas.microsoft.com/office/drawing/2014/main" id="{D82F0E0B-9672-4D6A-A7AB-FD6AF21FE808}"/>
            </a:ext>
          </a:extLst>
        </xdr:cNvPr>
        <xdr:cNvSpPr/>
      </xdr:nvSpPr>
      <xdr:spPr>
        <a:xfrm>
          <a:off x="8356729" y="727416"/>
          <a:ext cx="2952000" cy="1144597"/>
        </a:xfrm>
        <a:prstGeom prst="round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KE" sz="1100"/>
        </a:p>
      </xdr:txBody>
    </xdr:sp>
    <xdr:clientData/>
  </xdr:twoCellAnchor>
  <xdr:twoCellAnchor>
    <xdr:from>
      <xdr:col>18</xdr:col>
      <xdr:colOff>514511</xdr:colOff>
      <xdr:row>3</xdr:row>
      <xdr:rowOff>175969</xdr:rowOff>
    </xdr:from>
    <xdr:to>
      <xdr:col>25</xdr:col>
      <xdr:colOff>96972</xdr:colOff>
      <xdr:row>10</xdr:row>
      <xdr:rowOff>33855</xdr:rowOff>
    </xdr:to>
    <xdr:sp macro="" textlink="">
      <xdr:nvSpPr>
        <xdr:cNvPr id="38" name="Rectangle: Rounded Corners 37">
          <a:extLst>
            <a:ext uri="{FF2B5EF4-FFF2-40B4-BE49-F238E27FC236}">
              <a16:creationId xmlns:a16="http://schemas.microsoft.com/office/drawing/2014/main" id="{6A9E81FB-358C-47A4-A10F-183144958E74}"/>
            </a:ext>
          </a:extLst>
        </xdr:cNvPr>
        <xdr:cNvSpPr/>
      </xdr:nvSpPr>
      <xdr:spPr>
        <a:xfrm>
          <a:off x="11493327" y="727416"/>
          <a:ext cx="3852000" cy="1144597"/>
        </a:xfrm>
        <a:prstGeom prst="round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KE" sz="1100"/>
        </a:p>
      </xdr:txBody>
    </xdr:sp>
    <xdr:clientData/>
  </xdr:twoCellAnchor>
  <xdr:twoCellAnchor editAs="oneCell">
    <xdr:from>
      <xdr:col>3</xdr:col>
      <xdr:colOff>442844</xdr:colOff>
      <xdr:row>4</xdr:row>
      <xdr:rowOff>148058</xdr:rowOff>
    </xdr:from>
    <xdr:to>
      <xdr:col>8</xdr:col>
      <xdr:colOff>83552</xdr:colOff>
      <xdr:row>9</xdr:row>
      <xdr:rowOff>135702</xdr:rowOff>
    </xdr:to>
    <mc:AlternateContent xmlns:mc="http://schemas.openxmlformats.org/markup-compatibility/2006">
      <mc:Choice xmlns:a14="http://schemas.microsoft.com/office/drawing/2010/main" Requires="a14">
        <xdr:graphicFrame macro="">
          <xdr:nvGraphicFramePr>
            <xdr:cNvPr id="44" name="internet_access">
              <a:extLst>
                <a:ext uri="{FF2B5EF4-FFF2-40B4-BE49-F238E27FC236}">
                  <a16:creationId xmlns:a16="http://schemas.microsoft.com/office/drawing/2014/main" id="{36DDB1DD-F243-46B8-9D89-41B2EBAB318C}"/>
                </a:ext>
              </a:extLst>
            </xdr:cNvPr>
            <xdr:cNvGraphicFramePr/>
          </xdr:nvGraphicFramePr>
          <xdr:xfrm>
            <a:off x="0" y="0"/>
            <a:ext cx="0" cy="0"/>
          </xdr:xfrm>
          <a:graphic>
            <a:graphicData uri="http://schemas.microsoft.com/office/drawing/2010/slicer">
              <sle:slicer xmlns:sle="http://schemas.microsoft.com/office/drawing/2010/slicer" name="internet_access"/>
            </a:graphicData>
          </a:graphic>
        </xdr:graphicFrame>
      </mc:Choice>
      <mc:Fallback>
        <xdr:sp macro="" textlink="">
          <xdr:nvSpPr>
            <xdr:cNvPr id="0" name=""/>
            <xdr:cNvSpPr>
              <a:spLocks noTextEdit="1"/>
            </xdr:cNvSpPr>
          </xdr:nvSpPr>
          <xdr:spPr>
            <a:xfrm>
              <a:off x="2272647" y="883321"/>
              <a:ext cx="2690379" cy="90672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518025</xdr:colOff>
      <xdr:row>4</xdr:row>
      <xdr:rowOff>150394</xdr:rowOff>
    </xdr:from>
    <xdr:to>
      <xdr:col>13</xdr:col>
      <xdr:colOff>108618</xdr:colOff>
      <xdr:row>9</xdr:row>
      <xdr:rowOff>133684</xdr:rowOff>
    </xdr:to>
    <mc:AlternateContent xmlns:mc="http://schemas.openxmlformats.org/markup-compatibility/2006">
      <mc:Choice xmlns:a14="http://schemas.microsoft.com/office/drawing/2010/main" Requires="a14">
        <xdr:graphicFrame macro="">
          <xdr:nvGraphicFramePr>
            <xdr:cNvPr id="71" name="part_time_job">
              <a:extLst>
                <a:ext uri="{FF2B5EF4-FFF2-40B4-BE49-F238E27FC236}">
                  <a16:creationId xmlns:a16="http://schemas.microsoft.com/office/drawing/2014/main" id="{43F0564D-4FE9-48CD-A352-6CAF7911E39C}"/>
                </a:ext>
              </a:extLst>
            </xdr:cNvPr>
            <xdr:cNvGraphicFramePr/>
          </xdr:nvGraphicFramePr>
          <xdr:xfrm>
            <a:off x="0" y="0"/>
            <a:ext cx="0" cy="0"/>
          </xdr:xfrm>
          <a:graphic>
            <a:graphicData uri="http://schemas.microsoft.com/office/drawing/2010/slicer">
              <sle:slicer xmlns:sle="http://schemas.microsoft.com/office/drawing/2010/slicer" name="part_time_job"/>
            </a:graphicData>
          </a:graphic>
        </xdr:graphicFrame>
      </mc:Choice>
      <mc:Fallback>
        <xdr:sp macro="" textlink="">
          <xdr:nvSpPr>
            <xdr:cNvPr id="0" name=""/>
            <xdr:cNvSpPr>
              <a:spLocks noTextEdit="1"/>
            </xdr:cNvSpPr>
          </xdr:nvSpPr>
          <xdr:spPr>
            <a:xfrm>
              <a:off x="5397499" y="885657"/>
              <a:ext cx="2640264" cy="902369"/>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551446</xdr:colOff>
      <xdr:row>4</xdr:row>
      <xdr:rowOff>125330</xdr:rowOff>
    </xdr:from>
    <xdr:to>
      <xdr:col>18</xdr:col>
      <xdr:colOff>208881</xdr:colOff>
      <xdr:row>9</xdr:row>
      <xdr:rowOff>142039</xdr:rowOff>
    </xdr:to>
    <mc:AlternateContent xmlns:mc="http://schemas.openxmlformats.org/markup-compatibility/2006">
      <mc:Choice xmlns:a14="http://schemas.microsoft.com/office/drawing/2010/main" Requires="a14">
        <xdr:graphicFrame macro="">
          <xdr:nvGraphicFramePr>
            <xdr:cNvPr id="73" name="extracurricular_activities">
              <a:extLst>
                <a:ext uri="{FF2B5EF4-FFF2-40B4-BE49-F238E27FC236}">
                  <a16:creationId xmlns:a16="http://schemas.microsoft.com/office/drawing/2014/main" id="{7C77D6CD-760A-4AC2-B848-2AFA52220EB8}"/>
                </a:ext>
              </a:extLst>
            </xdr:cNvPr>
            <xdr:cNvGraphicFramePr/>
          </xdr:nvGraphicFramePr>
          <xdr:xfrm>
            <a:off x="0" y="0"/>
            <a:ext cx="0" cy="0"/>
          </xdr:xfrm>
          <a:graphic>
            <a:graphicData uri="http://schemas.microsoft.com/office/drawing/2010/slicer">
              <sle:slicer xmlns:sle="http://schemas.microsoft.com/office/drawing/2010/slicer" name="extracurricular_activities"/>
            </a:graphicData>
          </a:graphic>
        </xdr:graphicFrame>
      </mc:Choice>
      <mc:Fallback>
        <xdr:sp macro="" textlink="">
          <xdr:nvSpPr>
            <xdr:cNvPr id="0" name=""/>
            <xdr:cNvSpPr>
              <a:spLocks noTextEdit="1"/>
            </xdr:cNvSpPr>
          </xdr:nvSpPr>
          <xdr:spPr>
            <a:xfrm>
              <a:off x="8480591" y="860593"/>
              <a:ext cx="2707106" cy="935788"/>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33422</xdr:colOff>
      <xdr:row>4</xdr:row>
      <xdr:rowOff>58487</xdr:rowOff>
    </xdr:from>
    <xdr:to>
      <xdr:col>24</xdr:col>
      <xdr:colOff>551449</xdr:colOff>
      <xdr:row>9</xdr:row>
      <xdr:rowOff>118991</xdr:rowOff>
    </xdr:to>
    <mc:AlternateContent xmlns:mc="http://schemas.openxmlformats.org/markup-compatibility/2006">
      <mc:Choice xmlns:a14="http://schemas.microsoft.com/office/drawing/2010/main" Requires="a14">
        <xdr:graphicFrame macro="">
          <xdr:nvGraphicFramePr>
            <xdr:cNvPr id="41" name="parental_education">
              <a:extLst>
                <a:ext uri="{FF2B5EF4-FFF2-40B4-BE49-F238E27FC236}">
                  <a16:creationId xmlns:a16="http://schemas.microsoft.com/office/drawing/2014/main" id="{B64B98B4-CB7E-47A5-B3B0-905424575869}"/>
                </a:ext>
              </a:extLst>
            </xdr:cNvPr>
            <xdr:cNvGraphicFramePr/>
          </xdr:nvGraphicFramePr>
          <xdr:xfrm>
            <a:off x="0" y="0"/>
            <a:ext cx="0" cy="0"/>
          </xdr:xfrm>
          <a:graphic>
            <a:graphicData uri="http://schemas.microsoft.com/office/drawing/2010/slicer">
              <sle:slicer xmlns:sle="http://schemas.microsoft.com/office/drawing/2010/slicer" name="parental_education"/>
            </a:graphicData>
          </a:graphic>
        </xdr:graphicFrame>
      </mc:Choice>
      <mc:Fallback>
        <xdr:sp macro="" textlink="">
          <xdr:nvSpPr>
            <xdr:cNvPr id="0" name=""/>
            <xdr:cNvSpPr>
              <a:spLocks noTextEdit="1"/>
            </xdr:cNvSpPr>
          </xdr:nvSpPr>
          <xdr:spPr>
            <a:xfrm>
              <a:off x="11622172" y="793750"/>
              <a:ext cx="3567698" cy="97958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195659</xdr:colOff>
      <xdr:row>18</xdr:row>
      <xdr:rowOff>5978</xdr:rowOff>
    </xdr:from>
    <xdr:to>
      <xdr:col>3</xdr:col>
      <xdr:colOff>20411</xdr:colOff>
      <xdr:row>24</xdr:row>
      <xdr:rowOff>187243</xdr:rowOff>
    </xdr:to>
    <xdr:pic>
      <xdr:nvPicPr>
        <xdr:cNvPr id="46" name="Picture 45">
          <a:hlinkClick xmlns:r="http://schemas.openxmlformats.org/officeDocument/2006/relationships" r:id="rId18"/>
          <a:extLst>
            <a:ext uri="{FF2B5EF4-FFF2-40B4-BE49-F238E27FC236}">
              <a16:creationId xmlns:a16="http://schemas.microsoft.com/office/drawing/2014/main" id="{886FCF74-549A-008D-B964-6B1509CA0153}"/>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837473B0-CC2E-450A-ABE3-18F120FF3D39}">
              <a1611:picAttrSrcUrl xmlns:a1611="http://schemas.microsoft.com/office/drawing/2016/11/main" r:id="rId20"/>
            </a:ext>
          </a:extLst>
        </a:blip>
        <a:stretch>
          <a:fillRect/>
        </a:stretch>
      </xdr:blipFill>
      <xdr:spPr>
        <a:xfrm>
          <a:off x="195659" y="3376363"/>
          <a:ext cx="1656483" cy="1304726"/>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editAs="oneCell">
    <xdr:from>
      <xdr:col>0</xdr:col>
      <xdr:colOff>187410</xdr:colOff>
      <xdr:row>25</xdr:row>
      <xdr:rowOff>111706</xdr:rowOff>
    </xdr:from>
    <xdr:to>
      <xdr:col>3</xdr:col>
      <xdr:colOff>28659</xdr:colOff>
      <xdr:row>34</xdr:row>
      <xdr:rowOff>95630</xdr:rowOff>
    </xdr:to>
    <xdr:pic>
      <xdr:nvPicPr>
        <xdr:cNvPr id="61" name="Picture 60">
          <a:hlinkClick xmlns:r="http://schemas.openxmlformats.org/officeDocument/2006/relationships" r:id="rId21"/>
          <a:extLst>
            <a:ext uri="{FF2B5EF4-FFF2-40B4-BE49-F238E27FC236}">
              <a16:creationId xmlns:a16="http://schemas.microsoft.com/office/drawing/2014/main" id="{E0CB44D1-770E-21BF-F5EE-F8EF7E11D36D}"/>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837473B0-CC2E-450A-ABE3-18F120FF3D39}">
              <a1611:picAttrSrcUrl xmlns:a1611="http://schemas.microsoft.com/office/drawing/2016/11/main" r:id="rId23"/>
            </a:ext>
          </a:extLst>
        </a:blip>
        <a:stretch>
          <a:fillRect/>
        </a:stretch>
      </xdr:blipFill>
      <xdr:spPr>
        <a:xfrm>
          <a:off x="187410" y="4792796"/>
          <a:ext cx="1672980" cy="1669116"/>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oneCellAnchor>
    <xdr:from>
      <xdr:col>4</xdr:col>
      <xdr:colOff>0</xdr:colOff>
      <xdr:row>76</xdr:row>
      <xdr:rowOff>31017</xdr:rowOff>
    </xdr:from>
    <xdr:ext cx="6501587" cy="233205"/>
    <xdr:sp macro="" textlink="">
      <xdr:nvSpPr>
        <xdr:cNvPr id="62" name="TextBox 61">
          <a:extLst>
            <a:ext uri="{FF2B5EF4-FFF2-40B4-BE49-F238E27FC236}">
              <a16:creationId xmlns:a16="http://schemas.microsoft.com/office/drawing/2014/main" id="{108A3B5B-7DC6-187C-CAB0-665D480C4E7F}"/>
            </a:ext>
          </a:extLst>
        </xdr:cNvPr>
        <xdr:cNvSpPr txBox="1"/>
      </xdr:nvSpPr>
      <xdr:spPr>
        <a:xfrm>
          <a:off x="2443544" y="14081397"/>
          <a:ext cx="650158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KE" sz="900"/>
        </a:p>
      </xdr:txBody>
    </xdr:sp>
    <xdr:clientData/>
  </xdr:oneCellAnchor>
  <xdr:twoCellAnchor editAs="oneCell">
    <xdr:from>
      <xdr:col>0</xdr:col>
      <xdr:colOff>179921</xdr:colOff>
      <xdr:row>0</xdr:row>
      <xdr:rowOff>179105</xdr:rowOff>
    </xdr:from>
    <xdr:to>
      <xdr:col>3</xdr:col>
      <xdr:colOff>36149</xdr:colOff>
      <xdr:row>8</xdr:row>
      <xdr:rowOff>122115</xdr:rowOff>
    </xdr:to>
    <xdr:pic>
      <xdr:nvPicPr>
        <xdr:cNvPr id="68" name="Picture 67">
          <a:hlinkClick xmlns:r="http://schemas.openxmlformats.org/officeDocument/2006/relationships" r:id="rId24"/>
          <a:extLst>
            <a:ext uri="{FF2B5EF4-FFF2-40B4-BE49-F238E27FC236}">
              <a16:creationId xmlns:a16="http://schemas.microsoft.com/office/drawing/2014/main" id="{2A16FFE0-C076-63F1-DD5D-44F59217AA42}"/>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837473B0-CC2E-450A-ABE3-18F120FF3D39}">
              <a1611:picAttrSrcUrl xmlns:a1611="http://schemas.microsoft.com/office/drawing/2016/11/main" r:id="rId26"/>
            </a:ext>
          </a:extLst>
        </a:blip>
        <a:stretch>
          <a:fillRect/>
        </a:stretch>
      </xdr:blipFill>
      <xdr:spPr>
        <a:xfrm>
          <a:off x="179921" y="179105"/>
          <a:ext cx="1687959" cy="1440959"/>
        </a:xfrm>
        <a:prstGeom prst="rect">
          <a:avLst/>
        </a:prstGeom>
        <a:solidFill>
          <a:srgbClr val="FFFFFF">
            <a:shade val="85000"/>
          </a:srgbClr>
        </a:solidFill>
        <a:ln w="88900" cap="sq">
          <a:noFill/>
          <a:miter lim="800000"/>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editAs="oneCell">
    <xdr:from>
      <xdr:col>16</xdr:col>
      <xdr:colOff>426013</xdr:colOff>
      <xdr:row>12</xdr:row>
      <xdr:rowOff>152721</xdr:rowOff>
    </xdr:from>
    <xdr:to>
      <xdr:col>17</xdr:col>
      <xdr:colOff>514431</xdr:colOff>
      <xdr:row>15</xdr:row>
      <xdr:rowOff>56266</xdr:rowOff>
    </xdr:to>
    <xdr:pic>
      <xdr:nvPicPr>
        <xdr:cNvPr id="72" name="Graphic 71" descr="Classroom with solid fill">
          <a:extLst>
            <a:ext uri="{FF2B5EF4-FFF2-40B4-BE49-F238E27FC236}">
              <a16:creationId xmlns:a16="http://schemas.microsoft.com/office/drawing/2014/main" id="{582C84C9-4C61-4375-8B4C-3713FD6EF82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0200190" y="2371202"/>
          <a:ext cx="699304" cy="458165"/>
        </a:xfrm>
        <a:prstGeom prst="rect">
          <a:avLst/>
        </a:prstGeom>
      </xdr:spPr>
    </xdr:pic>
    <xdr:clientData/>
  </xdr:twoCellAnchor>
  <xdr:twoCellAnchor>
    <xdr:from>
      <xdr:col>13</xdr:col>
      <xdr:colOff>379451</xdr:colOff>
      <xdr:row>13</xdr:row>
      <xdr:rowOff>123902</xdr:rowOff>
    </xdr:from>
    <xdr:to>
      <xdr:col>15</xdr:col>
      <xdr:colOff>162622</xdr:colOff>
      <xdr:row>15</xdr:row>
      <xdr:rowOff>46463</xdr:rowOff>
    </xdr:to>
    <xdr:sp macro="" textlink="'pivot tables'!C14">
      <xdr:nvSpPr>
        <xdr:cNvPr id="7" name="TextBox 6">
          <a:extLst>
            <a:ext uri="{FF2B5EF4-FFF2-40B4-BE49-F238E27FC236}">
              <a16:creationId xmlns:a16="http://schemas.microsoft.com/office/drawing/2014/main" id="{CC2A9286-9DE8-C297-905D-466164B6F880}"/>
            </a:ext>
          </a:extLst>
        </xdr:cNvPr>
        <xdr:cNvSpPr txBox="1"/>
      </xdr:nvSpPr>
      <xdr:spPr>
        <a:xfrm>
          <a:off x="8320970" y="2527256"/>
          <a:ext cx="1004943" cy="292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6D4BA1-B716-42F3-B478-A7BDD0E4B393}" type="TxLink">
            <a:rPr lang="en-US" sz="2000" b="1" i="0" u="none" strike="noStrike">
              <a:solidFill>
                <a:srgbClr val="000000"/>
              </a:solidFill>
              <a:latin typeface="Calibri"/>
              <a:ea typeface="Calibri"/>
              <a:cs typeface="Calibri"/>
            </a:rPr>
            <a:pPr/>
            <a:t>3.6</a:t>
          </a:fld>
          <a:endParaRPr lang="en-KE" sz="20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har" refreshedDate="46232.698276388888" createdVersion="6" refreshedVersion="6" minRefreshableVersion="3" recordCount="1000" xr:uid="{00000000-000A-0000-FFFF-FFFF00000000}">
  <cacheSource type="worksheet">
    <worksheetSource ref="A3:M1003" sheet="working dataset"/>
  </cacheSource>
  <cacheFields count="12">
    <cacheField name="student_id" numFmtId="0">
      <sharedItems containsSemiMixedTypes="0" containsString="0" containsNumber="1" containsInteger="1" minValue="1" maxValue="1000" count="10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sharedItems>
    </cacheField>
    <cacheField name="gender" numFmtId="49">
      <sharedItems count="2">
        <s v="Male"/>
        <s v="Female"/>
      </sharedItems>
    </cacheField>
    <cacheField name="study_time_hours" numFmtId="164">
      <sharedItems containsSemiMixedTypes="0" containsString="0" containsNumber="1" minValue="0.5" maxValue="8.1" count="70">
        <n v="4"/>
        <n v="6.3"/>
        <n v="4.9000000000000004"/>
        <n v="2.6"/>
        <n v="2.2000000000000002"/>
        <n v="4.2"/>
        <n v="1.5"/>
        <n v="6.2"/>
        <n v="5.3"/>
        <n v="2.8"/>
        <n v="0.9"/>
        <n v="5.5"/>
        <n v="3.3"/>
        <n v="5.4"/>
        <n v="1.1000000000000001"/>
        <n v="3.5"/>
        <n v="3.6"/>
        <n v="4.4000000000000004"/>
        <n v="1.9"/>
        <n v="3.7"/>
        <n v="4.3"/>
        <n v="4.5999999999999996"/>
        <n v="1.8"/>
        <n v="1.2"/>
        <n v="2.4"/>
        <n v="5.8"/>
        <n v="6.6"/>
        <n v="6.1"/>
        <n v="3.1"/>
        <n v="5"/>
        <n v="4.5"/>
        <n v="5.6"/>
        <n v="2.1"/>
        <n v="5.0999999999999996"/>
        <n v="1.7"/>
        <n v="0.5"/>
        <n v="5.9"/>
        <n v="1.4"/>
        <n v="3.4"/>
        <n v="4.0999999999999996"/>
        <n v="2.7"/>
        <n v="2"/>
        <n v="2.2999999999999998"/>
        <n v="6.4"/>
        <n v="2.5"/>
        <n v="3.8"/>
        <n v="3.2"/>
        <n v="6"/>
        <n v="8.1"/>
        <n v="5.2"/>
        <n v="4.8"/>
        <n v="5.7"/>
        <n v="3.9"/>
        <n v="1"/>
        <n v="0.8"/>
        <n v="2.9"/>
        <n v="3"/>
        <n v="0.7"/>
        <n v="4.7"/>
        <n v="1.3"/>
        <n v="6.9"/>
        <n v="1.6"/>
        <n v="7.2"/>
        <n v="7.4"/>
        <n v="7.3"/>
        <n v="6.5"/>
        <n v="6.7"/>
        <n v="7.1"/>
        <n v="6.8"/>
        <n v="7"/>
      </sharedItems>
    </cacheField>
    <cacheField name="attendance_percent" numFmtId="1">
      <sharedItems containsSemiMixedTypes="0" containsString="0" containsNumber="1" minValue="54.8" maxValue="100" count="327">
        <n v="98"/>
        <n v="100"/>
        <n v="85.3"/>
        <n v="77.5"/>
        <n v="89.6"/>
        <n v="78.2"/>
        <n v="86.4"/>
        <n v="81.3"/>
        <n v="86.8"/>
        <n v="71.5"/>
        <n v="75.3"/>
        <n v="97"/>
        <n v="78.400000000000006"/>
        <n v="74.5"/>
        <n v="90.4"/>
        <n v="96.9"/>
        <n v="92.2"/>
        <n v="95"/>
        <n v="77.400000000000006"/>
        <n v="70.8"/>
        <n v="81.8"/>
        <n v="82.5"/>
        <n v="98.3"/>
        <n v="90.6"/>
        <n v="78.599999999999994"/>
        <n v="94.3"/>
        <n v="85.6"/>
        <n v="87.7"/>
        <n v="90.1"/>
        <n v="95.7"/>
        <n v="81.400000000000006"/>
        <n v="76.599999999999994"/>
        <n v="74.599999999999994"/>
        <n v="65.3"/>
        <n v="74"/>
        <n v="82.8"/>
        <n v="82.2"/>
        <n v="88.1"/>
        <n v="93.2"/>
        <n v="93.6"/>
        <n v="79.2"/>
        <n v="83.3"/>
        <n v="87.8"/>
        <n v="89.9"/>
        <n v="92.3"/>
        <n v="91.6"/>
        <n v="96.7"/>
        <n v="72"/>
        <n v="89"/>
        <n v="78.5"/>
        <n v="79.7"/>
        <n v="90.9"/>
        <n v="97.4"/>
        <n v="85.2"/>
        <n v="87.4"/>
        <n v="90.7"/>
        <n v="67.400000000000006"/>
        <n v="92.5"/>
        <n v="88.8"/>
        <n v="97.9"/>
        <n v="91.7"/>
        <n v="83.6"/>
        <n v="72.8"/>
        <n v="82.9"/>
        <n v="76.5"/>
        <n v="88.9"/>
        <n v="73"/>
        <n v="89.4"/>
        <n v="78.900000000000006"/>
        <n v="83.7"/>
        <n v="85.1"/>
        <n v="77.2"/>
        <n v="91.5"/>
        <n v="83.8"/>
        <n v="89.2"/>
        <n v="76.099999999999994"/>
        <n v="80.599999999999994"/>
        <n v="81"/>
        <n v="87.2"/>
        <n v="69.7"/>
        <n v="97.6"/>
        <n v="79.5"/>
        <n v="79.400000000000006"/>
        <n v="97.1"/>
        <n v="95.2"/>
        <n v="92.8"/>
        <n v="76.8"/>
        <n v="85"/>
        <n v="80.5"/>
        <n v="92"/>
        <n v="94.6"/>
        <n v="85.9"/>
        <n v="99.8"/>
        <n v="73.599999999999994"/>
        <n v="83.1"/>
        <n v="77.8"/>
        <n v="66.3"/>
        <n v="84.2"/>
        <n v="91.3"/>
        <n v="74.8"/>
        <n v="97.2"/>
        <n v="90.8"/>
        <n v="82.7"/>
        <n v="75.400000000000006"/>
        <n v="95.9"/>
        <n v="80.099999999999994"/>
        <n v="73.8"/>
        <n v="67.3"/>
        <n v="88.2"/>
        <n v="83.5"/>
        <n v="80.3"/>
        <n v="69.099999999999994"/>
        <n v="73.3"/>
        <n v="56.3"/>
        <n v="84.7"/>
        <n v="80.400000000000006"/>
        <n v="79"/>
        <n v="89.7"/>
        <n v="75"/>
        <n v="88"/>
        <n v="92.7"/>
        <n v="97.3"/>
        <n v="84"/>
        <n v="83"/>
        <n v="76.2"/>
        <n v="76.7"/>
        <n v="88.7"/>
        <n v="94.1"/>
        <n v="77"/>
        <n v="99.9"/>
        <n v="82.3"/>
        <n v="84.8"/>
        <n v="60.8"/>
        <n v="93.8"/>
        <n v="92.4"/>
        <n v="85.7"/>
        <n v="90.2"/>
        <n v="69.400000000000006"/>
        <n v="92.9"/>
        <n v="72.5"/>
        <n v="87.9"/>
        <n v="71.400000000000006"/>
        <n v="84.6"/>
        <n v="68.8"/>
        <n v="96.6"/>
        <n v="77.7"/>
        <n v="76.900000000000006"/>
        <n v="87"/>
        <n v="96.5"/>
        <n v="89.3"/>
        <n v="91.9"/>
        <n v="74.3"/>
        <n v="55.8"/>
        <n v="94"/>
        <n v="61.4"/>
        <n v="74.900000000000006"/>
        <n v="91.2"/>
        <n v="83.2"/>
        <n v="98.7"/>
        <n v="80.2"/>
        <n v="75.5"/>
        <n v="86.2"/>
        <n v="82.1"/>
        <n v="80.7"/>
        <n v="86.1"/>
        <n v="70.599999999999994"/>
        <n v="94.2"/>
        <n v="78.3"/>
        <n v="95.8"/>
        <n v="97.8"/>
        <n v="93.5"/>
        <n v="89.8"/>
        <n v="95.3"/>
        <n v="81.7"/>
        <n v="99.1"/>
        <n v="89.5"/>
        <n v="74.400000000000006"/>
        <n v="94.9"/>
        <n v="88.3"/>
        <n v="86.9"/>
        <n v="81.5"/>
        <n v="88.4"/>
        <n v="82"/>
        <n v="86.7"/>
        <n v="98.2"/>
        <n v="96.4"/>
        <n v="63.8"/>
        <n v="80"/>
        <n v="93.4"/>
        <n v="90.5"/>
        <n v="82.6"/>
        <n v="81.099999999999994"/>
        <n v="75.8"/>
        <n v="76"/>
        <n v="73.2"/>
        <n v="82.4"/>
        <n v="93.7"/>
        <n v="86.3"/>
        <n v="88.5"/>
        <n v="96.1"/>
        <n v="89.1"/>
        <n v="63.3"/>
        <n v="79.599999999999994"/>
        <n v="84.1"/>
        <n v="92.1"/>
        <n v="75.599999999999994"/>
        <n v="93.1"/>
        <n v="93"/>
        <n v="94.5"/>
        <n v="75.7"/>
        <n v="94.8"/>
        <n v="90"/>
        <n v="58"/>
        <n v="91.8"/>
        <n v="66.7"/>
        <n v="98.1"/>
        <n v="85.8"/>
        <n v="69"/>
        <n v="85.4"/>
        <n v="78.8"/>
        <n v="77.599999999999994"/>
        <n v="71.8"/>
        <n v="78.099999999999994"/>
        <n v="70.900000000000006"/>
        <n v="70"/>
        <n v="92.6"/>
        <n v="70.400000000000006"/>
        <n v="81.900000000000006"/>
        <n v="98.4"/>
        <n v="66.2"/>
        <n v="83.4"/>
        <n v="87.1"/>
        <n v="84.4"/>
        <n v="77.900000000000006"/>
        <n v="69.900000000000006"/>
        <n v="67"/>
        <n v="69.2"/>
        <n v="86.5"/>
        <n v="63.5"/>
        <n v="75.099999999999994"/>
        <n v="74.099999999999994"/>
        <n v="87.3"/>
        <n v="88.6"/>
        <n v="86.6"/>
        <n v="74.7"/>
        <n v="97.7"/>
        <n v="76.3"/>
        <n v="94.7"/>
        <n v="73.099999999999994"/>
        <n v="98.9"/>
        <n v="87.6"/>
        <n v="67.5"/>
        <n v="68.400000000000006"/>
        <n v="96.3"/>
        <n v="80.900000000000006"/>
        <n v="73.900000000000006"/>
        <n v="99"/>
        <n v="68.2"/>
        <n v="72.7"/>
        <n v="79.099999999999994"/>
        <n v="84.9"/>
        <n v="83.9"/>
        <n v="69.3"/>
        <n v="73.7"/>
        <n v="91.4"/>
        <n v="77.099999999999994"/>
        <n v="65.2"/>
        <n v="59.7"/>
        <n v="96"/>
        <n v="87.5"/>
        <n v="86"/>
        <n v="81.599999999999994"/>
        <n v="84.5"/>
        <n v="75.900000000000006"/>
        <n v="63.6"/>
        <n v="95.6"/>
        <n v="55.6"/>
        <n v="96.2"/>
        <n v="77.3"/>
        <n v="71.2"/>
        <n v="78.7"/>
        <n v="66.099999999999994"/>
        <n v="94.4"/>
        <n v="68.900000000000006"/>
        <n v="93.3"/>
        <n v="65"/>
        <n v="72.599999999999994"/>
        <n v="98.6"/>
        <n v="71.900000000000006"/>
        <n v="54.8"/>
        <n v="79.900000000000006"/>
        <n v="79.8"/>
        <n v="60.6"/>
        <n v="99.2"/>
        <n v="91"/>
        <n v="62"/>
        <n v="99.5"/>
        <n v="95.4"/>
        <n v="69.5"/>
        <n v="59.4"/>
        <n v="79.3"/>
        <n v="70.3"/>
        <n v="85.5"/>
        <n v="68.599999999999994"/>
        <n v="72.400000000000006"/>
        <n v="81.2"/>
        <n v="62.9"/>
        <n v="72.099999999999994"/>
        <n v="84.3"/>
        <n v="95.1"/>
        <n v="93.9"/>
        <n v="72.900000000000006"/>
        <n v="71.7"/>
        <n v="70.5"/>
        <n v="80.8"/>
        <n v="59"/>
        <n v="67.2"/>
        <n v="73.5"/>
        <n v="67.7"/>
        <n v="75.2"/>
        <n v="95.5"/>
        <n v="91.1"/>
        <n v="90.3"/>
        <n v="69.8"/>
        <n v="76.400000000000006"/>
        <n v="71.3"/>
        <n v="67.900000000000006"/>
      </sharedItems>
    </cacheField>
    <cacheField name="sleep_hours" numFmtId="164">
      <sharedItems containsSemiMixedTypes="0" containsString="0" containsNumber="1" minValue="3.2" maxValue="10" count="65">
        <n v="6.5"/>
        <n v="5.7"/>
        <n v="7.9"/>
        <n v="8"/>
        <n v="4.5999999999999996"/>
        <n v="5"/>
        <n v="6"/>
        <n v="6.7"/>
        <n v="5.0999999999999996"/>
        <n v="5.6"/>
        <n v="7"/>
        <n v="6.9"/>
        <n v="5.9"/>
        <n v="6.1"/>
        <n v="8.8000000000000007"/>
        <n v="8.4"/>
        <n v="5.2"/>
        <n v="7.8"/>
        <n v="5.4"/>
        <n v="8.6"/>
        <n v="5.5"/>
        <n v="7.1"/>
        <n v="7.5"/>
        <n v="7.2"/>
        <n v="7.3"/>
        <n v="8.1"/>
        <n v="8.1999999999999993"/>
        <n v="7.4"/>
        <n v="6.4"/>
        <n v="6.8"/>
        <n v="6.6"/>
        <n v="6.3"/>
        <n v="4.9000000000000004"/>
        <n v="8.9"/>
        <n v="8.5"/>
        <n v="7.6"/>
        <n v="6.2"/>
        <n v="5.8"/>
        <n v="7.7"/>
        <n v="5.3"/>
        <n v="9.6"/>
        <n v="9.1999999999999993"/>
        <n v="4.5"/>
        <n v="10"/>
        <n v="8.3000000000000007"/>
        <n v="4.0999999999999996"/>
        <n v="9.3000000000000007"/>
        <n v="9.6999999999999993"/>
        <n v="9"/>
        <n v="3.6"/>
        <n v="9.9"/>
        <n v="4.2"/>
        <n v="4.4000000000000004"/>
        <n v="8.6999999999999993"/>
        <n v="4.3"/>
        <n v="9.1"/>
        <n v="3.8"/>
        <n v="4.7"/>
        <n v="4.8"/>
        <n v="9.5"/>
        <n v="3.5"/>
        <n v="3.2"/>
        <n v="3.4"/>
        <n v="3.3"/>
        <n v="9.4"/>
      </sharedItems>
    </cacheField>
    <cacheField name="parental_education" numFmtId="49">
      <sharedItems count="5">
        <s v="Bachelors"/>
        <s v="High School"/>
        <s v="None"/>
        <s v="Masters"/>
        <s v="PhD"/>
      </sharedItems>
    </cacheField>
    <cacheField name="internet_access" numFmtId="49">
      <sharedItems count="2">
        <s v="Yes"/>
        <s v="No"/>
      </sharedItems>
    </cacheField>
    <cacheField name="extracurricular_activities" numFmtId="49">
      <sharedItems count="2">
        <s v="Yes"/>
        <s v="No"/>
      </sharedItems>
    </cacheField>
    <cacheField name="part_time_job" numFmtId="49">
      <sharedItems count="2">
        <s v="No"/>
        <s v="Yes"/>
      </sharedItems>
    </cacheField>
    <cacheField name="previous_grade" numFmtId="164">
      <sharedItems containsSemiMixedTypes="0" containsString="0" containsNumber="1" minValue="31.3" maxValue="100" count="434">
        <n v="76.900000000000006"/>
        <n v="75.5"/>
        <n v="88.5"/>
        <n v="85.1"/>
        <n v="61.8"/>
        <n v="79.8"/>
        <n v="58.6"/>
        <n v="78.400000000000006"/>
        <n v="63.8"/>
        <n v="57.7"/>
        <n v="73.400000000000006"/>
        <n v="37.9"/>
        <n v="49"/>
        <n v="67.900000000000006"/>
        <n v="71"/>
        <n v="65.599999999999994"/>
        <n v="51"/>
        <n v="60.2"/>
        <n v="74.7"/>
        <n v="77"/>
        <n v="69.8"/>
        <n v="83.9"/>
        <n v="74.8"/>
        <n v="61"/>
        <n v="66.599999999999994"/>
        <n v="53.2"/>
        <n v="68.7"/>
        <n v="83.3"/>
        <n v="78.2"/>
        <n v="86.8"/>
        <n v="66.400000000000006"/>
        <n v="86.2"/>
        <n v="67.7"/>
        <n v="87.7"/>
        <n v="69.7"/>
        <n v="78.5"/>
        <n v="72.599999999999994"/>
        <n v="85.5"/>
        <n v="68.400000000000006"/>
        <n v="54.1"/>
        <n v="95.7"/>
        <n v="64.400000000000006"/>
        <n v="71.900000000000006"/>
        <n v="62.7"/>
        <n v="57.9"/>
        <n v="73"/>
        <n v="48.5"/>
        <n v="66.5"/>
        <n v="72.900000000000006"/>
        <n v="66.8"/>
        <n v="51.5"/>
        <n v="89.1"/>
        <n v="71.2"/>
        <n v="87.2"/>
        <n v="66.900000000000006"/>
        <n v="59.4"/>
        <n v="73.2"/>
        <n v="67.400000000000006"/>
        <n v="55.9"/>
        <n v="87.6"/>
        <n v="62.5"/>
        <n v="47.9"/>
        <n v="85.9"/>
        <n v="63.9"/>
        <n v="48.8"/>
        <n v="90.9"/>
        <n v="54.5"/>
        <n v="70.7"/>
        <n v="81"/>
        <n v="75.099999999999994"/>
        <n v="69.3"/>
        <n v="49.6"/>
        <n v="60.3"/>
        <n v="72.3"/>
        <n v="60.6"/>
        <n v="72.400000000000006"/>
        <n v="81.599999999999994"/>
        <n v="55.3"/>
        <n v="96.4"/>
        <n v="79.2"/>
        <n v="70"/>
        <n v="83.1"/>
        <n v="98.4"/>
        <n v="52.7"/>
        <n v="67.3"/>
        <n v="41.5"/>
        <n v="74.400000000000006"/>
        <n v="69.5"/>
        <n v="62.1"/>
        <n v="45.4"/>
        <n v="74.5"/>
        <n v="87.5"/>
        <n v="62.9"/>
        <n v="75.3"/>
        <n v="51.2"/>
        <n v="65.3"/>
        <n v="60.9"/>
        <n v="74.599999999999994"/>
        <n v="54.3"/>
        <n v="65.2"/>
        <n v="56.8"/>
        <n v="91.6"/>
        <n v="59.8"/>
        <n v="62"/>
        <n v="58.3"/>
        <n v="76.599999999999994"/>
        <n v="58.8"/>
        <n v="73.099999999999994"/>
        <n v="65.900000000000006"/>
        <n v="74.099999999999994"/>
        <n v="63.5"/>
        <n v="91.8"/>
        <n v="54.8"/>
        <n v="88.4"/>
        <n v="73.599999999999994"/>
        <n v="80"/>
        <n v="62.4"/>
        <n v="80.400000000000006"/>
        <n v="37.5"/>
        <n v="61.4"/>
        <n v="58.9"/>
        <n v="55"/>
        <n v="71.5"/>
        <n v="81.2"/>
        <n v="79.3"/>
        <n v="70.400000000000006"/>
        <n v="59.2"/>
        <n v="62.2"/>
        <n v="63.4"/>
        <n v="66.2"/>
        <n v="78.599999999999994"/>
        <n v="69.400000000000006"/>
        <n v="70.2"/>
        <n v="71.7"/>
        <n v="48.9"/>
        <n v="61.7"/>
        <n v="75.7"/>
        <n v="61.6"/>
        <n v="67.099999999999994"/>
        <n v="75.599999999999994"/>
        <n v="76.2"/>
        <n v="57"/>
        <n v="82"/>
        <n v="83.5"/>
        <n v="56.4"/>
        <n v="60.1"/>
        <n v="84.3"/>
        <n v="68.2"/>
        <n v="43.4"/>
        <n v="67"/>
        <n v="56"/>
        <n v="65"/>
        <n v="82.9"/>
        <n v="87.1"/>
        <n v="46.4"/>
        <n v="82.6"/>
        <n v="69"/>
        <n v="80.3"/>
        <n v="76.8"/>
        <n v="83"/>
        <n v="74"/>
        <n v="40.1"/>
        <n v="64"/>
        <n v="84.4"/>
        <n v="57.5"/>
        <n v="91.4"/>
        <n v="90.2"/>
        <n v="71.8"/>
        <n v="77.400000000000006"/>
        <n v="76.099999999999994"/>
        <n v="79.7"/>
        <n v="100"/>
        <n v="49.5"/>
        <n v="52.1"/>
        <n v="58"/>
        <n v="58.5"/>
        <n v="67.8"/>
        <n v="80.7"/>
        <n v="60.8"/>
        <n v="46.7"/>
        <n v="41.4"/>
        <n v="74.2"/>
        <n v="75.900000000000006"/>
        <n v="94.8"/>
        <n v="90"/>
        <n v="44.5"/>
        <n v="75"/>
        <n v="95.6"/>
        <n v="89.8"/>
        <n v="69.599999999999994"/>
        <n v="79.900000000000006"/>
        <n v="80.5"/>
        <n v="73.900000000000006"/>
        <n v="68"/>
        <n v="70.099999999999994"/>
        <n v="64.900000000000006"/>
        <n v="81.7"/>
        <n v="68.900000000000006"/>
        <n v="64.599999999999994"/>
        <n v="67.599999999999994"/>
        <n v="88.9"/>
        <n v="84.8"/>
        <n v="59.1"/>
        <n v="41.8"/>
        <n v="90.1"/>
        <n v="59.6"/>
        <n v="68.5"/>
        <n v="78.3"/>
        <n v="65.5"/>
        <n v="52.8"/>
        <n v="60"/>
        <n v="44.7"/>
        <n v="52.9"/>
        <n v="72.099999999999994"/>
        <n v="52.2"/>
        <n v="93.9"/>
        <n v="92"/>
        <n v="76.7"/>
        <n v="79"/>
        <n v="62.8"/>
        <n v="69.900000000000006"/>
        <n v="64.8"/>
        <n v="56.2"/>
        <n v="71.3"/>
        <n v="81.099999999999994"/>
        <n v="63.1"/>
        <n v="63.2"/>
        <n v="92.5"/>
        <n v="99.3"/>
        <n v="75.2"/>
        <n v="71.099999999999994"/>
        <n v="58.1"/>
        <n v="56.6"/>
        <n v="49.3"/>
        <n v="70.3"/>
        <n v="90.3"/>
        <n v="62.6"/>
        <n v="80.8"/>
        <n v="92.2"/>
        <n v="93.2"/>
        <n v="82.4"/>
        <n v="63.7"/>
        <n v="74.900000000000006"/>
        <n v="78"/>
        <n v="53.8"/>
        <n v="64.5"/>
        <n v="61.2"/>
        <n v="50.5"/>
        <n v="72.2"/>
        <n v="61.3"/>
        <n v="52.3"/>
        <n v="91.7"/>
        <n v="68.8"/>
        <n v="82.1"/>
        <n v="55.1"/>
        <n v="75.400000000000006"/>
        <n v="61.5"/>
        <n v="56.5"/>
        <n v="81.400000000000006"/>
        <n v="73.5"/>
        <n v="65.7"/>
        <n v="59.7"/>
        <n v="59.3"/>
        <n v="86.1"/>
        <n v="84"/>
        <n v="82.8"/>
        <n v="54.6"/>
        <n v="56.9"/>
        <n v="91"/>
        <n v="45.6"/>
        <n v="69.2"/>
        <n v="57.1"/>
        <n v="80.2"/>
        <n v="75.8"/>
        <n v="87.4"/>
        <n v="54.4"/>
        <n v="85.6"/>
        <n v="81.5"/>
        <n v="54"/>
        <n v="84.1"/>
        <n v="52.4"/>
        <n v="83.4"/>
        <n v="72.8"/>
        <n v="76"/>
        <n v="76.400000000000006"/>
        <n v="69.099999999999994"/>
        <n v="57.2"/>
        <n v="92.9"/>
        <n v="88.7"/>
        <n v="46.6"/>
        <n v="54.2"/>
        <n v="85.7"/>
        <n v="66.7"/>
        <n v="61.9"/>
        <n v="63.3"/>
        <n v="95.1"/>
        <n v="77.099999999999994"/>
        <n v="79.400000000000006"/>
        <n v="48.7"/>
        <n v="67.2"/>
        <n v="89.3"/>
        <n v="87.3"/>
        <n v="78.8"/>
        <n v="66.3"/>
        <n v="94.6"/>
        <n v="83.6"/>
        <n v="73.7"/>
        <n v="56.1"/>
        <n v="53.6"/>
        <n v="63.6"/>
        <n v="58.2"/>
        <n v="84.7"/>
        <n v="51.1"/>
        <n v="42.6"/>
        <n v="51.7"/>
        <n v="79.599999999999994"/>
        <n v="54.7"/>
        <n v="93.4"/>
        <n v="77.2"/>
        <n v="71.400000000000006"/>
        <n v="58.7"/>
        <n v="65.400000000000006"/>
        <n v="67.5"/>
        <n v="45"/>
        <n v="84.5"/>
        <n v="53.5"/>
        <n v="84.2"/>
        <n v="94.7"/>
        <n v="68.099999999999994"/>
        <n v="84.9"/>
        <n v="47.4"/>
        <n v="70.599999999999994"/>
        <n v="64.3"/>
        <n v="52.5"/>
        <n v="78.099999999999994"/>
        <n v="49.4"/>
        <n v="59.5"/>
        <n v="53.1"/>
        <n v="77.599999999999994"/>
        <n v="46.8"/>
        <n v="41.6"/>
        <n v="72"/>
        <n v="85.8"/>
        <n v="82.7"/>
        <n v="59.9"/>
        <n v="77.5"/>
        <n v="31.3"/>
        <n v="49.8"/>
        <n v="38.200000000000003"/>
        <n v="86.4"/>
        <n v="61.1"/>
        <n v="78.900000000000006"/>
        <n v="77.900000000000006"/>
        <n v="45.1"/>
        <n v="60.7"/>
        <n v="73.3"/>
        <n v="53.9"/>
        <n v="68.599999999999994"/>
        <n v="92.8"/>
        <n v="70.5"/>
        <n v="64.2"/>
        <n v="86.5"/>
        <n v="74.3"/>
        <n v="58.4"/>
        <n v="73.8"/>
        <n v="45.2"/>
        <n v="95.5"/>
        <n v="45.7"/>
        <n v="81.900000000000006"/>
        <n v="91.3"/>
        <n v="70.8"/>
        <n v="49.1"/>
        <n v="87.9"/>
        <n v="65.099999999999994"/>
        <n v="42.7"/>
        <n v="78.7"/>
        <n v="85.4"/>
        <n v="64.7"/>
        <n v="62.3"/>
        <n v="47"/>
        <n v="77.8"/>
        <n v="63"/>
        <n v="99.4"/>
        <n v="93.8"/>
        <n v="86.3"/>
        <n v="70.900000000000006"/>
        <n v="80.900000000000006"/>
        <n v="57.3"/>
        <n v="93.6"/>
        <n v="85"/>
        <n v="34.5"/>
        <n v="33.5"/>
        <n v="82.3"/>
        <n v="57.4"/>
        <n v="72.7"/>
        <n v="48.3"/>
        <n v="86.7"/>
        <n v="57.8"/>
        <n v="87"/>
        <n v="59"/>
        <n v="55.7"/>
        <n v="93.3"/>
        <n v="82.5"/>
        <n v="90.7"/>
        <n v="72.5"/>
        <n v="47.1"/>
        <n v="93.7"/>
        <n v="77.3"/>
        <n v="60.4"/>
        <n v="48"/>
        <n v="47.5"/>
        <n v="97.5"/>
        <n v="76.5"/>
        <n v="66.099999999999994"/>
        <n v="51.3"/>
        <n v="51.8"/>
        <n v="91.2"/>
        <n v="79.5"/>
        <n v="48.6"/>
        <n v="88"/>
        <n v="79.099999999999994"/>
        <n v="55.8"/>
        <n v="95.3"/>
        <n v="55.2"/>
        <n v="85.3"/>
        <n v="90.8"/>
        <n v="43.1"/>
        <n v="93"/>
        <n v="65.8"/>
        <n v="36.700000000000003"/>
        <n v="98.9"/>
        <n v="81.8"/>
        <n v="60.5"/>
        <n v="82.2"/>
      </sharedItems>
    </cacheField>
    <cacheField name="final_exam_score" numFmtId="1">
      <sharedItems containsSemiMixedTypes="0" containsString="0" containsNumber="1" containsInteger="1" minValue="47" maxValue="100"/>
    </cacheField>
    <cacheField name="final_grade" numFmtId="49">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VIN" refreshedDate="46287.841122569444" createdVersion="8" refreshedVersion="8" minRefreshableVersion="3" recordCount="1000" xr:uid="{B0497392-9FB5-461D-8847-385CB2D7957A}">
  <cacheSource type="worksheet">
    <worksheetSource ref="A3:N1003" sheet="working dataset"/>
  </cacheSource>
  <cacheFields count="14">
    <cacheField name="student_id" numFmtId="0">
      <sharedItems containsSemiMixedTypes="0" containsString="0" containsNumber="1" containsInteger="1" minValue="1" maxValue="1000"/>
    </cacheField>
    <cacheField name="gender" numFmtId="49">
      <sharedItems/>
    </cacheField>
    <cacheField name="study_time_hours" numFmtId="164">
      <sharedItems containsSemiMixedTypes="0" containsString="0" containsNumber="1" minValue="0.5" maxValue="8.1"/>
    </cacheField>
    <cacheField name="attendance_percent" numFmtId="1">
      <sharedItems containsSemiMixedTypes="0" containsString="0" containsNumber="1" minValue="54.8" maxValue="100"/>
    </cacheField>
    <cacheField name="sleep_hours" numFmtId="164">
      <sharedItems containsSemiMixedTypes="0" containsString="0" containsNumber="1" minValue="3.2" maxValue="10"/>
    </cacheField>
    <cacheField name="parental_education" numFmtId="49">
      <sharedItems/>
    </cacheField>
    <cacheField name="internet_access" numFmtId="49">
      <sharedItems/>
    </cacheField>
    <cacheField name="extracurricular_activities" numFmtId="49">
      <sharedItems/>
    </cacheField>
    <cacheField name="part_time_job" numFmtId="49">
      <sharedItems/>
    </cacheField>
    <cacheField name="previous_grade" numFmtId="164">
      <sharedItems containsSemiMixedTypes="0" containsString="0" containsNumber="1" minValue="31.3" maxValue="100"/>
    </cacheField>
    <cacheField name="final_exam_score" numFmtId="1">
      <sharedItems containsSemiMixedTypes="0" containsString="0" containsNumber="1" containsInteger="1" minValue="47" maxValue="100"/>
    </cacheField>
    <cacheField name="Score Range" numFmtId="1">
      <sharedItems count="17">
        <s v="95-100"/>
        <s v="80-84"/>
        <s v="65-69"/>
        <s v="70-74"/>
        <s v="85-89"/>
        <s v="75-79"/>
        <s v="90-94"/>
        <s v="60-64"/>
        <s v="55-59"/>
        <s v="Below 55"/>
        <s v="90-100" u="1"/>
        <s v="90-99" u="1"/>
        <s v="80-89" u="1"/>
        <s v="60-69" u="1"/>
        <s v="70-79" u="1"/>
        <s v="50-59" u="1"/>
        <s v="40-49" u="1"/>
      </sharedItems>
    </cacheField>
    <cacheField name="final_grade" numFmtId="49">
      <sharedItems/>
    </cacheField>
    <cacheField name="Field14" caption="Field14"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x v="0"/>
    <x v="0"/>
    <x v="0"/>
    <x v="0"/>
    <x v="0"/>
    <x v="0"/>
    <x v="0"/>
    <x v="0"/>
    <n v="100"/>
    <s v="A"/>
  </r>
  <r>
    <x v="1"/>
    <x v="1"/>
    <x v="1"/>
    <x v="1"/>
    <x v="1"/>
    <x v="1"/>
    <x v="0"/>
    <x v="0"/>
    <x v="1"/>
    <x v="1"/>
    <n v="100"/>
    <s v="A"/>
  </r>
  <r>
    <x v="2"/>
    <x v="0"/>
    <x v="2"/>
    <x v="2"/>
    <x v="2"/>
    <x v="0"/>
    <x v="0"/>
    <x v="1"/>
    <x v="1"/>
    <x v="2"/>
    <n v="97"/>
    <s v="A"/>
  </r>
  <r>
    <x v="3"/>
    <x v="0"/>
    <x v="3"/>
    <x v="3"/>
    <x v="3"/>
    <x v="2"/>
    <x v="0"/>
    <x v="0"/>
    <x v="0"/>
    <x v="3"/>
    <n v="84"/>
    <s v="B"/>
  </r>
  <r>
    <x v="4"/>
    <x v="0"/>
    <x v="4"/>
    <x v="4"/>
    <x v="4"/>
    <x v="0"/>
    <x v="0"/>
    <x v="1"/>
    <x v="1"/>
    <x v="4"/>
    <n v="68"/>
    <s v="D"/>
  </r>
  <r>
    <x v="5"/>
    <x v="1"/>
    <x v="5"/>
    <x v="5"/>
    <x v="1"/>
    <x v="1"/>
    <x v="0"/>
    <x v="1"/>
    <x v="0"/>
    <x v="5"/>
    <n v="82"/>
    <s v="B"/>
  </r>
  <r>
    <x v="6"/>
    <x v="0"/>
    <x v="6"/>
    <x v="1"/>
    <x v="5"/>
    <x v="1"/>
    <x v="0"/>
    <x v="0"/>
    <x v="1"/>
    <x v="6"/>
    <n v="70"/>
    <s v="D"/>
  </r>
  <r>
    <x v="7"/>
    <x v="0"/>
    <x v="7"/>
    <x v="6"/>
    <x v="6"/>
    <x v="1"/>
    <x v="0"/>
    <x v="0"/>
    <x v="0"/>
    <x v="7"/>
    <n v="88"/>
    <s v="B"/>
  </r>
  <r>
    <x v="8"/>
    <x v="0"/>
    <x v="8"/>
    <x v="7"/>
    <x v="7"/>
    <x v="0"/>
    <x v="0"/>
    <x v="1"/>
    <x v="0"/>
    <x v="8"/>
    <n v="84"/>
    <s v="B"/>
  </r>
  <r>
    <x v="9"/>
    <x v="1"/>
    <x v="9"/>
    <x v="8"/>
    <x v="8"/>
    <x v="0"/>
    <x v="0"/>
    <x v="0"/>
    <x v="0"/>
    <x v="9"/>
    <n v="74"/>
    <s v="C"/>
  </r>
  <r>
    <x v="10"/>
    <x v="0"/>
    <x v="10"/>
    <x v="9"/>
    <x v="1"/>
    <x v="1"/>
    <x v="0"/>
    <x v="1"/>
    <x v="1"/>
    <x v="10"/>
    <n v="69"/>
    <s v="D"/>
  </r>
  <r>
    <x v="11"/>
    <x v="0"/>
    <x v="11"/>
    <x v="10"/>
    <x v="9"/>
    <x v="2"/>
    <x v="0"/>
    <x v="0"/>
    <x v="0"/>
    <x v="11"/>
    <n v="77"/>
    <s v="C"/>
  </r>
  <r>
    <x v="12"/>
    <x v="0"/>
    <x v="12"/>
    <x v="11"/>
    <x v="10"/>
    <x v="3"/>
    <x v="0"/>
    <x v="0"/>
    <x v="1"/>
    <x v="12"/>
    <n v="83"/>
    <s v="B"/>
  </r>
  <r>
    <x v="13"/>
    <x v="0"/>
    <x v="13"/>
    <x v="12"/>
    <x v="11"/>
    <x v="0"/>
    <x v="1"/>
    <x v="1"/>
    <x v="0"/>
    <x v="13"/>
    <n v="93"/>
    <s v="A"/>
  </r>
  <r>
    <x v="14"/>
    <x v="1"/>
    <x v="14"/>
    <x v="13"/>
    <x v="12"/>
    <x v="3"/>
    <x v="0"/>
    <x v="0"/>
    <x v="1"/>
    <x v="14"/>
    <n v="74"/>
    <s v="C"/>
  </r>
  <r>
    <x v="15"/>
    <x v="0"/>
    <x v="3"/>
    <x v="14"/>
    <x v="10"/>
    <x v="1"/>
    <x v="0"/>
    <x v="0"/>
    <x v="0"/>
    <x v="15"/>
    <n v="85"/>
    <s v="B"/>
  </r>
  <r>
    <x v="16"/>
    <x v="1"/>
    <x v="15"/>
    <x v="15"/>
    <x v="13"/>
    <x v="0"/>
    <x v="0"/>
    <x v="0"/>
    <x v="0"/>
    <x v="16"/>
    <n v="82"/>
    <s v="B"/>
  </r>
  <r>
    <x v="17"/>
    <x v="1"/>
    <x v="16"/>
    <x v="16"/>
    <x v="0"/>
    <x v="0"/>
    <x v="0"/>
    <x v="0"/>
    <x v="1"/>
    <x v="17"/>
    <n v="76"/>
    <s v="C"/>
  </r>
  <r>
    <x v="18"/>
    <x v="1"/>
    <x v="9"/>
    <x v="17"/>
    <x v="14"/>
    <x v="3"/>
    <x v="1"/>
    <x v="0"/>
    <x v="0"/>
    <x v="18"/>
    <n v="90"/>
    <s v="B"/>
  </r>
  <r>
    <x v="19"/>
    <x v="0"/>
    <x v="17"/>
    <x v="18"/>
    <x v="15"/>
    <x v="3"/>
    <x v="1"/>
    <x v="1"/>
    <x v="1"/>
    <x v="19"/>
    <n v="93"/>
    <s v="A"/>
  </r>
  <r>
    <x v="20"/>
    <x v="1"/>
    <x v="18"/>
    <x v="19"/>
    <x v="16"/>
    <x v="1"/>
    <x v="0"/>
    <x v="0"/>
    <x v="0"/>
    <x v="20"/>
    <n v="74"/>
    <s v="C"/>
  </r>
  <r>
    <x v="21"/>
    <x v="0"/>
    <x v="12"/>
    <x v="1"/>
    <x v="17"/>
    <x v="2"/>
    <x v="0"/>
    <x v="0"/>
    <x v="0"/>
    <x v="21"/>
    <n v="100"/>
    <s v="A"/>
  </r>
  <r>
    <x v="22"/>
    <x v="1"/>
    <x v="19"/>
    <x v="20"/>
    <x v="17"/>
    <x v="1"/>
    <x v="1"/>
    <x v="1"/>
    <x v="0"/>
    <x v="22"/>
    <n v="73"/>
    <s v="C"/>
  </r>
  <r>
    <x v="23"/>
    <x v="1"/>
    <x v="20"/>
    <x v="21"/>
    <x v="18"/>
    <x v="4"/>
    <x v="1"/>
    <x v="0"/>
    <x v="0"/>
    <x v="23"/>
    <n v="71"/>
    <s v="C"/>
  </r>
  <r>
    <x v="24"/>
    <x v="1"/>
    <x v="21"/>
    <x v="22"/>
    <x v="17"/>
    <x v="2"/>
    <x v="0"/>
    <x v="0"/>
    <x v="1"/>
    <x v="24"/>
    <n v="97"/>
    <s v="A"/>
  </r>
  <r>
    <x v="25"/>
    <x v="1"/>
    <x v="22"/>
    <x v="23"/>
    <x v="19"/>
    <x v="1"/>
    <x v="0"/>
    <x v="1"/>
    <x v="0"/>
    <x v="25"/>
    <n v="76"/>
    <s v="C"/>
  </r>
  <r>
    <x v="26"/>
    <x v="1"/>
    <x v="23"/>
    <x v="4"/>
    <x v="20"/>
    <x v="3"/>
    <x v="0"/>
    <x v="1"/>
    <x v="1"/>
    <x v="26"/>
    <n v="79"/>
    <s v="C"/>
  </r>
  <r>
    <x v="27"/>
    <x v="1"/>
    <x v="13"/>
    <x v="1"/>
    <x v="1"/>
    <x v="1"/>
    <x v="1"/>
    <x v="1"/>
    <x v="0"/>
    <x v="27"/>
    <n v="97"/>
    <s v="A"/>
  </r>
  <r>
    <x v="28"/>
    <x v="1"/>
    <x v="0"/>
    <x v="24"/>
    <x v="3"/>
    <x v="0"/>
    <x v="0"/>
    <x v="1"/>
    <x v="0"/>
    <x v="28"/>
    <n v="84"/>
    <s v="B"/>
  </r>
  <r>
    <x v="29"/>
    <x v="1"/>
    <x v="24"/>
    <x v="25"/>
    <x v="21"/>
    <x v="0"/>
    <x v="0"/>
    <x v="0"/>
    <x v="0"/>
    <x v="29"/>
    <n v="90"/>
    <s v="B"/>
  </r>
  <r>
    <x v="30"/>
    <x v="0"/>
    <x v="25"/>
    <x v="26"/>
    <x v="22"/>
    <x v="0"/>
    <x v="0"/>
    <x v="1"/>
    <x v="1"/>
    <x v="30"/>
    <n v="82"/>
    <s v="B"/>
  </r>
  <r>
    <x v="31"/>
    <x v="0"/>
    <x v="19"/>
    <x v="27"/>
    <x v="23"/>
    <x v="2"/>
    <x v="0"/>
    <x v="0"/>
    <x v="0"/>
    <x v="31"/>
    <n v="88"/>
    <s v="B"/>
  </r>
  <r>
    <x v="32"/>
    <x v="1"/>
    <x v="8"/>
    <x v="1"/>
    <x v="24"/>
    <x v="3"/>
    <x v="0"/>
    <x v="0"/>
    <x v="0"/>
    <x v="32"/>
    <n v="100"/>
    <s v="A"/>
  </r>
  <r>
    <x v="33"/>
    <x v="1"/>
    <x v="16"/>
    <x v="28"/>
    <x v="16"/>
    <x v="0"/>
    <x v="1"/>
    <x v="0"/>
    <x v="0"/>
    <x v="33"/>
    <n v="93"/>
    <s v="A"/>
  </r>
  <r>
    <x v="34"/>
    <x v="1"/>
    <x v="26"/>
    <x v="14"/>
    <x v="25"/>
    <x v="3"/>
    <x v="0"/>
    <x v="0"/>
    <x v="1"/>
    <x v="34"/>
    <n v="100"/>
    <s v="A"/>
  </r>
  <r>
    <x v="35"/>
    <x v="0"/>
    <x v="27"/>
    <x v="29"/>
    <x v="26"/>
    <x v="2"/>
    <x v="0"/>
    <x v="0"/>
    <x v="1"/>
    <x v="35"/>
    <n v="93"/>
    <s v="A"/>
  </r>
  <r>
    <x v="36"/>
    <x v="1"/>
    <x v="28"/>
    <x v="30"/>
    <x v="0"/>
    <x v="1"/>
    <x v="0"/>
    <x v="1"/>
    <x v="1"/>
    <x v="33"/>
    <n v="83"/>
    <s v="B"/>
  </r>
  <r>
    <x v="37"/>
    <x v="0"/>
    <x v="29"/>
    <x v="31"/>
    <x v="7"/>
    <x v="2"/>
    <x v="0"/>
    <x v="0"/>
    <x v="0"/>
    <x v="32"/>
    <n v="81"/>
    <s v="B"/>
  </r>
  <r>
    <x v="38"/>
    <x v="0"/>
    <x v="30"/>
    <x v="32"/>
    <x v="5"/>
    <x v="1"/>
    <x v="0"/>
    <x v="0"/>
    <x v="1"/>
    <x v="36"/>
    <n v="90"/>
    <s v="B"/>
  </r>
  <r>
    <x v="39"/>
    <x v="0"/>
    <x v="31"/>
    <x v="33"/>
    <x v="27"/>
    <x v="3"/>
    <x v="0"/>
    <x v="0"/>
    <x v="0"/>
    <x v="37"/>
    <n v="92"/>
    <s v="A"/>
  </r>
  <r>
    <x v="40"/>
    <x v="0"/>
    <x v="32"/>
    <x v="1"/>
    <x v="22"/>
    <x v="1"/>
    <x v="0"/>
    <x v="0"/>
    <x v="1"/>
    <x v="38"/>
    <n v="75"/>
    <s v="C"/>
  </r>
  <r>
    <x v="41"/>
    <x v="0"/>
    <x v="30"/>
    <x v="34"/>
    <x v="7"/>
    <x v="1"/>
    <x v="0"/>
    <x v="1"/>
    <x v="0"/>
    <x v="39"/>
    <n v="79"/>
    <s v="C"/>
  </r>
  <r>
    <x v="42"/>
    <x v="1"/>
    <x v="33"/>
    <x v="35"/>
    <x v="25"/>
    <x v="0"/>
    <x v="0"/>
    <x v="0"/>
    <x v="0"/>
    <x v="40"/>
    <n v="100"/>
    <s v="A"/>
  </r>
  <r>
    <x v="43"/>
    <x v="1"/>
    <x v="10"/>
    <x v="36"/>
    <x v="28"/>
    <x v="0"/>
    <x v="0"/>
    <x v="0"/>
    <x v="0"/>
    <x v="41"/>
    <n v="79"/>
    <s v="C"/>
  </r>
  <r>
    <x v="44"/>
    <x v="1"/>
    <x v="34"/>
    <x v="37"/>
    <x v="22"/>
    <x v="0"/>
    <x v="1"/>
    <x v="0"/>
    <x v="0"/>
    <x v="42"/>
    <n v="71"/>
    <s v="C"/>
  </r>
  <r>
    <x v="45"/>
    <x v="1"/>
    <x v="35"/>
    <x v="38"/>
    <x v="9"/>
    <x v="1"/>
    <x v="1"/>
    <x v="1"/>
    <x v="1"/>
    <x v="21"/>
    <n v="62"/>
    <s v="D"/>
  </r>
  <r>
    <x v="46"/>
    <x v="1"/>
    <x v="28"/>
    <x v="39"/>
    <x v="29"/>
    <x v="0"/>
    <x v="0"/>
    <x v="0"/>
    <x v="1"/>
    <x v="43"/>
    <n v="68"/>
    <s v="D"/>
  </r>
  <r>
    <x v="47"/>
    <x v="0"/>
    <x v="21"/>
    <x v="40"/>
    <x v="30"/>
    <x v="2"/>
    <x v="0"/>
    <x v="0"/>
    <x v="1"/>
    <x v="44"/>
    <n v="80"/>
    <s v="B"/>
  </r>
  <r>
    <x v="48"/>
    <x v="1"/>
    <x v="25"/>
    <x v="41"/>
    <x v="21"/>
    <x v="0"/>
    <x v="1"/>
    <x v="0"/>
    <x v="0"/>
    <x v="45"/>
    <n v="89"/>
    <s v="B"/>
  </r>
  <r>
    <x v="49"/>
    <x v="1"/>
    <x v="16"/>
    <x v="42"/>
    <x v="28"/>
    <x v="1"/>
    <x v="0"/>
    <x v="0"/>
    <x v="0"/>
    <x v="46"/>
    <n v="69"/>
    <s v="D"/>
  </r>
  <r>
    <x v="50"/>
    <x v="0"/>
    <x v="36"/>
    <x v="21"/>
    <x v="30"/>
    <x v="0"/>
    <x v="0"/>
    <x v="0"/>
    <x v="0"/>
    <x v="47"/>
    <n v="100"/>
    <s v="A"/>
  </r>
  <r>
    <x v="51"/>
    <x v="1"/>
    <x v="37"/>
    <x v="1"/>
    <x v="17"/>
    <x v="1"/>
    <x v="1"/>
    <x v="1"/>
    <x v="0"/>
    <x v="48"/>
    <n v="82"/>
    <s v="B"/>
  </r>
  <r>
    <x v="52"/>
    <x v="0"/>
    <x v="10"/>
    <x v="43"/>
    <x v="31"/>
    <x v="3"/>
    <x v="0"/>
    <x v="1"/>
    <x v="0"/>
    <x v="49"/>
    <n v="73"/>
    <s v="C"/>
  </r>
  <r>
    <x v="53"/>
    <x v="1"/>
    <x v="38"/>
    <x v="44"/>
    <x v="32"/>
    <x v="3"/>
    <x v="0"/>
    <x v="1"/>
    <x v="0"/>
    <x v="50"/>
    <n v="85"/>
    <s v="B"/>
  </r>
  <r>
    <x v="54"/>
    <x v="0"/>
    <x v="39"/>
    <x v="45"/>
    <x v="33"/>
    <x v="0"/>
    <x v="1"/>
    <x v="0"/>
    <x v="0"/>
    <x v="51"/>
    <n v="100"/>
    <s v="A"/>
  </r>
  <r>
    <x v="55"/>
    <x v="1"/>
    <x v="15"/>
    <x v="46"/>
    <x v="34"/>
    <x v="0"/>
    <x v="0"/>
    <x v="0"/>
    <x v="1"/>
    <x v="52"/>
    <n v="84"/>
    <s v="B"/>
  </r>
  <r>
    <x v="56"/>
    <x v="1"/>
    <x v="35"/>
    <x v="8"/>
    <x v="16"/>
    <x v="3"/>
    <x v="0"/>
    <x v="0"/>
    <x v="0"/>
    <x v="53"/>
    <n v="72"/>
    <s v="C"/>
  </r>
  <r>
    <x v="57"/>
    <x v="0"/>
    <x v="38"/>
    <x v="47"/>
    <x v="35"/>
    <x v="0"/>
    <x v="0"/>
    <x v="1"/>
    <x v="0"/>
    <x v="54"/>
    <n v="84"/>
    <s v="B"/>
  </r>
  <r>
    <x v="58"/>
    <x v="0"/>
    <x v="6"/>
    <x v="48"/>
    <x v="36"/>
    <x v="3"/>
    <x v="0"/>
    <x v="1"/>
    <x v="0"/>
    <x v="55"/>
    <n v="75"/>
    <s v="C"/>
  </r>
  <r>
    <x v="59"/>
    <x v="0"/>
    <x v="30"/>
    <x v="49"/>
    <x v="21"/>
    <x v="0"/>
    <x v="0"/>
    <x v="1"/>
    <x v="0"/>
    <x v="56"/>
    <n v="90"/>
    <s v="B"/>
  </r>
  <r>
    <x v="60"/>
    <x v="0"/>
    <x v="0"/>
    <x v="50"/>
    <x v="23"/>
    <x v="3"/>
    <x v="0"/>
    <x v="0"/>
    <x v="0"/>
    <x v="57"/>
    <n v="80"/>
    <s v="B"/>
  </r>
  <r>
    <x v="61"/>
    <x v="0"/>
    <x v="32"/>
    <x v="51"/>
    <x v="0"/>
    <x v="0"/>
    <x v="1"/>
    <x v="0"/>
    <x v="1"/>
    <x v="58"/>
    <n v="71"/>
    <s v="C"/>
  </r>
  <r>
    <x v="62"/>
    <x v="0"/>
    <x v="40"/>
    <x v="52"/>
    <x v="12"/>
    <x v="0"/>
    <x v="0"/>
    <x v="0"/>
    <x v="0"/>
    <x v="59"/>
    <n v="88"/>
    <s v="B"/>
  </r>
  <r>
    <x v="63"/>
    <x v="0"/>
    <x v="18"/>
    <x v="53"/>
    <x v="6"/>
    <x v="2"/>
    <x v="0"/>
    <x v="1"/>
    <x v="0"/>
    <x v="60"/>
    <n v="73"/>
    <s v="C"/>
  </r>
  <r>
    <x v="64"/>
    <x v="0"/>
    <x v="38"/>
    <x v="37"/>
    <x v="1"/>
    <x v="0"/>
    <x v="0"/>
    <x v="1"/>
    <x v="1"/>
    <x v="61"/>
    <n v="81"/>
    <s v="B"/>
  </r>
  <r>
    <x v="65"/>
    <x v="1"/>
    <x v="2"/>
    <x v="1"/>
    <x v="37"/>
    <x v="0"/>
    <x v="0"/>
    <x v="1"/>
    <x v="0"/>
    <x v="62"/>
    <n v="97"/>
    <s v="A"/>
  </r>
  <r>
    <x v="66"/>
    <x v="1"/>
    <x v="41"/>
    <x v="54"/>
    <x v="7"/>
    <x v="1"/>
    <x v="0"/>
    <x v="0"/>
    <x v="0"/>
    <x v="63"/>
    <n v="68"/>
    <s v="D"/>
  </r>
  <r>
    <x v="67"/>
    <x v="0"/>
    <x v="20"/>
    <x v="1"/>
    <x v="12"/>
    <x v="0"/>
    <x v="1"/>
    <x v="0"/>
    <x v="0"/>
    <x v="43"/>
    <n v="79"/>
    <s v="C"/>
  </r>
  <r>
    <x v="68"/>
    <x v="1"/>
    <x v="40"/>
    <x v="55"/>
    <x v="35"/>
    <x v="0"/>
    <x v="1"/>
    <x v="1"/>
    <x v="1"/>
    <x v="64"/>
    <n v="74"/>
    <s v="C"/>
  </r>
  <r>
    <x v="69"/>
    <x v="1"/>
    <x v="42"/>
    <x v="56"/>
    <x v="19"/>
    <x v="1"/>
    <x v="0"/>
    <x v="1"/>
    <x v="0"/>
    <x v="65"/>
    <n v="85"/>
    <s v="B"/>
  </r>
  <r>
    <x v="70"/>
    <x v="1"/>
    <x v="12"/>
    <x v="57"/>
    <x v="13"/>
    <x v="1"/>
    <x v="0"/>
    <x v="0"/>
    <x v="0"/>
    <x v="66"/>
    <n v="80"/>
    <s v="C"/>
  </r>
  <r>
    <x v="71"/>
    <x v="1"/>
    <x v="18"/>
    <x v="58"/>
    <x v="21"/>
    <x v="0"/>
    <x v="0"/>
    <x v="0"/>
    <x v="0"/>
    <x v="67"/>
    <n v="77"/>
    <s v="C"/>
  </r>
  <r>
    <x v="72"/>
    <x v="0"/>
    <x v="40"/>
    <x v="59"/>
    <x v="27"/>
    <x v="3"/>
    <x v="0"/>
    <x v="0"/>
    <x v="0"/>
    <x v="68"/>
    <n v="95"/>
    <s v="A"/>
  </r>
  <r>
    <x v="73"/>
    <x v="1"/>
    <x v="34"/>
    <x v="60"/>
    <x v="27"/>
    <x v="0"/>
    <x v="0"/>
    <x v="0"/>
    <x v="0"/>
    <x v="69"/>
    <n v="78"/>
    <s v="C"/>
  </r>
  <r>
    <x v="74"/>
    <x v="0"/>
    <x v="43"/>
    <x v="61"/>
    <x v="11"/>
    <x v="1"/>
    <x v="0"/>
    <x v="0"/>
    <x v="0"/>
    <x v="70"/>
    <n v="100"/>
    <s v="A"/>
  </r>
  <r>
    <x v="75"/>
    <x v="1"/>
    <x v="16"/>
    <x v="62"/>
    <x v="38"/>
    <x v="3"/>
    <x v="1"/>
    <x v="1"/>
    <x v="0"/>
    <x v="71"/>
    <n v="64"/>
    <s v="D"/>
  </r>
  <r>
    <x v="76"/>
    <x v="1"/>
    <x v="44"/>
    <x v="63"/>
    <x v="27"/>
    <x v="1"/>
    <x v="0"/>
    <x v="0"/>
    <x v="0"/>
    <x v="72"/>
    <n v="72"/>
    <s v="C"/>
  </r>
  <r>
    <x v="77"/>
    <x v="1"/>
    <x v="45"/>
    <x v="64"/>
    <x v="39"/>
    <x v="0"/>
    <x v="0"/>
    <x v="0"/>
    <x v="0"/>
    <x v="73"/>
    <n v="79"/>
    <s v="C"/>
  </r>
  <r>
    <x v="78"/>
    <x v="0"/>
    <x v="12"/>
    <x v="40"/>
    <x v="17"/>
    <x v="1"/>
    <x v="0"/>
    <x v="0"/>
    <x v="1"/>
    <x v="74"/>
    <n v="75"/>
    <s v="C"/>
  </r>
  <r>
    <x v="79"/>
    <x v="1"/>
    <x v="46"/>
    <x v="51"/>
    <x v="2"/>
    <x v="1"/>
    <x v="0"/>
    <x v="1"/>
    <x v="0"/>
    <x v="75"/>
    <n v="87"/>
    <s v="B"/>
  </r>
  <r>
    <x v="80"/>
    <x v="0"/>
    <x v="17"/>
    <x v="1"/>
    <x v="12"/>
    <x v="1"/>
    <x v="0"/>
    <x v="1"/>
    <x v="0"/>
    <x v="28"/>
    <n v="98"/>
    <s v="A"/>
  </r>
  <r>
    <x v="81"/>
    <x v="1"/>
    <x v="21"/>
    <x v="65"/>
    <x v="29"/>
    <x v="0"/>
    <x v="0"/>
    <x v="0"/>
    <x v="0"/>
    <x v="76"/>
    <n v="75"/>
    <s v="C"/>
  </r>
  <r>
    <x v="82"/>
    <x v="0"/>
    <x v="40"/>
    <x v="66"/>
    <x v="35"/>
    <x v="1"/>
    <x v="0"/>
    <x v="1"/>
    <x v="1"/>
    <x v="77"/>
    <n v="64"/>
    <s v="D"/>
  </r>
  <r>
    <x v="83"/>
    <x v="1"/>
    <x v="3"/>
    <x v="67"/>
    <x v="0"/>
    <x v="0"/>
    <x v="0"/>
    <x v="1"/>
    <x v="0"/>
    <x v="78"/>
    <n v="90"/>
    <s v="A"/>
  </r>
  <r>
    <x v="84"/>
    <x v="0"/>
    <x v="28"/>
    <x v="11"/>
    <x v="25"/>
    <x v="0"/>
    <x v="0"/>
    <x v="0"/>
    <x v="1"/>
    <x v="79"/>
    <n v="99"/>
    <s v="A"/>
  </r>
  <r>
    <x v="85"/>
    <x v="0"/>
    <x v="35"/>
    <x v="68"/>
    <x v="40"/>
    <x v="0"/>
    <x v="0"/>
    <x v="0"/>
    <x v="1"/>
    <x v="80"/>
    <n v="64"/>
    <s v="D"/>
  </r>
  <r>
    <x v="86"/>
    <x v="1"/>
    <x v="23"/>
    <x v="69"/>
    <x v="12"/>
    <x v="0"/>
    <x v="0"/>
    <x v="1"/>
    <x v="0"/>
    <x v="81"/>
    <n v="79"/>
    <s v="C"/>
  </r>
  <r>
    <x v="87"/>
    <x v="0"/>
    <x v="31"/>
    <x v="70"/>
    <x v="8"/>
    <x v="3"/>
    <x v="0"/>
    <x v="1"/>
    <x v="0"/>
    <x v="82"/>
    <n v="100"/>
    <s v="A"/>
  </r>
  <r>
    <x v="88"/>
    <x v="1"/>
    <x v="47"/>
    <x v="71"/>
    <x v="23"/>
    <x v="1"/>
    <x v="0"/>
    <x v="1"/>
    <x v="0"/>
    <x v="83"/>
    <n v="79"/>
    <s v="C"/>
  </r>
  <r>
    <x v="89"/>
    <x v="1"/>
    <x v="28"/>
    <x v="72"/>
    <x v="38"/>
    <x v="0"/>
    <x v="0"/>
    <x v="1"/>
    <x v="1"/>
    <x v="84"/>
    <n v="85"/>
    <s v="B"/>
  </r>
  <r>
    <x v="90"/>
    <x v="1"/>
    <x v="17"/>
    <x v="73"/>
    <x v="0"/>
    <x v="1"/>
    <x v="0"/>
    <x v="1"/>
    <x v="0"/>
    <x v="85"/>
    <n v="72"/>
    <s v="C"/>
  </r>
  <r>
    <x v="91"/>
    <x v="1"/>
    <x v="0"/>
    <x v="74"/>
    <x v="34"/>
    <x v="1"/>
    <x v="0"/>
    <x v="0"/>
    <x v="1"/>
    <x v="73"/>
    <n v="86"/>
    <s v="B"/>
  </r>
  <r>
    <x v="92"/>
    <x v="1"/>
    <x v="48"/>
    <x v="75"/>
    <x v="16"/>
    <x v="0"/>
    <x v="0"/>
    <x v="0"/>
    <x v="0"/>
    <x v="86"/>
    <n v="98"/>
    <s v="A"/>
  </r>
  <r>
    <x v="93"/>
    <x v="1"/>
    <x v="49"/>
    <x v="76"/>
    <x v="35"/>
    <x v="0"/>
    <x v="0"/>
    <x v="0"/>
    <x v="0"/>
    <x v="87"/>
    <n v="88"/>
    <s v="B"/>
  </r>
  <r>
    <x v="94"/>
    <x v="1"/>
    <x v="12"/>
    <x v="16"/>
    <x v="13"/>
    <x v="4"/>
    <x v="0"/>
    <x v="0"/>
    <x v="0"/>
    <x v="88"/>
    <n v="100"/>
    <s v="A"/>
  </r>
  <r>
    <x v="95"/>
    <x v="1"/>
    <x v="32"/>
    <x v="7"/>
    <x v="33"/>
    <x v="0"/>
    <x v="0"/>
    <x v="1"/>
    <x v="0"/>
    <x v="89"/>
    <n v="75"/>
    <s v="C"/>
  </r>
  <r>
    <x v="96"/>
    <x v="1"/>
    <x v="14"/>
    <x v="1"/>
    <x v="41"/>
    <x v="2"/>
    <x v="0"/>
    <x v="1"/>
    <x v="1"/>
    <x v="90"/>
    <n v="87"/>
    <s v="B"/>
  </r>
  <r>
    <x v="97"/>
    <x v="1"/>
    <x v="45"/>
    <x v="77"/>
    <x v="12"/>
    <x v="1"/>
    <x v="1"/>
    <x v="1"/>
    <x v="0"/>
    <x v="91"/>
    <n v="89"/>
    <s v="B"/>
  </r>
  <r>
    <x v="98"/>
    <x v="1"/>
    <x v="24"/>
    <x v="78"/>
    <x v="13"/>
    <x v="1"/>
    <x v="0"/>
    <x v="0"/>
    <x v="1"/>
    <x v="92"/>
    <n v="65"/>
    <s v="D"/>
  </r>
  <r>
    <x v="99"/>
    <x v="0"/>
    <x v="37"/>
    <x v="25"/>
    <x v="17"/>
    <x v="1"/>
    <x v="1"/>
    <x v="1"/>
    <x v="0"/>
    <x v="93"/>
    <n v="79"/>
    <s v="C"/>
  </r>
  <r>
    <x v="100"/>
    <x v="0"/>
    <x v="44"/>
    <x v="19"/>
    <x v="31"/>
    <x v="1"/>
    <x v="0"/>
    <x v="0"/>
    <x v="0"/>
    <x v="94"/>
    <n v="75"/>
    <s v="C"/>
  </r>
  <r>
    <x v="101"/>
    <x v="1"/>
    <x v="18"/>
    <x v="56"/>
    <x v="7"/>
    <x v="0"/>
    <x v="0"/>
    <x v="0"/>
    <x v="1"/>
    <x v="1"/>
    <n v="66"/>
    <s v="D"/>
  </r>
  <r>
    <x v="102"/>
    <x v="1"/>
    <x v="47"/>
    <x v="79"/>
    <x v="29"/>
    <x v="0"/>
    <x v="1"/>
    <x v="1"/>
    <x v="0"/>
    <x v="95"/>
    <n v="90"/>
    <s v="B"/>
  </r>
  <r>
    <x v="103"/>
    <x v="1"/>
    <x v="50"/>
    <x v="80"/>
    <x v="42"/>
    <x v="1"/>
    <x v="0"/>
    <x v="1"/>
    <x v="0"/>
    <x v="96"/>
    <n v="93"/>
    <s v="A"/>
  </r>
  <r>
    <x v="104"/>
    <x v="1"/>
    <x v="15"/>
    <x v="81"/>
    <x v="29"/>
    <x v="2"/>
    <x v="0"/>
    <x v="1"/>
    <x v="1"/>
    <x v="96"/>
    <n v="87"/>
    <s v="B"/>
  </r>
  <r>
    <x v="105"/>
    <x v="1"/>
    <x v="51"/>
    <x v="1"/>
    <x v="6"/>
    <x v="3"/>
    <x v="0"/>
    <x v="0"/>
    <x v="1"/>
    <x v="95"/>
    <n v="93"/>
    <s v="A"/>
  </r>
  <r>
    <x v="106"/>
    <x v="1"/>
    <x v="16"/>
    <x v="82"/>
    <x v="36"/>
    <x v="1"/>
    <x v="0"/>
    <x v="0"/>
    <x v="1"/>
    <x v="97"/>
    <n v="76"/>
    <s v="C"/>
  </r>
  <r>
    <x v="107"/>
    <x v="1"/>
    <x v="4"/>
    <x v="8"/>
    <x v="34"/>
    <x v="1"/>
    <x v="0"/>
    <x v="0"/>
    <x v="0"/>
    <x v="98"/>
    <n v="74"/>
    <s v="C"/>
  </r>
  <r>
    <x v="108"/>
    <x v="1"/>
    <x v="25"/>
    <x v="1"/>
    <x v="39"/>
    <x v="1"/>
    <x v="0"/>
    <x v="0"/>
    <x v="0"/>
    <x v="99"/>
    <n v="100"/>
    <s v="A"/>
  </r>
  <r>
    <x v="109"/>
    <x v="0"/>
    <x v="20"/>
    <x v="1"/>
    <x v="17"/>
    <x v="1"/>
    <x v="1"/>
    <x v="1"/>
    <x v="1"/>
    <x v="87"/>
    <n v="76"/>
    <s v="C"/>
  </r>
  <r>
    <x v="110"/>
    <x v="1"/>
    <x v="18"/>
    <x v="1"/>
    <x v="0"/>
    <x v="1"/>
    <x v="0"/>
    <x v="1"/>
    <x v="1"/>
    <x v="100"/>
    <n v="62"/>
    <s v="D"/>
  </r>
  <r>
    <x v="111"/>
    <x v="0"/>
    <x v="46"/>
    <x v="83"/>
    <x v="0"/>
    <x v="0"/>
    <x v="1"/>
    <x v="1"/>
    <x v="0"/>
    <x v="101"/>
    <n v="91"/>
    <s v="A"/>
  </r>
  <r>
    <x v="112"/>
    <x v="1"/>
    <x v="4"/>
    <x v="84"/>
    <x v="38"/>
    <x v="1"/>
    <x v="1"/>
    <x v="0"/>
    <x v="0"/>
    <x v="102"/>
    <n v="73"/>
    <s v="C"/>
  </r>
  <r>
    <x v="113"/>
    <x v="1"/>
    <x v="37"/>
    <x v="51"/>
    <x v="23"/>
    <x v="0"/>
    <x v="0"/>
    <x v="1"/>
    <x v="0"/>
    <x v="103"/>
    <n v="75"/>
    <s v="C"/>
  </r>
  <r>
    <x v="114"/>
    <x v="0"/>
    <x v="2"/>
    <x v="85"/>
    <x v="22"/>
    <x v="2"/>
    <x v="0"/>
    <x v="0"/>
    <x v="0"/>
    <x v="104"/>
    <n v="97"/>
    <s v="A"/>
  </r>
  <r>
    <x v="115"/>
    <x v="1"/>
    <x v="43"/>
    <x v="81"/>
    <x v="3"/>
    <x v="3"/>
    <x v="1"/>
    <x v="1"/>
    <x v="1"/>
    <x v="101"/>
    <n v="95"/>
    <s v="A"/>
  </r>
  <r>
    <x v="116"/>
    <x v="0"/>
    <x v="37"/>
    <x v="86"/>
    <x v="28"/>
    <x v="2"/>
    <x v="1"/>
    <x v="0"/>
    <x v="0"/>
    <x v="105"/>
    <n v="59"/>
    <s v="F"/>
  </r>
  <r>
    <x v="117"/>
    <x v="1"/>
    <x v="20"/>
    <x v="87"/>
    <x v="13"/>
    <x v="1"/>
    <x v="0"/>
    <x v="0"/>
    <x v="0"/>
    <x v="106"/>
    <n v="96"/>
    <s v="A"/>
  </r>
  <r>
    <x v="118"/>
    <x v="1"/>
    <x v="44"/>
    <x v="41"/>
    <x v="20"/>
    <x v="0"/>
    <x v="0"/>
    <x v="0"/>
    <x v="1"/>
    <x v="27"/>
    <n v="75"/>
    <s v="C"/>
  </r>
  <r>
    <x v="119"/>
    <x v="0"/>
    <x v="9"/>
    <x v="88"/>
    <x v="37"/>
    <x v="0"/>
    <x v="0"/>
    <x v="1"/>
    <x v="0"/>
    <x v="75"/>
    <n v="73"/>
    <s v="C"/>
  </r>
  <r>
    <x v="120"/>
    <x v="1"/>
    <x v="3"/>
    <x v="89"/>
    <x v="43"/>
    <x v="1"/>
    <x v="0"/>
    <x v="0"/>
    <x v="0"/>
    <x v="107"/>
    <n v="96"/>
    <s v="A"/>
  </r>
  <r>
    <x v="121"/>
    <x v="0"/>
    <x v="4"/>
    <x v="90"/>
    <x v="44"/>
    <x v="1"/>
    <x v="0"/>
    <x v="0"/>
    <x v="0"/>
    <x v="108"/>
    <n v="81"/>
    <s v="B"/>
  </r>
  <r>
    <x v="122"/>
    <x v="1"/>
    <x v="16"/>
    <x v="91"/>
    <x v="16"/>
    <x v="3"/>
    <x v="0"/>
    <x v="1"/>
    <x v="1"/>
    <x v="23"/>
    <n v="77"/>
    <s v="C"/>
  </r>
  <r>
    <x v="123"/>
    <x v="0"/>
    <x v="42"/>
    <x v="92"/>
    <x v="16"/>
    <x v="0"/>
    <x v="0"/>
    <x v="0"/>
    <x v="0"/>
    <x v="109"/>
    <n v="88"/>
    <s v="B"/>
  </r>
  <r>
    <x v="124"/>
    <x v="0"/>
    <x v="52"/>
    <x v="93"/>
    <x v="27"/>
    <x v="0"/>
    <x v="0"/>
    <x v="0"/>
    <x v="0"/>
    <x v="110"/>
    <n v="88"/>
    <s v="B"/>
  </r>
  <r>
    <x v="125"/>
    <x v="1"/>
    <x v="38"/>
    <x v="94"/>
    <x v="22"/>
    <x v="0"/>
    <x v="0"/>
    <x v="0"/>
    <x v="0"/>
    <x v="111"/>
    <n v="92"/>
    <s v="A"/>
  </r>
  <r>
    <x v="126"/>
    <x v="1"/>
    <x v="28"/>
    <x v="95"/>
    <x v="22"/>
    <x v="0"/>
    <x v="0"/>
    <x v="0"/>
    <x v="0"/>
    <x v="112"/>
    <n v="85"/>
    <s v="B"/>
  </r>
  <r>
    <x v="127"/>
    <x v="0"/>
    <x v="32"/>
    <x v="96"/>
    <x v="0"/>
    <x v="1"/>
    <x v="0"/>
    <x v="1"/>
    <x v="1"/>
    <x v="113"/>
    <n v="63"/>
    <s v="D"/>
  </r>
  <r>
    <x v="128"/>
    <x v="1"/>
    <x v="3"/>
    <x v="97"/>
    <x v="30"/>
    <x v="1"/>
    <x v="0"/>
    <x v="1"/>
    <x v="1"/>
    <x v="26"/>
    <n v="81"/>
    <s v="B"/>
  </r>
  <r>
    <x v="129"/>
    <x v="1"/>
    <x v="21"/>
    <x v="73"/>
    <x v="23"/>
    <x v="1"/>
    <x v="0"/>
    <x v="0"/>
    <x v="0"/>
    <x v="114"/>
    <n v="87"/>
    <s v="B"/>
  </r>
  <r>
    <x v="130"/>
    <x v="1"/>
    <x v="20"/>
    <x v="1"/>
    <x v="11"/>
    <x v="1"/>
    <x v="0"/>
    <x v="1"/>
    <x v="1"/>
    <x v="115"/>
    <n v="100"/>
    <s v="A"/>
  </r>
  <r>
    <x v="131"/>
    <x v="0"/>
    <x v="41"/>
    <x v="98"/>
    <x v="45"/>
    <x v="2"/>
    <x v="0"/>
    <x v="0"/>
    <x v="0"/>
    <x v="116"/>
    <n v="76"/>
    <s v="C"/>
  </r>
  <r>
    <x v="132"/>
    <x v="0"/>
    <x v="16"/>
    <x v="99"/>
    <x v="0"/>
    <x v="0"/>
    <x v="1"/>
    <x v="0"/>
    <x v="0"/>
    <x v="117"/>
    <n v="77"/>
    <s v="C"/>
  </r>
  <r>
    <x v="133"/>
    <x v="0"/>
    <x v="21"/>
    <x v="1"/>
    <x v="37"/>
    <x v="3"/>
    <x v="0"/>
    <x v="0"/>
    <x v="0"/>
    <x v="118"/>
    <n v="86"/>
    <s v="B"/>
  </r>
  <r>
    <x v="134"/>
    <x v="0"/>
    <x v="53"/>
    <x v="100"/>
    <x v="10"/>
    <x v="1"/>
    <x v="0"/>
    <x v="0"/>
    <x v="0"/>
    <x v="119"/>
    <n v="81"/>
    <s v="B"/>
  </r>
  <r>
    <x v="135"/>
    <x v="0"/>
    <x v="20"/>
    <x v="101"/>
    <x v="43"/>
    <x v="0"/>
    <x v="0"/>
    <x v="0"/>
    <x v="0"/>
    <x v="120"/>
    <n v="95"/>
    <s v="A"/>
  </r>
  <r>
    <x v="136"/>
    <x v="0"/>
    <x v="44"/>
    <x v="102"/>
    <x v="23"/>
    <x v="1"/>
    <x v="1"/>
    <x v="1"/>
    <x v="1"/>
    <x v="121"/>
    <n v="60"/>
    <s v="F"/>
  </r>
  <r>
    <x v="137"/>
    <x v="0"/>
    <x v="17"/>
    <x v="103"/>
    <x v="28"/>
    <x v="1"/>
    <x v="0"/>
    <x v="1"/>
    <x v="0"/>
    <x v="57"/>
    <n v="81"/>
    <s v="B"/>
  </r>
  <r>
    <x v="138"/>
    <x v="0"/>
    <x v="24"/>
    <x v="7"/>
    <x v="2"/>
    <x v="1"/>
    <x v="0"/>
    <x v="0"/>
    <x v="0"/>
    <x v="97"/>
    <n v="83"/>
    <s v="B"/>
  </r>
  <r>
    <x v="139"/>
    <x v="0"/>
    <x v="54"/>
    <x v="104"/>
    <x v="27"/>
    <x v="3"/>
    <x v="0"/>
    <x v="1"/>
    <x v="0"/>
    <x v="7"/>
    <n v="80"/>
    <s v="B"/>
  </r>
  <r>
    <x v="140"/>
    <x v="1"/>
    <x v="14"/>
    <x v="1"/>
    <x v="24"/>
    <x v="3"/>
    <x v="0"/>
    <x v="1"/>
    <x v="1"/>
    <x v="48"/>
    <n v="82"/>
    <s v="B"/>
  </r>
  <r>
    <x v="141"/>
    <x v="0"/>
    <x v="16"/>
    <x v="1"/>
    <x v="22"/>
    <x v="0"/>
    <x v="0"/>
    <x v="1"/>
    <x v="0"/>
    <x v="103"/>
    <n v="76"/>
    <s v="C"/>
  </r>
  <r>
    <x v="142"/>
    <x v="1"/>
    <x v="52"/>
    <x v="105"/>
    <x v="46"/>
    <x v="0"/>
    <x v="0"/>
    <x v="1"/>
    <x v="1"/>
    <x v="86"/>
    <n v="89"/>
    <s v="B"/>
  </r>
  <r>
    <x v="143"/>
    <x v="1"/>
    <x v="32"/>
    <x v="106"/>
    <x v="18"/>
    <x v="2"/>
    <x v="0"/>
    <x v="0"/>
    <x v="1"/>
    <x v="122"/>
    <n v="70"/>
    <s v="D"/>
  </r>
  <r>
    <x v="144"/>
    <x v="1"/>
    <x v="30"/>
    <x v="6"/>
    <x v="27"/>
    <x v="1"/>
    <x v="0"/>
    <x v="1"/>
    <x v="1"/>
    <x v="123"/>
    <n v="87"/>
    <s v="B"/>
  </r>
  <r>
    <x v="145"/>
    <x v="0"/>
    <x v="53"/>
    <x v="107"/>
    <x v="1"/>
    <x v="1"/>
    <x v="0"/>
    <x v="1"/>
    <x v="0"/>
    <x v="124"/>
    <n v="65"/>
    <s v="D"/>
  </r>
  <r>
    <x v="146"/>
    <x v="0"/>
    <x v="38"/>
    <x v="108"/>
    <x v="22"/>
    <x v="1"/>
    <x v="0"/>
    <x v="1"/>
    <x v="1"/>
    <x v="125"/>
    <n v="82"/>
    <s v="B"/>
  </r>
  <r>
    <x v="147"/>
    <x v="0"/>
    <x v="34"/>
    <x v="109"/>
    <x v="1"/>
    <x v="3"/>
    <x v="0"/>
    <x v="0"/>
    <x v="1"/>
    <x v="126"/>
    <n v="47"/>
    <s v="F"/>
  </r>
  <r>
    <x v="148"/>
    <x v="0"/>
    <x v="44"/>
    <x v="110"/>
    <x v="31"/>
    <x v="2"/>
    <x v="0"/>
    <x v="0"/>
    <x v="1"/>
    <x v="127"/>
    <n v="69"/>
    <s v="D"/>
  </r>
  <r>
    <x v="149"/>
    <x v="1"/>
    <x v="16"/>
    <x v="111"/>
    <x v="28"/>
    <x v="1"/>
    <x v="0"/>
    <x v="0"/>
    <x v="1"/>
    <x v="128"/>
    <n v="69"/>
    <s v="D"/>
  </r>
  <r>
    <x v="150"/>
    <x v="0"/>
    <x v="4"/>
    <x v="28"/>
    <x v="3"/>
    <x v="4"/>
    <x v="0"/>
    <x v="0"/>
    <x v="0"/>
    <x v="129"/>
    <n v="85"/>
    <s v="B"/>
  </r>
  <r>
    <x v="151"/>
    <x v="0"/>
    <x v="55"/>
    <x v="50"/>
    <x v="2"/>
    <x v="3"/>
    <x v="0"/>
    <x v="0"/>
    <x v="1"/>
    <x v="56"/>
    <n v="76"/>
    <s v="C"/>
  </r>
  <r>
    <x v="152"/>
    <x v="0"/>
    <x v="29"/>
    <x v="112"/>
    <x v="39"/>
    <x v="1"/>
    <x v="0"/>
    <x v="1"/>
    <x v="1"/>
    <x v="130"/>
    <n v="85"/>
    <s v="B"/>
  </r>
  <r>
    <x v="153"/>
    <x v="0"/>
    <x v="3"/>
    <x v="113"/>
    <x v="11"/>
    <x v="0"/>
    <x v="1"/>
    <x v="0"/>
    <x v="0"/>
    <x v="131"/>
    <n v="76"/>
    <s v="C"/>
  </r>
  <r>
    <x v="154"/>
    <x v="0"/>
    <x v="50"/>
    <x v="114"/>
    <x v="12"/>
    <x v="0"/>
    <x v="0"/>
    <x v="1"/>
    <x v="0"/>
    <x v="132"/>
    <n v="95"/>
    <s v="A"/>
  </r>
  <r>
    <x v="155"/>
    <x v="1"/>
    <x v="22"/>
    <x v="1"/>
    <x v="39"/>
    <x v="2"/>
    <x v="0"/>
    <x v="0"/>
    <x v="0"/>
    <x v="133"/>
    <n v="88"/>
    <s v="B"/>
  </r>
  <r>
    <x v="156"/>
    <x v="0"/>
    <x v="20"/>
    <x v="1"/>
    <x v="0"/>
    <x v="1"/>
    <x v="0"/>
    <x v="1"/>
    <x v="0"/>
    <x v="8"/>
    <n v="88"/>
    <s v="B"/>
  </r>
  <r>
    <x v="157"/>
    <x v="1"/>
    <x v="51"/>
    <x v="115"/>
    <x v="28"/>
    <x v="3"/>
    <x v="0"/>
    <x v="0"/>
    <x v="1"/>
    <x v="120"/>
    <n v="89"/>
    <s v="B"/>
  </r>
  <r>
    <x v="158"/>
    <x v="0"/>
    <x v="35"/>
    <x v="116"/>
    <x v="47"/>
    <x v="1"/>
    <x v="0"/>
    <x v="0"/>
    <x v="0"/>
    <x v="134"/>
    <n v="64"/>
    <s v="D"/>
  </r>
  <r>
    <x v="159"/>
    <x v="1"/>
    <x v="42"/>
    <x v="117"/>
    <x v="24"/>
    <x v="3"/>
    <x v="0"/>
    <x v="1"/>
    <x v="1"/>
    <x v="135"/>
    <n v="74"/>
    <s v="C"/>
  </r>
  <r>
    <x v="160"/>
    <x v="0"/>
    <x v="17"/>
    <x v="118"/>
    <x v="8"/>
    <x v="0"/>
    <x v="0"/>
    <x v="1"/>
    <x v="0"/>
    <x v="136"/>
    <n v="88"/>
    <s v="B"/>
  </r>
  <r>
    <x v="161"/>
    <x v="0"/>
    <x v="46"/>
    <x v="119"/>
    <x v="13"/>
    <x v="0"/>
    <x v="0"/>
    <x v="1"/>
    <x v="0"/>
    <x v="137"/>
    <n v="77"/>
    <s v="C"/>
  </r>
  <r>
    <x v="162"/>
    <x v="1"/>
    <x v="39"/>
    <x v="120"/>
    <x v="3"/>
    <x v="3"/>
    <x v="0"/>
    <x v="0"/>
    <x v="1"/>
    <x v="138"/>
    <n v="97"/>
    <s v="A"/>
  </r>
  <r>
    <x v="163"/>
    <x v="1"/>
    <x v="3"/>
    <x v="121"/>
    <x v="46"/>
    <x v="3"/>
    <x v="0"/>
    <x v="0"/>
    <x v="0"/>
    <x v="139"/>
    <n v="90"/>
    <s v="A"/>
  </r>
  <r>
    <x v="164"/>
    <x v="1"/>
    <x v="16"/>
    <x v="122"/>
    <x v="32"/>
    <x v="4"/>
    <x v="0"/>
    <x v="1"/>
    <x v="0"/>
    <x v="140"/>
    <n v="89"/>
    <s v="B"/>
  </r>
  <r>
    <x v="165"/>
    <x v="0"/>
    <x v="12"/>
    <x v="123"/>
    <x v="42"/>
    <x v="1"/>
    <x v="0"/>
    <x v="0"/>
    <x v="0"/>
    <x v="141"/>
    <n v="85"/>
    <s v="B"/>
  </r>
  <r>
    <x v="166"/>
    <x v="1"/>
    <x v="8"/>
    <x v="124"/>
    <x v="48"/>
    <x v="3"/>
    <x v="0"/>
    <x v="1"/>
    <x v="0"/>
    <x v="142"/>
    <n v="100"/>
    <s v="A"/>
  </r>
  <r>
    <x v="167"/>
    <x v="0"/>
    <x v="52"/>
    <x v="125"/>
    <x v="24"/>
    <x v="1"/>
    <x v="0"/>
    <x v="0"/>
    <x v="0"/>
    <x v="143"/>
    <n v="82"/>
    <s v="B"/>
  </r>
  <r>
    <x v="168"/>
    <x v="0"/>
    <x v="0"/>
    <x v="102"/>
    <x v="37"/>
    <x v="0"/>
    <x v="1"/>
    <x v="0"/>
    <x v="1"/>
    <x v="144"/>
    <n v="75"/>
    <s v="C"/>
  </r>
  <r>
    <x v="169"/>
    <x v="1"/>
    <x v="55"/>
    <x v="126"/>
    <x v="27"/>
    <x v="0"/>
    <x v="1"/>
    <x v="0"/>
    <x v="1"/>
    <x v="145"/>
    <n v="78"/>
    <s v="C"/>
  </r>
  <r>
    <x v="170"/>
    <x v="1"/>
    <x v="9"/>
    <x v="127"/>
    <x v="49"/>
    <x v="0"/>
    <x v="0"/>
    <x v="0"/>
    <x v="0"/>
    <x v="146"/>
    <n v="93"/>
    <s v="A"/>
  </r>
  <r>
    <x v="171"/>
    <x v="0"/>
    <x v="55"/>
    <x v="128"/>
    <x v="29"/>
    <x v="0"/>
    <x v="0"/>
    <x v="1"/>
    <x v="0"/>
    <x v="147"/>
    <n v="72"/>
    <s v="C"/>
  </r>
  <r>
    <x v="172"/>
    <x v="0"/>
    <x v="39"/>
    <x v="129"/>
    <x v="23"/>
    <x v="2"/>
    <x v="0"/>
    <x v="1"/>
    <x v="0"/>
    <x v="148"/>
    <n v="79"/>
    <s v="C"/>
  </r>
  <r>
    <x v="173"/>
    <x v="1"/>
    <x v="55"/>
    <x v="130"/>
    <x v="2"/>
    <x v="1"/>
    <x v="0"/>
    <x v="0"/>
    <x v="0"/>
    <x v="25"/>
    <n v="83"/>
    <s v="B"/>
  </r>
  <r>
    <x v="174"/>
    <x v="1"/>
    <x v="52"/>
    <x v="131"/>
    <x v="9"/>
    <x v="3"/>
    <x v="0"/>
    <x v="1"/>
    <x v="0"/>
    <x v="149"/>
    <n v="79"/>
    <s v="C"/>
  </r>
  <r>
    <x v="175"/>
    <x v="1"/>
    <x v="26"/>
    <x v="3"/>
    <x v="11"/>
    <x v="0"/>
    <x v="0"/>
    <x v="0"/>
    <x v="0"/>
    <x v="150"/>
    <n v="90"/>
    <s v="B"/>
  </r>
  <r>
    <x v="176"/>
    <x v="0"/>
    <x v="50"/>
    <x v="132"/>
    <x v="1"/>
    <x v="1"/>
    <x v="0"/>
    <x v="0"/>
    <x v="0"/>
    <x v="151"/>
    <n v="89"/>
    <s v="B"/>
  </r>
  <r>
    <x v="177"/>
    <x v="0"/>
    <x v="56"/>
    <x v="133"/>
    <x v="21"/>
    <x v="1"/>
    <x v="1"/>
    <x v="0"/>
    <x v="0"/>
    <x v="125"/>
    <n v="82"/>
    <s v="B"/>
  </r>
  <r>
    <x v="178"/>
    <x v="0"/>
    <x v="8"/>
    <x v="134"/>
    <x v="1"/>
    <x v="2"/>
    <x v="0"/>
    <x v="1"/>
    <x v="0"/>
    <x v="91"/>
    <n v="97"/>
    <s v="A"/>
  </r>
  <r>
    <x v="179"/>
    <x v="0"/>
    <x v="55"/>
    <x v="36"/>
    <x v="31"/>
    <x v="4"/>
    <x v="0"/>
    <x v="1"/>
    <x v="0"/>
    <x v="47"/>
    <n v="74"/>
    <s v="C"/>
  </r>
  <r>
    <x v="180"/>
    <x v="0"/>
    <x v="35"/>
    <x v="135"/>
    <x v="9"/>
    <x v="2"/>
    <x v="0"/>
    <x v="1"/>
    <x v="0"/>
    <x v="152"/>
    <n v="77"/>
    <s v="C"/>
  </r>
  <r>
    <x v="181"/>
    <x v="0"/>
    <x v="41"/>
    <x v="136"/>
    <x v="35"/>
    <x v="2"/>
    <x v="0"/>
    <x v="1"/>
    <x v="1"/>
    <x v="153"/>
    <n v="77"/>
    <s v="C"/>
  </r>
  <r>
    <x v="182"/>
    <x v="1"/>
    <x v="57"/>
    <x v="137"/>
    <x v="17"/>
    <x v="1"/>
    <x v="0"/>
    <x v="1"/>
    <x v="0"/>
    <x v="53"/>
    <n v="73"/>
    <s v="C"/>
  </r>
  <r>
    <x v="183"/>
    <x v="0"/>
    <x v="56"/>
    <x v="50"/>
    <x v="0"/>
    <x v="0"/>
    <x v="0"/>
    <x v="1"/>
    <x v="0"/>
    <x v="10"/>
    <n v="84"/>
    <s v="B"/>
  </r>
  <r>
    <x v="184"/>
    <x v="0"/>
    <x v="15"/>
    <x v="138"/>
    <x v="29"/>
    <x v="3"/>
    <x v="0"/>
    <x v="1"/>
    <x v="0"/>
    <x v="154"/>
    <n v="86"/>
    <s v="B"/>
  </r>
  <r>
    <x v="185"/>
    <x v="0"/>
    <x v="47"/>
    <x v="139"/>
    <x v="8"/>
    <x v="0"/>
    <x v="0"/>
    <x v="1"/>
    <x v="0"/>
    <x v="1"/>
    <n v="96"/>
    <s v="A"/>
  </r>
  <r>
    <x v="186"/>
    <x v="1"/>
    <x v="0"/>
    <x v="140"/>
    <x v="28"/>
    <x v="0"/>
    <x v="0"/>
    <x v="0"/>
    <x v="0"/>
    <x v="155"/>
    <n v="89"/>
    <s v="B"/>
  </r>
  <r>
    <x v="187"/>
    <x v="0"/>
    <x v="46"/>
    <x v="141"/>
    <x v="7"/>
    <x v="0"/>
    <x v="0"/>
    <x v="0"/>
    <x v="1"/>
    <x v="156"/>
    <n v="83"/>
    <s v="B"/>
  </r>
  <r>
    <x v="188"/>
    <x v="0"/>
    <x v="58"/>
    <x v="117"/>
    <x v="50"/>
    <x v="0"/>
    <x v="0"/>
    <x v="0"/>
    <x v="0"/>
    <x v="65"/>
    <n v="100"/>
    <s v="A"/>
  </r>
  <r>
    <x v="189"/>
    <x v="1"/>
    <x v="35"/>
    <x v="142"/>
    <x v="20"/>
    <x v="0"/>
    <x v="0"/>
    <x v="0"/>
    <x v="0"/>
    <x v="157"/>
    <n v="67"/>
    <s v="D"/>
  </r>
  <r>
    <x v="190"/>
    <x v="0"/>
    <x v="52"/>
    <x v="143"/>
    <x v="19"/>
    <x v="1"/>
    <x v="0"/>
    <x v="1"/>
    <x v="0"/>
    <x v="158"/>
    <n v="85"/>
    <s v="B"/>
  </r>
  <r>
    <x v="191"/>
    <x v="0"/>
    <x v="58"/>
    <x v="144"/>
    <x v="3"/>
    <x v="0"/>
    <x v="0"/>
    <x v="0"/>
    <x v="1"/>
    <x v="159"/>
    <n v="100"/>
    <s v="A"/>
  </r>
  <r>
    <x v="192"/>
    <x v="0"/>
    <x v="59"/>
    <x v="145"/>
    <x v="21"/>
    <x v="0"/>
    <x v="0"/>
    <x v="1"/>
    <x v="0"/>
    <x v="160"/>
    <n v="75"/>
    <s v="C"/>
  </r>
  <r>
    <x v="193"/>
    <x v="0"/>
    <x v="49"/>
    <x v="146"/>
    <x v="33"/>
    <x v="0"/>
    <x v="0"/>
    <x v="0"/>
    <x v="0"/>
    <x v="161"/>
    <n v="81"/>
    <s v="B"/>
  </r>
  <r>
    <x v="194"/>
    <x v="0"/>
    <x v="0"/>
    <x v="147"/>
    <x v="23"/>
    <x v="1"/>
    <x v="0"/>
    <x v="0"/>
    <x v="0"/>
    <x v="162"/>
    <n v="97"/>
    <s v="A"/>
  </r>
  <r>
    <x v="195"/>
    <x v="1"/>
    <x v="55"/>
    <x v="148"/>
    <x v="24"/>
    <x v="3"/>
    <x v="1"/>
    <x v="0"/>
    <x v="0"/>
    <x v="163"/>
    <n v="80"/>
    <s v="C"/>
  </r>
  <r>
    <x v="196"/>
    <x v="1"/>
    <x v="17"/>
    <x v="99"/>
    <x v="7"/>
    <x v="1"/>
    <x v="0"/>
    <x v="1"/>
    <x v="0"/>
    <x v="72"/>
    <n v="73"/>
    <s v="C"/>
  </r>
  <r>
    <x v="197"/>
    <x v="1"/>
    <x v="60"/>
    <x v="26"/>
    <x v="44"/>
    <x v="0"/>
    <x v="0"/>
    <x v="0"/>
    <x v="0"/>
    <x v="84"/>
    <n v="92"/>
    <s v="A"/>
  </r>
  <r>
    <x v="198"/>
    <x v="0"/>
    <x v="45"/>
    <x v="149"/>
    <x v="25"/>
    <x v="3"/>
    <x v="0"/>
    <x v="0"/>
    <x v="0"/>
    <x v="164"/>
    <n v="87"/>
    <s v="B"/>
  </r>
  <r>
    <x v="199"/>
    <x v="0"/>
    <x v="52"/>
    <x v="150"/>
    <x v="6"/>
    <x v="0"/>
    <x v="1"/>
    <x v="1"/>
    <x v="0"/>
    <x v="165"/>
    <n v="93"/>
    <s v="A"/>
  </r>
  <r>
    <x v="200"/>
    <x v="0"/>
    <x v="9"/>
    <x v="8"/>
    <x v="16"/>
    <x v="1"/>
    <x v="0"/>
    <x v="1"/>
    <x v="1"/>
    <x v="166"/>
    <n v="95"/>
    <s v="A"/>
  </r>
  <r>
    <x v="201"/>
    <x v="1"/>
    <x v="4"/>
    <x v="7"/>
    <x v="30"/>
    <x v="3"/>
    <x v="0"/>
    <x v="0"/>
    <x v="0"/>
    <x v="55"/>
    <n v="76"/>
    <s v="C"/>
  </r>
  <r>
    <x v="202"/>
    <x v="0"/>
    <x v="58"/>
    <x v="125"/>
    <x v="37"/>
    <x v="0"/>
    <x v="0"/>
    <x v="0"/>
    <x v="0"/>
    <x v="167"/>
    <n v="85"/>
    <s v="B"/>
  </r>
  <r>
    <x v="203"/>
    <x v="0"/>
    <x v="4"/>
    <x v="91"/>
    <x v="7"/>
    <x v="3"/>
    <x v="0"/>
    <x v="0"/>
    <x v="0"/>
    <x v="4"/>
    <n v="77"/>
    <s v="C"/>
  </r>
  <r>
    <x v="204"/>
    <x v="1"/>
    <x v="16"/>
    <x v="151"/>
    <x v="44"/>
    <x v="3"/>
    <x v="0"/>
    <x v="1"/>
    <x v="0"/>
    <x v="168"/>
    <n v="87"/>
    <s v="B"/>
  </r>
  <r>
    <x v="205"/>
    <x v="0"/>
    <x v="9"/>
    <x v="152"/>
    <x v="31"/>
    <x v="0"/>
    <x v="0"/>
    <x v="0"/>
    <x v="1"/>
    <x v="169"/>
    <n v="61"/>
    <s v="D"/>
  </r>
  <r>
    <x v="206"/>
    <x v="1"/>
    <x v="5"/>
    <x v="67"/>
    <x v="7"/>
    <x v="0"/>
    <x v="0"/>
    <x v="0"/>
    <x v="1"/>
    <x v="170"/>
    <n v="100"/>
    <s v="A"/>
  </r>
  <r>
    <x v="207"/>
    <x v="1"/>
    <x v="0"/>
    <x v="153"/>
    <x v="11"/>
    <x v="1"/>
    <x v="1"/>
    <x v="0"/>
    <x v="0"/>
    <x v="160"/>
    <n v="91"/>
    <s v="A"/>
  </r>
  <r>
    <x v="208"/>
    <x v="1"/>
    <x v="33"/>
    <x v="154"/>
    <x v="17"/>
    <x v="1"/>
    <x v="0"/>
    <x v="0"/>
    <x v="1"/>
    <x v="171"/>
    <n v="96"/>
    <s v="A"/>
  </r>
  <r>
    <x v="209"/>
    <x v="0"/>
    <x v="40"/>
    <x v="155"/>
    <x v="45"/>
    <x v="0"/>
    <x v="0"/>
    <x v="1"/>
    <x v="0"/>
    <x v="9"/>
    <n v="73"/>
    <s v="C"/>
  </r>
  <r>
    <x v="210"/>
    <x v="0"/>
    <x v="28"/>
    <x v="156"/>
    <x v="13"/>
    <x v="0"/>
    <x v="0"/>
    <x v="0"/>
    <x v="0"/>
    <x v="172"/>
    <n v="81"/>
    <s v="B"/>
  </r>
  <r>
    <x v="211"/>
    <x v="0"/>
    <x v="41"/>
    <x v="1"/>
    <x v="21"/>
    <x v="0"/>
    <x v="0"/>
    <x v="0"/>
    <x v="0"/>
    <x v="95"/>
    <n v="82"/>
    <s v="B"/>
  </r>
  <r>
    <x v="212"/>
    <x v="0"/>
    <x v="9"/>
    <x v="53"/>
    <x v="26"/>
    <x v="1"/>
    <x v="0"/>
    <x v="0"/>
    <x v="1"/>
    <x v="94"/>
    <n v="70"/>
    <s v="C"/>
  </r>
  <r>
    <x v="213"/>
    <x v="0"/>
    <x v="39"/>
    <x v="145"/>
    <x v="36"/>
    <x v="1"/>
    <x v="0"/>
    <x v="0"/>
    <x v="1"/>
    <x v="173"/>
    <n v="79"/>
    <s v="C"/>
  </r>
  <r>
    <x v="214"/>
    <x v="0"/>
    <x v="21"/>
    <x v="157"/>
    <x v="42"/>
    <x v="0"/>
    <x v="0"/>
    <x v="0"/>
    <x v="0"/>
    <x v="174"/>
    <n v="85"/>
    <s v="B"/>
  </r>
  <r>
    <x v="215"/>
    <x v="0"/>
    <x v="32"/>
    <x v="158"/>
    <x v="22"/>
    <x v="1"/>
    <x v="0"/>
    <x v="1"/>
    <x v="0"/>
    <x v="120"/>
    <n v="75"/>
    <s v="C"/>
  </r>
  <r>
    <x v="216"/>
    <x v="1"/>
    <x v="50"/>
    <x v="49"/>
    <x v="6"/>
    <x v="3"/>
    <x v="0"/>
    <x v="1"/>
    <x v="0"/>
    <x v="175"/>
    <n v="91"/>
    <s v="A"/>
  </r>
  <r>
    <x v="217"/>
    <x v="0"/>
    <x v="11"/>
    <x v="128"/>
    <x v="18"/>
    <x v="1"/>
    <x v="0"/>
    <x v="1"/>
    <x v="0"/>
    <x v="140"/>
    <n v="93"/>
    <s v="A"/>
  </r>
  <r>
    <x v="218"/>
    <x v="1"/>
    <x v="39"/>
    <x v="159"/>
    <x v="13"/>
    <x v="0"/>
    <x v="0"/>
    <x v="1"/>
    <x v="0"/>
    <x v="63"/>
    <n v="87"/>
    <s v="B"/>
  </r>
  <r>
    <x v="219"/>
    <x v="0"/>
    <x v="1"/>
    <x v="160"/>
    <x v="30"/>
    <x v="2"/>
    <x v="0"/>
    <x v="1"/>
    <x v="0"/>
    <x v="176"/>
    <n v="100"/>
    <s v="A"/>
  </r>
  <r>
    <x v="220"/>
    <x v="0"/>
    <x v="42"/>
    <x v="161"/>
    <x v="13"/>
    <x v="1"/>
    <x v="0"/>
    <x v="0"/>
    <x v="0"/>
    <x v="177"/>
    <n v="84"/>
    <s v="B"/>
  </r>
  <r>
    <x v="221"/>
    <x v="0"/>
    <x v="61"/>
    <x v="1"/>
    <x v="51"/>
    <x v="0"/>
    <x v="1"/>
    <x v="1"/>
    <x v="0"/>
    <x v="178"/>
    <n v="72"/>
    <s v="C"/>
  </r>
  <r>
    <x v="222"/>
    <x v="1"/>
    <x v="54"/>
    <x v="108"/>
    <x v="2"/>
    <x v="1"/>
    <x v="1"/>
    <x v="1"/>
    <x v="1"/>
    <x v="49"/>
    <n v="71"/>
    <s v="C"/>
  </r>
  <r>
    <x v="223"/>
    <x v="1"/>
    <x v="51"/>
    <x v="21"/>
    <x v="44"/>
    <x v="0"/>
    <x v="0"/>
    <x v="1"/>
    <x v="1"/>
    <x v="86"/>
    <n v="90"/>
    <s v="B"/>
  </r>
  <r>
    <x v="224"/>
    <x v="1"/>
    <x v="30"/>
    <x v="162"/>
    <x v="35"/>
    <x v="0"/>
    <x v="0"/>
    <x v="0"/>
    <x v="0"/>
    <x v="179"/>
    <n v="81"/>
    <s v="B"/>
  </r>
  <r>
    <x v="225"/>
    <x v="1"/>
    <x v="38"/>
    <x v="137"/>
    <x v="18"/>
    <x v="0"/>
    <x v="0"/>
    <x v="0"/>
    <x v="0"/>
    <x v="180"/>
    <n v="67"/>
    <s v="D"/>
  </r>
  <r>
    <x v="226"/>
    <x v="0"/>
    <x v="52"/>
    <x v="133"/>
    <x v="30"/>
    <x v="0"/>
    <x v="0"/>
    <x v="1"/>
    <x v="1"/>
    <x v="181"/>
    <n v="82"/>
    <s v="B"/>
  </r>
  <r>
    <x v="227"/>
    <x v="1"/>
    <x v="22"/>
    <x v="97"/>
    <x v="29"/>
    <x v="4"/>
    <x v="0"/>
    <x v="1"/>
    <x v="1"/>
    <x v="182"/>
    <n v="90"/>
    <s v="A"/>
  </r>
  <r>
    <x v="228"/>
    <x v="0"/>
    <x v="62"/>
    <x v="157"/>
    <x v="22"/>
    <x v="1"/>
    <x v="0"/>
    <x v="1"/>
    <x v="0"/>
    <x v="183"/>
    <n v="100"/>
    <s v="A"/>
  </r>
  <r>
    <x v="229"/>
    <x v="0"/>
    <x v="19"/>
    <x v="1"/>
    <x v="35"/>
    <x v="1"/>
    <x v="0"/>
    <x v="0"/>
    <x v="1"/>
    <x v="42"/>
    <n v="83"/>
    <s v="B"/>
  </r>
  <r>
    <x v="230"/>
    <x v="1"/>
    <x v="19"/>
    <x v="119"/>
    <x v="12"/>
    <x v="4"/>
    <x v="0"/>
    <x v="0"/>
    <x v="0"/>
    <x v="5"/>
    <n v="98"/>
    <s v="A"/>
  </r>
  <r>
    <x v="231"/>
    <x v="1"/>
    <x v="21"/>
    <x v="3"/>
    <x v="11"/>
    <x v="0"/>
    <x v="0"/>
    <x v="0"/>
    <x v="0"/>
    <x v="32"/>
    <n v="92"/>
    <s v="A"/>
  </r>
  <r>
    <x v="232"/>
    <x v="1"/>
    <x v="5"/>
    <x v="163"/>
    <x v="24"/>
    <x v="4"/>
    <x v="0"/>
    <x v="1"/>
    <x v="0"/>
    <x v="114"/>
    <n v="82"/>
    <s v="B"/>
  </r>
  <r>
    <x v="233"/>
    <x v="1"/>
    <x v="45"/>
    <x v="148"/>
    <x v="34"/>
    <x v="0"/>
    <x v="0"/>
    <x v="0"/>
    <x v="0"/>
    <x v="184"/>
    <n v="100"/>
    <s v="A"/>
  </r>
  <r>
    <x v="234"/>
    <x v="1"/>
    <x v="42"/>
    <x v="164"/>
    <x v="35"/>
    <x v="3"/>
    <x v="0"/>
    <x v="0"/>
    <x v="0"/>
    <x v="185"/>
    <n v="80"/>
    <s v="B"/>
  </r>
  <r>
    <x v="235"/>
    <x v="1"/>
    <x v="5"/>
    <x v="165"/>
    <x v="38"/>
    <x v="0"/>
    <x v="0"/>
    <x v="1"/>
    <x v="0"/>
    <x v="186"/>
    <n v="86"/>
    <s v="B"/>
  </r>
  <r>
    <x v="236"/>
    <x v="1"/>
    <x v="1"/>
    <x v="166"/>
    <x v="11"/>
    <x v="3"/>
    <x v="0"/>
    <x v="0"/>
    <x v="0"/>
    <x v="187"/>
    <n v="100"/>
    <s v="A"/>
  </r>
  <r>
    <x v="237"/>
    <x v="1"/>
    <x v="11"/>
    <x v="167"/>
    <x v="34"/>
    <x v="2"/>
    <x v="0"/>
    <x v="1"/>
    <x v="0"/>
    <x v="10"/>
    <n v="84"/>
    <s v="B"/>
  </r>
  <r>
    <x v="238"/>
    <x v="0"/>
    <x v="36"/>
    <x v="1"/>
    <x v="24"/>
    <x v="0"/>
    <x v="0"/>
    <x v="0"/>
    <x v="0"/>
    <x v="188"/>
    <n v="100"/>
    <s v="A"/>
  </r>
  <r>
    <x v="239"/>
    <x v="1"/>
    <x v="40"/>
    <x v="168"/>
    <x v="37"/>
    <x v="1"/>
    <x v="0"/>
    <x v="1"/>
    <x v="1"/>
    <x v="116"/>
    <n v="85"/>
    <s v="B"/>
  </r>
  <r>
    <x v="240"/>
    <x v="1"/>
    <x v="41"/>
    <x v="88"/>
    <x v="34"/>
    <x v="1"/>
    <x v="0"/>
    <x v="1"/>
    <x v="1"/>
    <x v="189"/>
    <n v="81"/>
    <s v="B"/>
  </r>
  <r>
    <x v="241"/>
    <x v="0"/>
    <x v="12"/>
    <x v="169"/>
    <x v="35"/>
    <x v="1"/>
    <x v="0"/>
    <x v="1"/>
    <x v="1"/>
    <x v="125"/>
    <n v="85"/>
    <s v="B"/>
  </r>
  <r>
    <x v="242"/>
    <x v="1"/>
    <x v="16"/>
    <x v="135"/>
    <x v="31"/>
    <x v="1"/>
    <x v="0"/>
    <x v="1"/>
    <x v="1"/>
    <x v="148"/>
    <n v="69"/>
    <s v="D"/>
  </r>
  <r>
    <x v="243"/>
    <x v="0"/>
    <x v="33"/>
    <x v="170"/>
    <x v="36"/>
    <x v="1"/>
    <x v="0"/>
    <x v="0"/>
    <x v="0"/>
    <x v="150"/>
    <n v="92"/>
    <s v="A"/>
  </r>
  <r>
    <x v="244"/>
    <x v="0"/>
    <x v="53"/>
    <x v="171"/>
    <x v="23"/>
    <x v="0"/>
    <x v="0"/>
    <x v="0"/>
    <x v="0"/>
    <x v="100"/>
    <n v="76"/>
    <s v="C"/>
  </r>
  <r>
    <x v="245"/>
    <x v="1"/>
    <x v="25"/>
    <x v="64"/>
    <x v="27"/>
    <x v="0"/>
    <x v="0"/>
    <x v="0"/>
    <x v="0"/>
    <x v="190"/>
    <n v="100"/>
    <s v="A"/>
  </r>
  <r>
    <x v="246"/>
    <x v="0"/>
    <x v="12"/>
    <x v="24"/>
    <x v="10"/>
    <x v="0"/>
    <x v="0"/>
    <x v="1"/>
    <x v="0"/>
    <x v="191"/>
    <n v="92"/>
    <s v="A"/>
  </r>
  <r>
    <x v="247"/>
    <x v="0"/>
    <x v="55"/>
    <x v="172"/>
    <x v="23"/>
    <x v="0"/>
    <x v="1"/>
    <x v="1"/>
    <x v="0"/>
    <x v="192"/>
    <n v="77"/>
    <s v="C"/>
  </r>
  <r>
    <x v="248"/>
    <x v="0"/>
    <x v="41"/>
    <x v="173"/>
    <x v="14"/>
    <x v="1"/>
    <x v="0"/>
    <x v="0"/>
    <x v="0"/>
    <x v="190"/>
    <n v="83"/>
    <s v="B"/>
  </r>
  <r>
    <x v="249"/>
    <x v="0"/>
    <x v="53"/>
    <x v="77"/>
    <x v="25"/>
    <x v="1"/>
    <x v="0"/>
    <x v="1"/>
    <x v="0"/>
    <x v="193"/>
    <n v="67"/>
    <s v="D"/>
  </r>
  <r>
    <x v="250"/>
    <x v="1"/>
    <x v="58"/>
    <x v="103"/>
    <x v="10"/>
    <x v="1"/>
    <x v="0"/>
    <x v="0"/>
    <x v="1"/>
    <x v="163"/>
    <n v="88"/>
    <s v="B"/>
  </r>
  <r>
    <x v="251"/>
    <x v="0"/>
    <x v="16"/>
    <x v="74"/>
    <x v="2"/>
    <x v="0"/>
    <x v="0"/>
    <x v="1"/>
    <x v="1"/>
    <x v="194"/>
    <n v="91"/>
    <s v="A"/>
  </r>
  <r>
    <x v="252"/>
    <x v="1"/>
    <x v="61"/>
    <x v="1"/>
    <x v="9"/>
    <x v="1"/>
    <x v="1"/>
    <x v="1"/>
    <x v="0"/>
    <x v="67"/>
    <n v="76"/>
    <s v="C"/>
  </r>
  <r>
    <x v="253"/>
    <x v="0"/>
    <x v="61"/>
    <x v="151"/>
    <x v="24"/>
    <x v="1"/>
    <x v="0"/>
    <x v="0"/>
    <x v="0"/>
    <x v="49"/>
    <n v="88"/>
    <s v="B"/>
  </r>
  <r>
    <x v="254"/>
    <x v="0"/>
    <x v="56"/>
    <x v="53"/>
    <x v="48"/>
    <x v="0"/>
    <x v="0"/>
    <x v="0"/>
    <x v="1"/>
    <x v="28"/>
    <n v="88"/>
    <s v="B"/>
  </r>
  <r>
    <x v="255"/>
    <x v="0"/>
    <x v="47"/>
    <x v="174"/>
    <x v="0"/>
    <x v="3"/>
    <x v="0"/>
    <x v="0"/>
    <x v="1"/>
    <x v="195"/>
    <n v="97"/>
    <s v="A"/>
  </r>
  <r>
    <x v="256"/>
    <x v="0"/>
    <x v="28"/>
    <x v="97"/>
    <x v="37"/>
    <x v="1"/>
    <x v="0"/>
    <x v="1"/>
    <x v="0"/>
    <x v="196"/>
    <n v="87"/>
    <s v="B"/>
  </r>
  <r>
    <x v="257"/>
    <x v="1"/>
    <x v="23"/>
    <x v="175"/>
    <x v="6"/>
    <x v="0"/>
    <x v="0"/>
    <x v="0"/>
    <x v="1"/>
    <x v="144"/>
    <n v="64"/>
    <s v="D"/>
  </r>
  <r>
    <x v="258"/>
    <x v="1"/>
    <x v="28"/>
    <x v="176"/>
    <x v="20"/>
    <x v="3"/>
    <x v="0"/>
    <x v="0"/>
    <x v="0"/>
    <x v="100"/>
    <n v="73"/>
    <s v="C"/>
  </r>
  <r>
    <x v="259"/>
    <x v="0"/>
    <x v="28"/>
    <x v="149"/>
    <x v="12"/>
    <x v="3"/>
    <x v="0"/>
    <x v="0"/>
    <x v="0"/>
    <x v="28"/>
    <n v="94"/>
    <s v="A"/>
  </r>
  <r>
    <x v="260"/>
    <x v="0"/>
    <x v="35"/>
    <x v="94"/>
    <x v="28"/>
    <x v="2"/>
    <x v="0"/>
    <x v="0"/>
    <x v="0"/>
    <x v="197"/>
    <n v="71"/>
    <s v="C"/>
  </r>
  <r>
    <x v="261"/>
    <x v="1"/>
    <x v="38"/>
    <x v="177"/>
    <x v="8"/>
    <x v="1"/>
    <x v="0"/>
    <x v="0"/>
    <x v="0"/>
    <x v="198"/>
    <n v="80"/>
    <s v="C"/>
  </r>
  <r>
    <x v="262"/>
    <x v="0"/>
    <x v="46"/>
    <x v="15"/>
    <x v="29"/>
    <x v="1"/>
    <x v="1"/>
    <x v="1"/>
    <x v="0"/>
    <x v="177"/>
    <n v="81"/>
    <s v="B"/>
  </r>
  <r>
    <x v="263"/>
    <x v="0"/>
    <x v="30"/>
    <x v="1"/>
    <x v="2"/>
    <x v="4"/>
    <x v="0"/>
    <x v="0"/>
    <x v="0"/>
    <x v="43"/>
    <n v="91"/>
    <s v="A"/>
  </r>
  <r>
    <x v="264"/>
    <x v="0"/>
    <x v="1"/>
    <x v="101"/>
    <x v="1"/>
    <x v="0"/>
    <x v="0"/>
    <x v="1"/>
    <x v="0"/>
    <x v="199"/>
    <n v="98"/>
    <s v="A"/>
  </r>
  <r>
    <x v="265"/>
    <x v="1"/>
    <x v="49"/>
    <x v="178"/>
    <x v="19"/>
    <x v="0"/>
    <x v="0"/>
    <x v="1"/>
    <x v="0"/>
    <x v="29"/>
    <n v="100"/>
    <s v="A"/>
  </r>
  <r>
    <x v="266"/>
    <x v="1"/>
    <x v="28"/>
    <x v="179"/>
    <x v="27"/>
    <x v="3"/>
    <x v="0"/>
    <x v="0"/>
    <x v="1"/>
    <x v="2"/>
    <n v="82"/>
    <s v="B"/>
  </r>
  <r>
    <x v="267"/>
    <x v="1"/>
    <x v="22"/>
    <x v="180"/>
    <x v="3"/>
    <x v="3"/>
    <x v="0"/>
    <x v="0"/>
    <x v="0"/>
    <x v="200"/>
    <n v="84"/>
    <s v="B"/>
  </r>
  <r>
    <x v="268"/>
    <x v="0"/>
    <x v="63"/>
    <x v="181"/>
    <x v="6"/>
    <x v="2"/>
    <x v="0"/>
    <x v="1"/>
    <x v="0"/>
    <x v="24"/>
    <n v="100"/>
    <s v="A"/>
  </r>
  <r>
    <x v="269"/>
    <x v="0"/>
    <x v="16"/>
    <x v="182"/>
    <x v="17"/>
    <x v="2"/>
    <x v="0"/>
    <x v="1"/>
    <x v="0"/>
    <x v="201"/>
    <n v="80"/>
    <s v="B"/>
  </r>
  <r>
    <x v="270"/>
    <x v="1"/>
    <x v="15"/>
    <x v="183"/>
    <x v="20"/>
    <x v="3"/>
    <x v="0"/>
    <x v="0"/>
    <x v="0"/>
    <x v="6"/>
    <n v="75"/>
    <s v="C"/>
  </r>
  <r>
    <x v="271"/>
    <x v="1"/>
    <x v="15"/>
    <x v="184"/>
    <x v="2"/>
    <x v="1"/>
    <x v="1"/>
    <x v="0"/>
    <x v="0"/>
    <x v="202"/>
    <n v="78"/>
    <s v="C"/>
  </r>
  <r>
    <x v="272"/>
    <x v="1"/>
    <x v="45"/>
    <x v="155"/>
    <x v="10"/>
    <x v="4"/>
    <x v="0"/>
    <x v="0"/>
    <x v="1"/>
    <x v="203"/>
    <n v="65"/>
    <s v="D"/>
  </r>
  <r>
    <x v="273"/>
    <x v="1"/>
    <x v="12"/>
    <x v="185"/>
    <x v="22"/>
    <x v="1"/>
    <x v="0"/>
    <x v="1"/>
    <x v="0"/>
    <x v="204"/>
    <n v="98"/>
    <s v="A"/>
  </r>
  <r>
    <x v="274"/>
    <x v="0"/>
    <x v="3"/>
    <x v="184"/>
    <x v="18"/>
    <x v="1"/>
    <x v="1"/>
    <x v="0"/>
    <x v="0"/>
    <x v="205"/>
    <n v="74"/>
    <s v="C"/>
  </r>
  <r>
    <x v="275"/>
    <x v="1"/>
    <x v="40"/>
    <x v="73"/>
    <x v="1"/>
    <x v="4"/>
    <x v="0"/>
    <x v="0"/>
    <x v="0"/>
    <x v="206"/>
    <n v="76"/>
    <s v="C"/>
  </r>
  <r>
    <x v="276"/>
    <x v="0"/>
    <x v="15"/>
    <x v="186"/>
    <x v="22"/>
    <x v="1"/>
    <x v="0"/>
    <x v="1"/>
    <x v="0"/>
    <x v="202"/>
    <n v="76"/>
    <s v="C"/>
  </r>
  <r>
    <x v="277"/>
    <x v="1"/>
    <x v="40"/>
    <x v="68"/>
    <x v="1"/>
    <x v="1"/>
    <x v="0"/>
    <x v="1"/>
    <x v="1"/>
    <x v="207"/>
    <n v="88"/>
    <s v="B"/>
  </r>
  <r>
    <x v="278"/>
    <x v="0"/>
    <x v="24"/>
    <x v="0"/>
    <x v="27"/>
    <x v="1"/>
    <x v="0"/>
    <x v="0"/>
    <x v="0"/>
    <x v="208"/>
    <n v="94"/>
    <s v="A"/>
  </r>
  <r>
    <x v="279"/>
    <x v="1"/>
    <x v="19"/>
    <x v="131"/>
    <x v="16"/>
    <x v="4"/>
    <x v="1"/>
    <x v="0"/>
    <x v="1"/>
    <x v="98"/>
    <n v="59"/>
    <s v="F"/>
  </r>
  <r>
    <x v="280"/>
    <x v="1"/>
    <x v="28"/>
    <x v="118"/>
    <x v="17"/>
    <x v="0"/>
    <x v="1"/>
    <x v="1"/>
    <x v="0"/>
    <x v="93"/>
    <n v="81"/>
    <s v="B"/>
  </r>
  <r>
    <x v="281"/>
    <x v="1"/>
    <x v="25"/>
    <x v="187"/>
    <x v="39"/>
    <x v="3"/>
    <x v="0"/>
    <x v="0"/>
    <x v="0"/>
    <x v="209"/>
    <n v="85"/>
    <s v="B"/>
  </r>
  <r>
    <x v="282"/>
    <x v="1"/>
    <x v="35"/>
    <x v="188"/>
    <x v="22"/>
    <x v="1"/>
    <x v="0"/>
    <x v="0"/>
    <x v="1"/>
    <x v="210"/>
    <n v="70"/>
    <s v="D"/>
  </r>
  <r>
    <x v="283"/>
    <x v="0"/>
    <x v="33"/>
    <x v="189"/>
    <x v="35"/>
    <x v="3"/>
    <x v="0"/>
    <x v="1"/>
    <x v="0"/>
    <x v="211"/>
    <n v="82"/>
    <s v="B"/>
  </r>
  <r>
    <x v="284"/>
    <x v="1"/>
    <x v="13"/>
    <x v="190"/>
    <x v="6"/>
    <x v="3"/>
    <x v="0"/>
    <x v="0"/>
    <x v="1"/>
    <x v="212"/>
    <n v="83"/>
    <s v="B"/>
  </r>
  <r>
    <x v="285"/>
    <x v="0"/>
    <x v="35"/>
    <x v="7"/>
    <x v="22"/>
    <x v="1"/>
    <x v="0"/>
    <x v="1"/>
    <x v="1"/>
    <x v="213"/>
    <n v="70"/>
    <s v="D"/>
  </r>
  <r>
    <x v="286"/>
    <x v="0"/>
    <x v="56"/>
    <x v="191"/>
    <x v="21"/>
    <x v="0"/>
    <x v="0"/>
    <x v="1"/>
    <x v="0"/>
    <x v="154"/>
    <n v="69"/>
    <s v="D"/>
  </r>
  <r>
    <x v="287"/>
    <x v="0"/>
    <x v="55"/>
    <x v="192"/>
    <x v="36"/>
    <x v="1"/>
    <x v="1"/>
    <x v="0"/>
    <x v="0"/>
    <x v="214"/>
    <n v="62"/>
    <s v="D"/>
  </r>
  <r>
    <x v="288"/>
    <x v="0"/>
    <x v="37"/>
    <x v="1"/>
    <x v="9"/>
    <x v="2"/>
    <x v="1"/>
    <x v="0"/>
    <x v="0"/>
    <x v="80"/>
    <n v="72"/>
    <s v="C"/>
  </r>
  <r>
    <x v="289"/>
    <x v="1"/>
    <x v="42"/>
    <x v="20"/>
    <x v="52"/>
    <x v="0"/>
    <x v="0"/>
    <x v="1"/>
    <x v="0"/>
    <x v="110"/>
    <n v="74"/>
    <s v="C"/>
  </r>
  <r>
    <x v="290"/>
    <x v="0"/>
    <x v="22"/>
    <x v="100"/>
    <x v="23"/>
    <x v="2"/>
    <x v="0"/>
    <x v="1"/>
    <x v="0"/>
    <x v="215"/>
    <n v="95"/>
    <s v="A"/>
  </r>
  <r>
    <x v="291"/>
    <x v="0"/>
    <x v="27"/>
    <x v="1"/>
    <x v="32"/>
    <x v="1"/>
    <x v="0"/>
    <x v="1"/>
    <x v="0"/>
    <x v="216"/>
    <n v="100"/>
    <s v="A"/>
  </r>
  <r>
    <x v="292"/>
    <x v="0"/>
    <x v="2"/>
    <x v="17"/>
    <x v="11"/>
    <x v="3"/>
    <x v="0"/>
    <x v="1"/>
    <x v="1"/>
    <x v="205"/>
    <n v="85"/>
    <s v="B"/>
  </r>
  <r>
    <x v="293"/>
    <x v="1"/>
    <x v="13"/>
    <x v="163"/>
    <x v="0"/>
    <x v="3"/>
    <x v="0"/>
    <x v="0"/>
    <x v="1"/>
    <x v="217"/>
    <n v="94"/>
    <s v="A"/>
  </r>
  <r>
    <x v="294"/>
    <x v="1"/>
    <x v="21"/>
    <x v="48"/>
    <x v="35"/>
    <x v="3"/>
    <x v="0"/>
    <x v="1"/>
    <x v="0"/>
    <x v="218"/>
    <n v="100"/>
    <s v="A"/>
  </r>
  <r>
    <x v="295"/>
    <x v="1"/>
    <x v="22"/>
    <x v="131"/>
    <x v="28"/>
    <x v="2"/>
    <x v="0"/>
    <x v="0"/>
    <x v="0"/>
    <x v="219"/>
    <n v="82"/>
    <s v="B"/>
  </r>
  <r>
    <x v="296"/>
    <x v="1"/>
    <x v="40"/>
    <x v="193"/>
    <x v="28"/>
    <x v="0"/>
    <x v="0"/>
    <x v="0"/>
    <x v="0"/>
    <x v="173"/>
    <n v="71"/>
    <s v="C"/>
  </r>
  <r>
    <x v="297"/>
    <x v="0"/>
    <x v="5"/>
    <x v="108"/>
    <x v="38"/>
    <x v="1"/>
    <x v="0"/>
    <x v="0"/>
    <x v="0"/>
    <x v="220"/>
    <n v="90"/>
    <s v="B"/>
  </r>
  <r>
    <x v="298"/>
    <x v="0"/>
    <x v="34"/>
    <x v="194"/>
    <x v="23"/>
    <x v="3"/>
    <x v="1"/>
    <x v="0"/>
    <x v="0"/>
    <x v="13"/>
    <n v="69"/>
    <s v="D"/>
  </r>
  <r>
    <x v="299"/>
    <x v="1"/>
    <x v="21"/>
    <x v="15"/>
    <x v="23"/>
    <x v="3"/>
    <x v="0"/>
    <x v="1"/>
    <x v="1"/>
    <x v="221"/>
    <n v="82"/>
    <s v="B"/>
  </r>
  <r>
    <x v="300"/>
    <x v="0"/>
    <x v="28"/>
    <x v="115"/>
    <x v="27"/>
    <x v="0"/>
    <x v="0"/>
    <x v="0"/>
    <x v="1"/>
    <x v="93"/>
    <n v="81"/>
    <s v="B"/>
  </r>
  <r>
    <x v="301"/>
    <x v="0"/>
    <x v="55"/>
    <x v="147"/>
    <x v="5"/>
    <x v="1"/>
    <x v="0"/>
    <x v="0"/>
    <x v="0"/>
    <x v="23"/>
    <n v="82"/>
    <s v="B"/>
  </r>
  <r>
    <x v="302"/>
    <x v="0"/>
    <x v="21"/>
    <x v="42"/>
    <x v="38"/>
    <x v="0"/>
    <x v="0"/>
    <x v="0"/>
    <x v="0"/>
    <x v="222"/>
    <n v="91"/>
    <s v="A"/>
  </r>
  <r>
    <x v="303"/>
    <x v="1"/>
    <x v="5"/>
    <x v="195"/>
    <x v="22"/>
    <x v="1"/>
    <x v="1"/>
    <x v="1"/>
    <x v="0"/>
    <x v="223"/>
    <n v="82"/>
    <s v="B"/>
  </r>
  <r>
    <x v="304"/>
    <x v="1"/>
    <x v="56"/>
    <x v="51"/>
    <x v="9"/>
    <x v="0"/>
    <x v="0"/>
    <x v="1"/>
    <x v="1"/>
    <x v="97"/>
    <n v="83"/>
    <s v="B"/>
  </r>
  <r>
    <x v="305"/>
    <x v="0"/>
    <x v="49"/>
    <x v="110"/>
    <x v="0"/>
    <x v="0"/>
    <x v="0"/>
    <x v="0"/>
    <x v="0"/>
    <x v="58"/>
    <n v="81"/>
    <s v="B"/>
  </r>
  <r>
    <x v="306"/>
    <x v="1"/>
    <x v="18"/>
    <x v="196"/>
    <x v="29"/>
    <x v="3"/>
    <x v="0"/>
    <x v="0"/>
    <x v="1"/>
    <x v="224"/>
    <n v="87"/>
    <s v="B"/>
  </r>
  <r>
    <x v="307"/>
    <x v="1"/>
    <x v="17"/>
    <x v="9"/>
    <x v="30"/>
    <x v="1"/>
    <x v="0"/>
    <x v="0"/>
    <x v="1"/>
    <x v="64"/>
    <n v="73"/>
    <s v="C"/>
  </r>
  <r>
    <x v="308"/>
    <x v="1"/>
    <x v="17"/>
    <x v="197"/>
    <x v="23"/>
    <x v="0"/>
    <x v="0"/>
    <x v="1"/>
    <x v="0"/>
    <x v="225"/>
    <n v="85"/>
    <s v="B"/>
  </r>
  <r>
    <x v="309"/>
    <x v="1"/>
    <x v="56"/>
    <x v="1"/>
    <x v="34"/>
    <x v="1"/>
    <x v="0"/>
    <x v="1"/>
    <x v="1"/>
    <x v="54"/>
    <n v="83"/>
    <s v="B"/>
  </r>
  <r>
    <x v="310"/>
    <x v="1"/>
    <x v="0"/>
    <x v="118"/>
    <x v="25"/>
    <x v="1"/>
    <x v="0"/>
    <x v="0"/>
    <x v="0"/>
    <x v="116"/>
    <n v="83"/>
    <s v="B"/>
  </r>
  <r>
    <x v="311"/>
    <x v="0"/>
    <x v="61"/>
    <x v="5"/>
    <x v="16"/>
    <x v="3"/>
    <x v="0"/>
    <x v="1"/>
    <x v="1"/>
    <x v="226"/>
    <n v="63"/>
    <s v="D"/>
  </r>
  <r>
    <x v="312"/>
    <x v="1"/>
    <x v="2"/>
    <x v="28"/>
    <x v="22"/>
    <x v="2"/>
    <x v="0"/>
    <x v="0"/>
    <x v="0"/>
    <x v="227"/>
    <n v="100"/>
    <s v="A"/>
  </r>
  <r>
    <x v="313"/>
    <x v="0"/>
    <x v="46"/>
    <x v="8"/>
    <x v="15"/>
    <x v="0"/>
    <x v="0"/>
    <x v="1"/>
    <x v="0"/>
    <x v="102"/>
    <n v="79"/>
    <s v="C"/>
  </r>
  <r>
    <x v="314"/>
    <x v="0"/>
    <x v="40"/>
    <x v="198"/>
    <x v="24"/>
    <x v="3"/>
    <x v="0"/>
    <x v="0"/>
    <x v="0"/>
    <x v="228"/>
    <n v="100"/>
    <s v="A"/>
  </r>
  <r>
    <x v="315"/>
    <x v="1"/>
    <x v="33"/>
    <x v="43"/>
    <x v="25"/>
    <x v="4"/>
    <x v="0"/>
    <x v="0"/>
    <x v="0"/>
    <x v="229"/>
    <n v="100"/>
    <s v="A"/>
  </r>
  <r>
    <x v="316"/>
    <x v="0"/>
    <x v="24"/>
    <x v="98"/>
    <x v="41"/>
    <x v="3"/>
    <x v="1"/>
    <x v="0"/>
    <x v="1"/>
    <x v="230"/>
    <n v="73"/>
    <s v="C"/>
  </r>
  <r>
    <x v="317"/>
    <x v="0"/>
    <x v="37"/>
    <x v="199"/>
    <x v="3"/>
    <x v="1"/>
    <x v="1"/>
    <x v="0"/>
    <x v="0"/>
    <x v="136"/>
    <n v="79"/>
    <s v="C"/>
  </r>
  <r>
    <x v="318"/>
    <x v="0"/>
    <x v="23"/>
    <x v="200"/>
    <x v="21"/>
    <x v="2"/>
    <x v="0"/>
    <x v="1"/>
    <x v="0"/>
    <x v="171"/>
    <n v="84"/>
    <s v="B"/>
  </r>
  <r>
    <x v="319"/>
    <x v="1"/>
    <x v="17"/>
    <x v="190"/>
    <x v="25"/>
    <x v="0"/>
    <x v="0"/>
    <x v="0"/>
    <x v="1"/>
    <x v="231"/>
    <n v="81"/>
    <s v="B"/>
  </r>
  <r>
    <x v="320"/>
    <x v="1"/>
    <x v="61"/>
    <x v="60"/>
    <x v="10"/>
    <x v="1"/>
    <x v="0"/>
    <x v="1"/>
    <x v="0"/>
    <x v="232"/>
    <n v="85"/>
    <s v="B"/>
  </r>
  <r>
    <x v="321"/>
    <x v="0"/>
    <x v="27"/>
    <x v="1"/>
    <x v="29"/>
    <x v="1"/>
    <x v="0"/>
    <x v="1"/>
    <x v="1"/>
    <x v="96"/>
    <n v="93"/>
    <s v="A"/>
  </r>
  <r>
    <x v="322"/>
    <x v="1"/>
    <x v="35"/>
    <x v="69"/>
    <x v="28"/>
    <x v="0"/>
    <x v="0"/>
    <x v="0"/>
    <x v="0"/>
    <x v="125"/>
    <n v="74"/>
    <s v="C"/>
  </r>
  <r>
    <x v="323"/>
    <x v="1"/>
    <x v="47"/>
    <x v="10"/>
    <x v="53"/>
    <x v="1"/>
    <x v="0"/>
    <x v="0"/>
    <x v="0"/>
    <x v="233"/>
    <n v="91"/>
    <s v="A"/>
  </r>
  <r>
    <x v="324"/>
    <x v="1"/>
    <x v="45"/>
    <x v="199"/>
    <x v="37"/>
    <x v="1"/>
    <x v="0"/>
    <x v="0"/>
    <x v="1"/>
    <x v="234"/>
    <n v="81"/>
    <s v="B"/>
  </r>
  <r>
    <x v="325"/>
    <x v="1"/>
    <x v="38"/>
    <x v="73"/>
    <x v="19"/>
    <x v="1"/>
    <x v="0"/>
    <x v="1"/>
    <x v="0"/>
    <x v="235"/>
    <n v="89"/>
    <s v="B"/>
  </r>
  <r>
    <x v="326"/>
    <x v="0"/>
    <x v="40"/>
    <x v="201"/>
    <x v="27"/>
    <x v="3"/>
    <x v="1"/>
    <x v="0"/>
    <x v="0"/>
    <x v="167"/>
    <n v="64"/>
    <s v="D"/>
  </r>
  <r>
    <x v="327"/>
    <x v="0"/>
    <x v="39"/>
    <x v="170"/>
    <x v="8"/>
    <x v="4"/>
    <x v="0"/>
    <x v="0"/>
    <x v="0"/>
    <x v="47"/>
    <n v="83"/>
    <s v="B"/>
  </r>
  <r>
    <x v="328"/>
    <x v="1"/>
    <x v="38"/>
    <x v="202"/>
    <x v="23"/>
    <x v="1"/>
    <x v="0"/>
    <x v="0"/>
    <x v="0"/>
    <x v="236"/>
    <n v="64"/>
    <s v="D"/>
  </r>
  <r>
    <x v="329"/>
    <x v="1"/>
    <x v="49"/>
    <x v="203"/>
    <x v="54"/>
    <x v="4"/>
    <x v="0"/>
    <x v="1"/>
    <x v="0"/>
    <x v="237"/>
    <n v="97"/>
    <s v="A"/>
  </r>
  <r>
    <x v="330"/>
    <x v="0"/>
    <x v="19"/>
    <x v="178"/>
    <x v="35"/>
    <x v="4"/>
    <x v="0"/>
    <x v="0"/>
    <x v="0"/>
    <x v="145"/>
    <n v="97"/>
    <s v="A"/>
  </r>
  <r>
    <x v="331"/>
    <x v="0"/>
    <x v="19"/>
    <x v="179"/>
    <x v="2"/>
    <x v="3"/>
    <x v="1"/>
    <x v="0"/>
    <x v="0"/>
    <x v="238"/>
    <n v="93"/>
    <s v="A"/>
  </r>
  <r>
    <x v="332"/>
    <x v="1"/>
    <x v="56"/>
    <x v="204"/>
    <x v="13"/>
    <x v="1"/>
    <x v="0"/>
    <x v="0"/>
    <x v="1"/>
    <x v="239"/>
    <n v="83"/>
    <s v="B"/>
  </r>
  <r>
    <x v="333"/>
    <x v="0"/>
    <x v="38"/>
    <x v="76"/>
    <x v="11"/>
    <x v="3"/>
    <x v="0"/>
    <x v="0"/>
    <x v="0"/>
    <x v="107"/>
    <n v="81"/>
    <s v="B"/>
  </r>
  <r>
    <x v="334"/>
    <x v="1"/>
    <x v="0"/>
    <x v="28"/>
    <x v="55"/>
    <x v="2"/>
    <x v="0"/>
    <x v="1"/>
    <x v="0"/>
    <x v="220"/>
    <n v="89"/>
    <s v="B"/>
  </r>
  <r>
    <x v="335"/>
    <x v="1"/>
    <x v="10"/>
    <x v="195"/>
    <x v="36"/>
    <x v="3"/>
    <x v="0"/>
    <x v="0"/>
    <x v="0"/>
    <x v="240"/>
    <n v="71"/>
    <s v="C"/>
  </r>
  <r>
    <x v="336"/>
    <x v="0"/>
    <x v="6"/>
    <x v="134"/>
    <x v="20"/>
    <x v="1"/>
    <x v="0"/>
    <x v="1"/>
    <x v="0"/>
    <x v="81"/>
    <n v="87"/>
    <s v="B"/>
  </r>
  <r>
    <x v="337"/>
    <x v="0"/>
    <x v="21"/>
    <x v="156"/>
    <x v="19"/>
    <x v="0"/>
    <x v="0"/>
    <x v="1"/>
    <x v="0"/>
    <x v="72"/>
    <n v="95"/>
    <s v="A"/>
  </r>
  <r>
    <x v="338"/>
    <x v="1"/>
    <x v="45"/>
    <x v="205"/>
    <x v="41"/>
    <x v="0"/>
    <x v="0"/>
    <x v="1"/>
    <x v="0"/>
    <x v="241"/>
    <n v="76"/>
    <s v="C"/>
  </r>
  <r>
    <x v="339"/>
    <x v="1"/>
    <x v="46"/>
    <x v="104"/>
    <x v="29"/>
    <x v="0"/>
    <x v="0"/>
    <x v="1"/>
    <x v="0"/>
    <x v="39"/>
    <n v="85"/>
    <s v="B"/>
  </r>
  <r>
    <x v="340"/>
    <x v="0"/>
    <x v="15"/>
    <x v="202"/>
    <x v="3"/>
    <x v="1"/>
    <x v="0"/>
    <x v="0"/>
    <x v="0"/>
    <x v="242"/>
    <n v="96"/>
    <s v="A"/>
  </r>
  <r>
    <x v="341"/>
    <x v="1"/>
    <x v="0"/>
    <x v="206"/>
    <x v="15"/>
    <x v="1"/>
    <x v="0"/>
    <x v="0"/>
    <x v="0"/>
    <x v="243"/>
    <n v="100"/>
    <s v="A"/>
  </r>
  <r>
    <x v="342"/>
    <x v="0"/>
    <x v="40"/>
    <x v="126"/>
    <x v="12"/>
    <x v="3"/>
    <x v="0"/>
    <x v="1"/>
    <x v="0"/>
    <x v="244"/>
    <n v="92"/>
    <s v="A"/>
  </r>
  <r>
    <x v="343"/>
    <x v="1"/>
    <x v="42"/>
    <x v="1"/>
    <x v="36"/>
    <x v="4"/>
    <x v="0"/>
    <x v="0"/>
    <x v="0"/>
    <x v="245"/>
    <n v="77"/>
    <s v="C"/>
  </r>
  <r>
    <x v="344"/>
    <x v="0"/>
    <x v="45"/>
    <x v="35"/>
    <x v="44"/>
    <x v="1"/>
    <x v="0"/>
    <x v="1"/>
    <x v="0"/>
    <x v="244"/>
    <n v="98"/>
    <s v="A"/>
  </r>
  <r>
    <x v="345"/>
    <x v="0"/>
    <x v="41"/>
    <x v="180"/>
    <x v="14"/>
    <x v="2"/>
    <x v="0"/>
    <x v="0"/>
    <x v="1"/>
    <x v="126"/>
    <n v="71"/>
    <s v="C"/>
  </r>
  <r>
    <x v="346"/>
    <x v="0"/>
    <x v="39"/>
    <x v="131"/>
    <x v="22"/>
    <x v="1"/>
    <x v="0"/>
    <x v="1"/>
    <x v="0"/>
    <x v="105"/>
    <n v="87"/>
    <s v="B"/>
  </r>
  <r>
    <x v="347"/>
    <x v="1"/>
    <x v="10"/>
    <x v="182"/>
    <x v="1"/>
    <x v="3"/>
    <x v="0"/>
    <x v="1"/>
    <x v="0"/>
    <x v="246"/>
    <n v="69"/>
    <s v="D"/>
  </r>
  <r>
    <x v="348"/>
    <x v="1"/>
    <x v="29"/>
    <x v="207"/>
    <x v="41"/>
    <x v="3"/>
    <x v="0"/>
    <x v="0"/>
    <x v="1"/>
    <x v="30"/>
    <n v="90"/>
    <s v="A"/>
  </r>
  <r>
    <x v="349"/>
    <x v="0"/>
    <x v="5"/>
    <x v="143"/>
    <x v="36"/>
    <x v="3"/>
    <x v="0"/>
    <x v="0"/>
    <x v="1"/>
    <x v="247"/>
    <n v="74"/>
    <s v="C"/>
  </r>
  <r>
    <x v="350"/>
    <x v="1"/>
    <x v="52"/>
    <x v="13"/>
    <x v="28"/>
    <x v="2"/>
    <x v="0"/>
    <x v="1"/>
    <x v="0"/>
    <x v="248"/>
    <n v="75"/>
    <s v="C"/>
  </r>
  <r>
    <x v="351"/>
    <x v="0"/>
    <x v="29"/>
    <x v="151"/>
    <x v="23"/>
    <x v="1"/>
    <x v="0"/>
    <x v="1"/>
    <x v="0"/>
    <x v="87"/>
    <n v="87"/>
    <s v="B"/>
  </r>
  <r>
    <x v="352"/>
    <x v="0"/>
    <x v="47"/>
    <x v="208"/>
    <x v="53"/>
    <x v="4"/>
    <x v="0"/>
    <x v="0"/>
    <x v="0"/>
    <x v="249"/>
    <n v="100"/>
    <s v="A"/>
  </r>
  <r>
    <x v="353"/>
    <x v="1"/>
    <x v="29"/>
    <x v="1"/>
    <x v="17"/>
    <x v="1"/>
    <x v="0"/>
    <x v="1"/>
    <x v="1"/>
    <x v="32"/>
    <n v="94"/>
    <s v="A"/>
  </r>
  <r>
    <x v="354"/>
    <x v="1"/>
    <x v="57"/>
    <x v="122"/>
    <x v="24"/>
    <x v="3"/>
    <x v="0"/>
    <x v="0"/>
    <x v="1"/>
    <x v="248"/>
    <n v="72"/>
    <s v="C"/>
  </r>
  <r>
    <x v="355"/>
    <x v="0"/>
    <x v="61"/>
    <x v="41"/>
    <x v="27"/>
    <x v="3"/>
    <x v="0"/>
    <x v="0"/>
    <x v="0"/>
    <x v="17"/>
    <n v="76"/>
    <s v="C"/>
  </r>
  <r>
    <x v="356"/>
    <x v="1"/>
    <x v="3"/>
    <x v="135"/>
    <x v="11"/>
    <x v="3"/>
    <x v="0"/>
    <x v="1"/>
    <x v="0"/>
    <x v="250"/>
    <n v="81"/>
    <s v="B"/>
  </r>
  <r>
    <x v="357"/>
    <x v="1"/>
    <x v="15"/>
    <x v="144"/>
    <x v="22"/>
    <x v="1"/>
    <x v="0"/>
    <x v="1"/>
    <x v="1"/>
    <x v="251"/>
    <n v="85"/>
    <s v="B"/>
  </r>
  <r>
    <x v="358"/>
    <x v="0"/>
    <x v="20"/>
    <x v="209"/>
    <x v="56"/>
    <x v="4"/>
    <x v="0"/>
    <x v="1"/>
    <x v="0"/>
    <x v="116"/>
    <n v="82"/>
    <s v="B"/>
  </r>
  <r>
    <x v="359"/>
    <x v="0"/>
    <x v="24"/>
    <x v="54"/>
    <x v="28"/>
    <x v="1"/>
    <x v="0"/>
    <x v="1"/>
    <x v="0"/>
    <x v="252"/>
    <n v="78"/>
    <s v="C"/>
  </r>
  <r>
    <x v="360"/>
    <x v="1"/>
    <x v="45"/>
    <x v="210"/>
    <x v="21"/>
    <x v="1"/>
    <x v="0"/>
    <x v="0"/>
    <x v="1"/>
    <x v="253"/>
    <n v="94"/>
    <s v="A"/>
  </r>
  <r>
    <x v="361"/>
    <x v="0"/>
    <x v="24"/>
    <x v="211"/>
    <x v="18"/>
    <x v="3"/>
    <x v="0"/>
    <x v="1"/>
    <x v="1"/>
    <x v="171"/>
    <n v="95"/>
    <s v="A"/>
  </r>
  <r>
    <x v="362"/>
    <x v="0"/>
    <x v="3"/>
    <x v="179"/>
    <x v="24"/>
    <x v="0"/>
    <x v="0"/>
    <x v="0"/>
    <x v="1"/>
    <x v="254"/>
    <n v="67"/>
    <s v="D"/>
  </r>
  <r>
    <x v="363"/>
    <x v="1"/>
    <x v="37"/>
    <x v="17"/>
    <x v="30"/>
    <x v="3"/>
    <x v="0"/>
    <x v="0"/>
    <x v="0"/>
    <x v="255"/>
    <n v="76"/>
    <s v="C"/>
  </r>
  <r>
    <x v="364"/>
    <x v="0"/>
    <x v="32"/>
    <x v="212"/>
    <x v="33"/>
    <x v="0"/>
    <x v="0"/>
    <x v="0"/>
    <x v="0"/>
    <x v="256"/>
    <n v="57"/>
    <s v="F"/>
  </r>
  <r>
    <x v="365"/>
    <x v="0"/>
    <x v="6"/>
    <x v="213"/>
    <x v="53"/>
    <x v="1"/>
    <x v="0"/>
    <x v="0"/>
    <x v="0"/>
    <x v="110"/>
    <n v="75"/>
    <s v="C"/>
  </r>
  <r>
    <x v="366"/>
    <x v="1"/>
    <x v="41"/>
    <x v="49"/>
    <x v="36"/>
    <x v="3"/>
    <x v="0"/>
    <x v="0"/>
    <x v="0"/>
    <x v="119"/>
    <n v="81"/>
    <s v="B"/>
  </r>
  <r>
    <x v="367"/>
    <x v="1"/>
    <x v="33"/>
    <x v="214"/>
    <x v="30"/>
    <x v="0"/>
    <x v="1"/>
    <x v="0"/>
    <x v="0"/>
    <x v="257"/>
    <n v="75"/>
    <s v="C"/>
  </r>
  <r>
    <x v="368"/>
    <x v="0"/>
    <x v="32"/>
    <x v="28"/>
    <x v="7"/>
    <x v="1"/>
    <x v="1"/>
    <x v="0"/>
    <x v="0"/>
    <x v="87"/>
    <n v="68"/>
    <s v="D"/>
  </r>
  <r>
    <x v="369"/>
    <x v="0"/>
    <x v="63"/>
    <x v="158"/>
    <x v="31"/>
    <x v="3"/>
    <x v="0"/>
    <x v="0"/>
    <x v="0"/>
    <x v="250"/>
    <n v="97"/>
    <s v="A"/>
  </r>
  <r>
    <x v="370"/>
    <x v="1"/>
    <x v="5"/>
    <x v="61"/>
    <x v="10"/>
    <x v="0"/>
    <x v="0"/>
    <x v="1"/>
    <x v="1"/>
    <x v="258"/>
    <n v="80"/>
    <s v="B"/>
  </r>
  <r>
    <x v="371"/>
    <x v="1"/>
    <x v="45"/>
    <x v="208"/>
    <x v="12"/>
    <x v="0"/>
    <x v="0"/>
    <x v="0"/>
    <x v="0"/>
    <x v="67"/>
    <n v="83"/>
    <s v="B"/>
  </r>
  <r>
    <x v="372"/>
    <x v="1"/>
    <x v="4"/>
    <x v="1"/>
    <x v="18"/>
    <x v="0"/>
    <x v="0"/>
    <x v="0"/>
    <x v="0"/>
    <x v="69"/>
    <n v="88"/>
    <s v="B"/>
  </r>
  <r>
    <x v="373"/>
    <x v="1"/>
    <x v="21"/>
    <x v="215"/>
    <x v="22"/>
    <x v="3"/>
    <x v="0"/>
    <x v="1"/>
    <x v="0"/>
    <x v="41"/>
    <n v="86"/>
    <s v="B"/>
  </r>
  <r>
    <x v="374"/>
    <x v="0"/>
    <x v="3"/>
    <x v="1"/>
    <x v="35"/>
    <x v="3"/>
    <x v="0"/>
    <x v="1"/>
    <x v="0"/>
    <x v="15"/>
    <n v="92"/>
    <s v="A"/>
  </r>
  <r>
    <x v="375"/>
    <x v="1"/>
    <x v="19"/>
    <x v="134"/>
    <x v="37"/>
    <x v="3"/>
    <x v="0"/>
    <x v="1"/>
    <x v="1"/>
    <x v="259"/>
    <n v="85"/>
    <s v="B"/>
  </r>
  <r>
    <x v="376"/>
    <x v="1"/>
    <x v="64"/>
    <x v="216"/>
    <x v="2"/>
    <x v="1"/>
    <x v="0"/>
    <x v="0"/>
    <x v="0"/>
    <x v="150"/>
    <n v="99"/>
    <s v="A"/>
  </r>
  <r>
    <x v="377"/>
    <x v="0"/>
    <x v="38"/>
    <x v="217"/>
    <x v="6"/>
    <x v="3"/>
    <x v="0"/>
    <x v="1"/>
    <x v="0"/>
    <x v="260"/>
    <n v="74"/>
    <s v="C"/>
  </r>
  <r>
    <x v="378"/>
    <x v="1"/>
    <x v="49"/>
    <x v="21"/>
    <x v="21"/>
    <x v="3"/>
    <x v="0"/>
    <x v="0"/>
    <x v="0"/>
    <x v="261"/>
    <n v="93"/>
    <s v="A"/>
  </r>
  <r>
    <x v="379"/>
    <x v="0"/>
    <x v="24"/>
    <x v="31"/>
    <x v="17"/>
    <x v="3"/>
    <x v="0"/>
    <x v="0"/>
    <x v="0"/>
    <x v="262"/>
    <n v="79"/>
    <s v="C"/>
  </r>
  <r>
    <x v="380"/>
    <x v="1"/>
    <x v="38"/>
    <x v="1"/>
    <x v="29"/>
    <x v="0"/>
    <x v="1"/>
    <x v="0"/>
    <x v="0"/>
    <x v="211"/>
    <n v="77"/>
    <s v="C"/>
  </r>
  <r>
    <x v="381"/>
    <x v="1"/>
    <x v="7"/>
    <x v="157"/>
    <x v="24"/>
    <x v="4"/>
    <x v="0"/>
    <x v="1"/>
    <x v="0"/>
    <x v="263"/>
    <n v="100"/>
    <s v="A"/>
  </r>
  <r>
    <x v="382"/>
    <x v="1"/>
    <x v="3"/>
    <x v="161"/>
    <x v="36"/>
    <x v="3"/>
    <x v="0"/>
    <x v="0"/>
    <x v="0"/>
    <x v="4"/>
    <n v="77"/>
    <s v="C"/>
  </r>
  <r>
    <x v="383"/>
    <x v="0"/>
    <x v="7"/>
    <x v="189"/>
    <x v="30"/>
    <x v="1"/>
    <x v="0"/>
    <x v="0"/>
    <x v="0"/>
    <x v="264"/>
    <n v="100"/>
    <s v="A"/>
  </r>
  <r>
    <x v="384"/>
    <x v="0"/>
    <x v="21"/>
    <x v="218"/>
    <x v="30"/>
    <x v="0"/>
    <x v="1"/>
    <x v="0"/>
    <x v="0"/>
    <x v="265"/>
    <n v="89"/>
    <s v="B"/>
  </r>
  <r>
    <x v="385"/>
    <x v="1"/>
    <x v="40"/>
    <x v="1"/>
    <x v="12"/>
    <x v="4"/>
    <x v="0"/>
    <x v="1"/>
    <x v="0"/>
    <x v="266"/>
    <n v="79"/>
    <s v="C"/>
  </r>
  <r>
    <x v="386"/>
    <x v="0"/>
    <x v="17"/>
    <x v="219"/>
    <x v="30"/>
    <x v="1"/>
    <x v="0"/>
    <x v="1"/>
    <x v="0"/>
    <x v="267"/>
    <n v="79"/>
    <s v="C"/>
  </r>
  <r>
    <x v="387"/>
    <x v="0"/>
    <x v="29"/>
    <x v="179"/>
    <x v="32"/>
    <x v="2"/>
    <x v="0"/>
    <x v="0"/>
    <x v="0"/>
    <x v="171"/>
    <n v="100"/>
    <s v="A"/>
  </r>
  <r>
    <x v="388"/>
    <x v="0"/>
    <x v="17"/>
    <x v="220"/>
    <x v="36"/>
    <x v="3"/>
    <x v="0"/>
    <x v="1"/>
    <x v="1"/>
    <x v="268"/>
    <n v="87"/>
    <s v="B"/>
  </r>
  <r>
    <x v="389"/>
    <x v="0"/>
    <x v="14"/>
    <x v="221"/>
    <x v="0"/>
    <x v="0"/>
    <x v="0"/>
    <x v="0"/>
    <x v="1"/>
    <x v="189"/>
    <n v="70"/>
    <s v="D"/>
  </r>
  <r>
    <x v="390"/>
    <x v="0"/>
    <x v="24"/>
    <x v="68"/>
    <x v="0"/>
    <x v="1"/>
    <x v="0"/>
    <x v="1"/>
    <x v="0"/>
    <x v="107"/>
    <n v="86"/>
    <s v="B"/>
  </r>
  <r>
    <x v="391"/>
    <x v="0"/>
    <x v="28"/>
    <x v="142"/>
    <x v="0"/>
    <x v="1"/>
    <x v="0"/>
    <x v="0"/>
    <x v="0"/>
    <x v="116"/>
    <n v="87"/>
    <s v="B"/>
  </r>
  <r>
    <x v="392"/>
    <x v="1"/>
    <x v="38"/>
    <x v="163"/>
    <x v="7"/>
    <x v="2"/>
    <x v="1"/>
    <x v="1"/>
    <x v="0"/>
    <x v="229"/>
    <n v="72"/>
    <s v="C"/>
  </r>
  <r>
    <x v="393"/>
    <x v="1"/>
    <x v="17"/>
    <x v="222"/>
    <x v="27"/>
    <x v="1"/>
    <x v="0"/>
    <x v="0"/>
    <x v="0"/>
    <x v="119"/>
    <n v="92"/>
    <s v="A"/>
  </r>
  <r>
    <x v="394"/>
    <x v="0"/>
    <x v="45"/>
    <x v="223"/>
    <x v="17"/>
    <x v="3"/>
    <x v="0"/>
    <x v="1"/>
    <x v="1"/>
    <x v="269"/>
    <n v="68"/>
    <s v="D"/>
  </r>
  <r>
    <x v="395"/>
    <x v="1"/>
    <x v="6"/>
    <x v="97"/>
    <x v="6"/>
    <x v="0"/>
    <x v="0"/>
    <x v="0"/>
    <x v="0"/>
    <x v="39"/>
    <n v="73"/>
    <s v="C"/>
  </r>
  <r>
    <x v="396"/>
    <x v="1"/>
    <x v="39"/>
    <x v="224"/>
    <x v="18"/>
    <x v="1"/>
    <x v="0"/>
    <x v="0"/>
    <x v="0"/>
    <x v="234"/>
    <n v="76"/>
    <s v="C"/>
  </r>
  <r>
    <x v="397"/>
    <x v="1"/>
    <x v="17"/>
    <x v="225"/>
    <x v="20"/>
    <x v="1"/>
    <x v="1"/>
    <x v="0"/>
    <x v="0"/>
    <x v="144"/>
    <n v="81"/>
    <s v="B"/>
  </r>
  <r>
    <x v="398"/>
    <x v="1"/>
    <x v="20"/>
    <x v="216"/>
    <x v="36"/>
    <x v="0"/>
    <x v="0"/>
    <x v="0"/>
    <x v="0"/>
    <x v="270"/>
    <n v="90"/>
    <s v="A"/>
  </r>
  <r>
    <x v="399"/>
    <x v="0"/>
    <x v="33"/>
    <x v="226"/>
    <x v="28"/>
    <x v="2"/>
    <x v="0"/>
    <x v="0"/>
    <x v="0"/>
    <x v="271"/>
    <n v="73"/>
    <s v="C"/>
  </r>
  <r>
    <x v="400"/>
    <x v="1"/>
    <x v="50"/>
    <x v="227"/>
    <x v="12"/>
    <x v="0"/>
    <x v="0"/>
    <x v="1"/>
    <x v="1"/>
    <x v="74"/>
    <n v="85"/>
    <s v="B"/>
  </r>
  <r>
    <x v="401"/>
    <x v="1"/>
    <x v="5"/>
    <x v="3"/>
    <x v="16"/>
    <x v="0"/>
    <x v="0"/>
    <x v="0"/>
    <x v="0"/>
    <x v="272"/>
    <n v="96"/>
    <s v="A"/>
  </r>
  <r>
    <x v="402"/>
    <x v="0"/>
    <x v="38"/>
    <x v="108"/>
    <x v="31"/>
    <x v="1"/>
    <x v="0"/>
    <x v="1"/>
    <x v="1"/>
    <x v="45"/>
    <n v="82"/>
    <s v="B"/>
  </r>
  <r>
    <x v="403"/>
    <x v="0"/>
    <x v="53"/>
    <x v="228"/>
    <x v="10"/>
    <x v="0"/>
    <x v="0"/>
    <x v="1"/>
    <x v="0"/>
    <x v="220"/>
    <n v="87"/>
    <s v="B"/>
  </r>
  <r>
    <x v="404"/>
    <x v="1"/>
    <x v="39"/>
    <x v="229"/>
    <x v="22"/>
    <x v="0"/>
    <x v="0"/>
    <x v="1"/>
    <x v="0"/>
    <x v="191"/>
    <n v="85"/>
    <s v="B"/>
  </r>
  <r>
    <x v="405"/>
    <x v="1"/>
    <x v="45"/>
    <x v="161"/>
    <x v="13"/>
    <x v="4"/>
    <x v="0"/>
    <x v="1"/>
    <x v="0"/>
    <x v="273"/>
    <n v="93"/>
    <s v="A"/>
  </r>
  <r>
    <x v="406"/>
    <x v="1"/>
    <x v="52"/>
    <x v="230"/>
    <x v="31"/>
    <x v="0"/>
    <x v="0"/>
    <x v="1"/>
    <x v="0"/>
    <x v="274"/>
    <n v="79"/>
    <s v="C"/>
  </r>
  <r>
    <x v="407"/>
    <x v="1"/>
    <x v="61"/>
    <x v="60"/>
    <x v="1"/>
    <x v="0"/>
    <x v="0"/>
    <x v="0"/>
    <x v="0"/>
    <x v="245"/>
    <n v="90"/>
    <s v="A"/>
  </r>
  <r>
    <x v="408"/>
    <x v="1"/>
    <x v="18"/>
    <x v="231"/>
    <x v="29"/>
    <x v="1"/>
    <x v="1"/>
    <x v="1"/>
    <x v="0"/>
    <x v="221"/>
    <n v="80"/>
    <s v="B"/>
  </r>
  <r>
    <x v="409"/>
    <x v="1"/>
    <x v="33"/>
    <x v="3"/>
    <x v="37"/>
    <x v="2"/>
    <x v="0"/>
    <x v="0"/>
    <x v="1"/>
    <x v="275"/>
    <n v="78"/>
    <s v="C"/>
  </r>
  <r>
    <x v="410"/>
    <x v="0"/>
    <x v="38"/>
    <x v="20"/>
    <x v="22"/>
    <x v="1"/>
    <x v="0"/>
    <x v="1"/>
    <x v="0"/>
    <x v="195"/>
    <n v="70"/>
    <s v="C"/>
  </r>
  <r>
    <x v="411"/>
    <x v="1"/>
    <x v="30"/>
    <x v="128"/>
    <x v="57"/>
    <x v="1"/>
    <x v="0"/>
    <x v="1"/>
    <x v="0"/>
    <x v="76"/>
    <n v="90"/>
    <s v="A"/>
  </r>
  <r>
    <x v="412"/>
    <x v="1"/>
    <x v="15"/>
    <x v="168"/>
    <x v="28"/>
    <x v="3"/>
    <x v="0"/>
    <x v="0"/>
    <x v="0"/>
    <x v="276"/>
    <n v="87"/>
    <s v="B"/>
  </r>
  <r>
    <x v="413"/>
    <x v="0"/>
    <x v="15"/>
    <x v="53"/>
    <x v="23"/>
    <x v="0"/>
    <x v="0"/>
    <x v="0"/>
    <x v="0"/>
    <x v="277"/>
    <n v="94"/>
    <s v="A"/>
  </r>
  <r>
    <x v="414"/>
    <x v="0"/>
    <x v="2"/>
    <x v="1"/>
    <x v="10"/>
    <x v="0"/>
    <x v="1"/>
    <x v="0"/>
    <x v="1"/>
    <x v="46"/>
    <n v="83"/>
    <s v="B"/>
  </r>
  <r>
    <x v="415"/>
    <x v="0"/>
    <x v="40"/>
    <x v="232"/>
    <x v="43"/>
    <x v="0"/>
    <x v="0"/>
    <x v="1"/>
    <x v="1"/>
    <x v="159"/>
    <n v="81"/>
    <s v="B"/>
  </r>
  <r>
    <x v="416"/>
    <x v="0"/>
    <x v="16"/>
    <x v="233"/>
    <x v="23"/>
    <x v="3"/>
    <x v="1"/>
    <x v="1"/>
    <x v="0"/>
    <x v="61"/>
    <n v="76"/>
    <s v="C"/>
  </r>
  <r>
    <x v="417"/>
    <x v="1"/>
    <x v="9"/>
    <x v="234"/>
    <x v="9"/>
    <x v="1"/>
    <x v="0"/>
    <x v="0"/>
    <x v="0"/>
    <x v="237"/>
    <n v="85"/>
    <s v="B"/>
  </r>
  <r>
    <x v="418"/>
    <x v="1"/>
    <x v="9"/>
    <x v="235"/>
    <x v="7"/>
    <x v="3"/>
    <x v="0"/>
    <x v="1"/>
    <x v="0"/>
    <x v="15"/>
    <n v="79"/>
    <s v="C"/>
  </r>
  <r>
    <x v="419"/>
    <x v="1"/>
    <x v="56"/>
    <x v="236"/>
    <x v="57"/>
    <x v="0"/>
    <x v="1"/>
    <x v="1"/>
    <x v="0"/>
    <x v="7"/>
    <n v="73"/>
    <s v="C"/>
  </r>
  <r>
    <x v="420"/>
    <x v="1"/>
    <x v="45"/>
    <x v="27"/>
    <x v="7"/>
    <x v="0"/>
    <x v="0"/>
    <x v="0"/>
    <x v="1"/>
    <x v="278"/>
    <n v="70"/>
    <s v="D"/>
  </r>
  <r>
    <x v="421"/>
    <x v="1"/>
    <x v="9"/>
    <x v="28"/>
    <x v="37"/>
    <x v="0"/>
    <x v="1"/>
    <x v="0"/>
    <x v="0"/>
    <x v="279"/>
    <n v="90"/>
    <s v="B"/>
  </r>
  <r>
    <x v="422"/>
    <x v="1"/>
    <x v="13"/>
    <x v="236"/>
    <x v="2"/>
    <x v="1"/>
    <x v="0"/>
    <x v="1"/>
    <x v="1"/>
    <x v="280"/>
    <n v="77"/>
    <s v="C"/>
  </r>
  <r>
    <x v="423"/>
    <x v="0"/>
    <x v="4"/>
    <x v="153"/>
    <x v="13"/>
    <x v="3"/>
    <x v="1"/>
    <x v="1"/>
    <x v="0"/>
    <x v="103"/>
    <n v="65"/>
    <s v="D"/>
  </r>
  <r>
    <x v="424"/>
    <x v="1"/>
    <x v="46"/>
    <x v="159"/>
    <x v="7"/>
    <x v="0"/>
    <x v="0"/>
    <x v="1"/>
    <x v="1"/>
    <x v="174"/>
    <n v="82"/>
    <s v="B"/>
  </r>
  <r>
    <x v="425"/>
    <x v="0"/>
    <x v="9"/>
    <x v="237"/>
    <x v="6"/>
    <x v="1"/>
    <x v="0"/>
    <x v="0"/>
    <x v="0"/>
    <x v="134"/>
    <n v="86"/>
    <s v="B"/>
  </r>
  <r>
    <x v="426"/>
    <x v="0"/>
    <x v="51"/>
    <x v="1"/>
    <x v="33"/>
    <x v="0"/>
    <x v="0"/>
    <x v="0"/>
    <x v="1"/>
    <x v="230"/>
    <n v="100"/>
    <s v="A"/>
  </r>
  <r>
    <x v="427"/>
    <x v="1"/>
    <x v="45"/>
    <x v="153"/>
    <x v="28"/>
    <x v="2"/>
    <x v="0"/>
    <x v="0"/>
    <x v="0"/>
    <x v="251"/>
    <n v="100"/>
    <s v="A"/>
  </r>
  <r>
    <x v="428"/>
    <x v="0"/>
    <x v="29"/>
    <x v="130"/>
    <x v="48"/>
    <x v="0"/>
    <x v="0"/>
    <x v="0"/>
    <x v="0"/>
    <x v="171"/>
    <n v="100"/>
    <s v="A"/>
  </r>
  <r>
    <x v="429"/>
    <x v="1"/>
    <x v="59"/>
    <x v="75"/>
    <x v="17"/>
    <x v="2"/>
    <x v="0"/>
    <x v="0"/>
    <x v="0"/>
    <x v="52"/>
    <n v="72"/>
    <s v="C"/>
  </r>
  <r>
    <x v="430"/>
    <x v="0"/>
    <x v="52"/>
    <x v="238"/>
    <x v="27"/>
    <x v="1"/>
    <x v="0"/>
    <x v="1"/>
    <x v="0"/>
    <x v="281"/>
    <n v="81"/>
    <s v="B"/>
  </r>
  <r>
    <x v="431"/>
    <x v="1"/>
    <x v="50"/>
    <x v="95"/>
    <x v="23"/>
    <x v="1"/>
    <x v="0"/>
    <x v="0"/>
    <x v="0"/>
    <x v="282"/>
    <n v="100"/>
    <s v="A"/>
  </r>
  <r>
    <x v="432"/>
    <x v="0"/>
    <x v="16"/>
    <x v="63"/>
    <x v="24"/>
    <x v="1"/>
    <x v="0"/>
    <x v="1"/>
    <x v="1"/>
    <x v="283"/>
    <n v="80"/>
    <s v="C"/>
  </r>
  <r>
    <x v="433"/>
    <x v="1"/>
    <x v="33"/>
    <x v="239"/>
    <x v="42"/>
    <x v="0"/>
    <x v="0"/>
    <x v="0"/>
    <x v="0"/>
    <x v="108"/>
    <n v="89"/>
    <s v="B"/>
  </r>
  <r>
    <x v="434"/>
    <x v="1"/>
    <x v="40"/>
    <x v="69"/>
    <x v="0"/>
    <x v="1"/>
    <x v="0"/>
    <x v="1"/>
    <x v="0"/>
    <x v="73"/>
    <n v="78"/>
    <s v="C"/>
  </r>
  <r>
    <x v="435"/>
    <x v="1"/>
    <x v="31"/>
    <x v="216"/>
    <x v="17"/>
    <x v="1"/>
    <x v="0"/>
    <x v="0"/>
    <x v="1"/>
    <x v="284"/>
    <n v="93"/>
    <s v="A"/>
  </r>
  <r>
    <x v="436"/>
    <x v="1"/>
    <x v="60"/>
    <x v="35"/>
    <x v="7"/>
    <x v="2"/>
    <x v="0"/>
    <x v="0"/>
    <x v="1"/>
    <x v="225"/>
    <n v="100"/>
    <s v="A"/>
  </r>
  <r>
    <x v="437"/>
    <x v="1"/>
    <x v="56"/>
    <x v="49"/>
    <x v="8"/>
    <x v="3"/>
    <x v="0"/>
    <x v="0"/>
    <x v="0"/>
    <x v="285"/>
    <n v="77"/>
    <s v="C"/>
  </r>
  <r>
    <x v="438"/>
    <x v="0"/>
    <x v="9"/>
    <x v="183"/>
    <x v="7"/>
    <x v="3"/>
    <x v="0"/>
    <x v="1"/>
    <x v="0"/>
    <x v="70"/>
    <n v="79"/>
    <s v="C"/>
  </r>
  <r>
    <x v="439"/>
    <x v="0"/>
    <x v="51"/>
    <x v="67"/>
    <x v="14"/>
    <x v="1"/>
    <x v="1"/>
    <x v="1"/>
    <x v="0"/>
    <x v="190"/>
    <n v="100"/>
    <s v="A"/>
  </r>
  <r>
    <x v="440"/>
    <x v="0"/>
    <x v="36"/>
    <x v="240"/>
    <x v="44"/>
    <x v="1"/>
    <x v="0"/>
    <x v="0"/>
    <x v="0"/>
    <x v="286"/>
    <n v="99"/>
    <s v="A"/>
  </r>
  <r>
    <x v="441"/>
    <x v="1"/>
    <x v="40"/>
    <x v="174"/>
    <x v="7"/>
    <x v="1"/>
    <x v="0"/>
    <x v="0"/>
    <x v="1"/>
    <x v="131"/>
    <n v="88"/>
    <s v="B"/>
  </r>
  <r>
    <x v="442"/>
    <x v="0"/>
    <x v="55"/>
    <x v="122"/>
    <x v="2"/>
    <x v="3"/>
    <x v="0"/>
    <x v="1"/>
    <x v="1"/>
    <x v="287"/>
    <n v="85"/>
    <s v="B"/>
  </r>
  <r>
    <x v="443"/>
    <x v="1"/>
    <x v="28"/>
    <x v="53"/>
    <x v="28"/>
    <x v="2"/>
    <x v="0"/>
    <x v="0"/>
    <x v="0"/>
    <x v="264"/>
    <n v="86"/>
    <s v="B"/>
  </r>
  <r>
    <x v="444"/>
    <x v="1"/>
    <x v="6"/>
    <x v="204"/>
    <x v="58"/>
    <x v="0"/>
    <x v="0"/>
    <x v="0"/>
    <x v="1"/>
    <x v="31"/>
    <n v="81"/>
    <s v="B"/>
  </r>
  <r>
    <x v="445"/>
    <x v="0"/>
    <x v="32"/>
    <x v="241"/>
    <x v="1"/>
    <x v="1"/>
    <x v="0"/>
    <x v="1"/>
    <x v="0"/>
    <x v="234"/>
    <n v="80"/>
    <s v="C"/>
  </r>
  <r>
    <x v="446"/>
    <x v="0"/>
    <x v="41"/>
    <x v="208"/>
    <x v="53"/>
    <x v="0"/>
    <x v="0"/>
    <x v="1"/>
    <x v="0"/>
    <x v="192"/>
    <n v="79"/>
    <s v="C"/>
  </r>
  <r>
    <x v="447"/>
    <x v="1"/>
    <x v="42"/>
    <x v="140"/>
    <x v="0"/>
    <x v="1"/>
    <x v="0"/>
    <x v="0"/>
    <x v="1"/>
    <x v="142"/>
    <n v="87"/>
    <s v="B"/>
  </r>
  <r>
    <x v="448"/>
    <x v="0"/>
    <x v="38"/>
    <x v="68"/>
    <x v="0"/>
    <x v="0"/>
    <x v="0"/>
    <x v="0"/>
    <x v="0"/>
    <x v="288"/>
    <n v="91"/>
    <s v="A"/>
  </r>
  <r>
    <x v="449"/>
    <x v="1"/>
    <x v="52"/>
    <x v="242"/>
    <x v="28"/>
    <x v="0"/>
    <x v="0"/>
    <x v="1"/>
    <x v="1"/>
    <x v="289"/>
    <n v="65"/>
    <s v="D"/>
  </r>
  <r>
    <x v="450"/>
    <x v="1"/>
    <x v="25"/>
    <x v="93"/>
    <x v="55"/>
    <x v="3"/>
    <x v="1"/>
    <x v="0"/>
    <x v="0"/>
    <x v="290"/>
    <n v="78"/>
    <s v="C"/>
  </r>
  <r>
    <x v="451"/>
    <x v="1"/>
    <x v="41"/>
    <x v="164"/>
    <x v="14"/>
    <x v="1"/>
    <x v="0"/>
    <x v="0"/>
    <x v="1"/>
    <x v="291"/>
    <n v="82"/>
    <s v="B"/>
  </r>
  <r>
    <x v="452"/>
    <x v="1"/>
    <x v="29"/>
    <x v="114"/>
    <x v="59"/>
    <x v="1"/>
    <x v="0"/>
    <x v="1"/>
    <x v="0"/>
    <x v="292"/>
    <n v="93"/>
    <s v="A"/>
  </r>
  <r>
    <x v="453"/>
    <x v="1"/>
    <x v="46"/>
    <x v="63"/>
    <x v="30"/>
    <x v="2"/>
    <x v="1"/>
    <x v="1"/>
    <x v="0"/>
    <x v="293"/>
    <n v="85"/>
    <s v="B"/>
  </r>
  <r>
    <x v="454"/>
    <x v="0"/>
    <x v="38"/>
    <x v="69"/>
    <x v="23"/>
    <x v="1"/>
    <x v="0"/>
    <x v="0"/>
    <x v="0"/>
    <x v="121"/>
    <n v="81"/>
    <s v="B"/>
  </r>
  <r>
    <x v="455"/>
    <x v="0"/>
    <x v="30"/>
    <x v="229"/>
    <x v="5"/>
    <x v="1"/>
    <x v="0"/>
    <x v="1"/>
    <x v="0"/>
    <x v="294"/>
    <n v="73"/>
    <s v="C"/>
  </r>
  <r>
    <x v="456"/>
    <x v="1"/>
    <x v="22"/>
    <x v="81"/>
    <x v="19"/>
    <x v="1"/>
    <x v="0"/>
    <x v="1"/>
    <x v="1"/>
    <x v="25"/>
    <n v="69"/>
    <s v="D"/>
  </r>
  <r>
    <x v="457"/>
    <x v="1"/>
    <x v="39"/>
    <x v="91"/>
    <x v="18"/>
    <x v="1"/>
    <x v="1"/>
    <x v="0"/>
    <x v="0"/>
    <x v="295"/>
    <n v="90"/>
    <s v="B"/>
  </r>
  <r>
    <x v="458"/>
    <x v="0"/>
    <x v="19"/>
    <x v="243"/>
    <x v="21"/>
    <x v="0"/>
    <x v="1"/>
    <x v="1"/>
    <x v="0"/>
    <x v="34"/>
    <n v="83"/>
    <s v="B"/>
  </r>
  <r>
    <x v="459"/>
    <x v="0"/>
    <x v="5"/>
    <x v="244"/>
    <x v="20"/>
    <x v="3"/>
    <x v="0"/>
    <x v="0"/>
    <x v="0"/>
    <x v="70"/>
    <n v="87"/>
    <s v="B"/>
  </r>
  <r>
    <x v="460"/>
    <x v="1"/>
    <x v="52"/>
    <x v="245"/>
    <x v="13"/>
    <x v="1"/>
    <x v="0"/>
    <x v="0"/>
    <x v="1"/>
    <x v="296"/>
    <n v="98"/>
    <s v="A"/>
  </r>
  <r>
    <x v="461"/>
    <x v="0"/>
    <x v="62"/>
    <x v="246"/>
    <x v="37"/>
    <x v="0"/>
    <x v="0"/>
    <x v="1"/>
    <x v="0"/>
    <x v="277"/>
    <n v="100"/>
    <s v="A"/>
  </r>
  <r>
    <x v="462"/>
    <x v="1"/>
    <x v="44"/>
    <x v="247"/>
    <x v="13"/>
    <x v="3"/>
    <x v="0"/>
    <x v="0"/>
    <x v="1"/>
    <x v="258"/>
    <n v="95"/>
    <s v="A"/>
  </r>
  <r>
    <x v="463"/>
    <x v="0"/>
    <x v="40"/>
    <x v="149"/>
    <x v="36"/>
    <x v="0"/>
    <x v="0"/>
    <x v="0"/>
    <x v="0"/>
    <x v="152"/>
    <n v="94"/>
    <s v="A"/>
  </r>
  <r>
    <x v="464"/>
    <x v="1"/>
    <x v="3"/>
    <x v="49"/>
    <x v="13"/>
    <x v="4"/>
    <x v="1"/>
    <x v="0"/>
    <x v="1"/>
    <x v="116"/>
    <n v="63"/>
    <s v="D"/>
  </r>
  <r>
    <x v="465"/>
    <x v="0"/>
    <x v="40"/>
    <x v="1"/>
    <x v="17"/>
    <x v="4"/>
    <x v="0"/>
    <x v="0"/>
    <x v="0"/>
    <x v="30"/>
    <n v="100"/>
    <s v="A"/>
  </r>
  <r>
    <x v="466"/>
    <x v="1"/>
    <x v="44"/>
    <x v="248"/>
    <x v="20"/>
    <x v="1"/>
    <x v="0"/>
    <x v="1"/>
    <x v="1"/>
    <x v="79"/>
    <n v="77"/>
    <s v="C"/>
  </r>
  <r>
    <x v="467"/>
    <x v="0"/>
    <x v="8"/>
    <x v="166"/>
    <x v="21"/>
    <x v="3"/>
    <x v="0"/>
    <x v="1"/>
    <x v="0"/>
    <x v="241"/>
    <n v="89"/>
    <s v="B"/>
  </r>
  <r>
    <x v="468"/>
    <x v="0"/>
    <x v="31"/>
    <x v="17"/>
    <x v="44"/>
    <x v="0"/>
    <x v="0"/>
    <x v="1"/>
    <x v="0"/>
    <x v="220"/>
    <n v="100"/>
    <s v="A"/>
  </r>
  <r>
    <x v="469"/>
    <x v="1"/>
    <x v="3"/>
    <x v="167"/>
    <x v="36"/>
    <x v="2"/>
    <x v="0"/>
    <x v="0"/>
    <x v="1"/>
    <x v="22"/>
    <n v="90"/>
    <s v="B"/>
  </r>
  <r>
    <x v="470"/>
    <x v="0"/>
    <x v="42"/>
    <x v="249"/>
    <x v="12"/>
    <x v="0"/>
    <x v="0"/>
    <x v="0"/>
    <x v="0"/>
    <x v="297"/>
    <n v="88"/>
    <s v="B"/>
  </r>
  <r>
    <x v="471"/>
    <x v="1"/>
    <x v="5"/>
    <x v="21"/>
    <x v="0"/>
    <x v="2"/>
    <x v="1"/>
    <x v="0"/>
    <x v="1"/>
    <x v="298"/>
    <n v="68"/>
    <s v="D"/>
  </r>
  <r>
    <x v="472"/>
    <x v="0"/>
    <x v="40"/>
    <x v="140"/>
    <x v="26"/>
    <x v="3"/>
    <x v="1"/>
    <x v="0"/>
    <x v="0"/>
    <x v="130"/>
    <n v="82"/>
    <s v="B"/>
  </r>
  <r>
    <x v="473"/>
    <x v="1"/>
    <x v="17"/>
    <x v="250"/>
    <x v="10"/>
    <x v="1"/>
    <x v="0"/>
    <x v="0"/>
    <x v="0"/>
    <x v="299"/>
    <n v="94"/>
    <s v="A"/>
  </r>
  <r>
    <x v="474"/>
    <x v="0"/>
    <x v="45"/>
    <x v="69"/>
    <x v="36"/>
    <x v="0"/>
    <x v="1"/>
    <x v="1"/>
    <x v="0"/>
    <x v="35"/>
    <n v="91"/>
    <s v="A"/>
  </r>
  <r>
    <x v="475"/>
    <x v="1"/>
    <x v="23"/>
    <x v="206"/>
    <x v="27"/>
    <x v="2"/>
    <x v="0"/>
    <x v="1"/>
    <x v="0"/>
    <x v="124"/>
    <n v="85"/>
    <s v="B"/>
  </r>
  <r>
    <x v="476"/>
    <x v="0"/>
    <x v="25"/>
    <x v="138"/>
    <x v="20"/>
    <x v="4"/>
    <x v="0"/>
    <x v="1"/>
    <x v="1"/>
    <x v="300"/>
    <n v="100"/>
    <s v="A"/>
  </r>
  <r>
    <x v="477"/>
    <x v="1"/>
    <x v="7"/>
    <x v="251"/>
    <x v="35"/>
    <x v="1"/>
    <x v="0"/>
    <x v="0"/>
    <x v="0"/>
    <x v="31"/>
    <n v="100"/>
    <s v="A"/>
  </r>
  <r>
    <x v="478"/>
    <x v="0"/>
    <x v="3"/>
    <x v="0"/>
    <x v="24"/>
    <x v="3"/>
    <x v="0"/>
    <x v="1"/>
    <x v="1"/>
    <x v="31"/>
    <n v="87"/>
    <s v="B"/>
  </r>
  <r>
    <x v="479"/>
    <x v="1"/>
    <x v="55"/>
    <x v="252"/>
    <x v="28"/>
    <x v="1"/>
    <x v="1"/>
    <x v="0"/>
    <x v="0"/>
    <x v="301"/>
    <n v="85"/>
    <s v="B"/>
  </r>
  <r>
    <x v="480"/>
    <x v="1"/>
    <x v="52"/>
    <x v="172"/>
    <x v="37"/>
    <x v="1"/>
    <x v="0"/>
    <x v="0"/>
    <x v="0"/>
    <x v="259"/>
    <n v="90"/>
    <s v="B"/>
  </r>
  <r>
    <x v="481"/>
    <x v="1"/>
    <x v="0"/>
    <x v="253"/>
    <x v="1"/>
    <x v="0"/>
    <x v="0"/>
    <x v="1"/>
    <x v="0"/>
    <x v="125"/>
    <n v="92"/>
    <s v="A"/>
  </r>
  <r>
    <x v="482"/>
    <x v="0"/>
    <x v="30"/>
    <x v="240"/>
    <x v="27"/>
    <x v="1"/>
    <x v="0"/>
    <x v="1"/>
    <x v="1"/>
    <x v="191"/>
    <n v="87"/>
    <s v="B"/>
  </r>
  <r>
    <x v="483"/>
    <x v="1"/>
    <x v="65"/>
    <x v="254"/>
    <x v="44"/>
    <x v="3"/>
    <x v="0"/>
    <x v="0"/>
    <x v="0"/>
    <x v="302"/>
    <n v="100"/>
    <s v="A"/>
  </r>
  <r>
    <x v="484"/>
    <x v="0"/>
    <x v="46"/>
    <x v="255"/>
    <x v="6"/>
    <x v="1"/>
    <x v="0"/>
    <x v="0"/>
    <x v="0"/>
    <x v="303"/>
    <n v="76"/>
    <s v="C"/>
  </r>
  <r>
    <x v="485"/>
    <x v="1"/>
    <x v="42"/>
    <x v="63"/>
    <x v="27"/>
    <x v="3"/>
    <x v="0"/>
    <x v="0"/>
    <x v="1"/>
    <x v="242"/>
    <n v="87"/>
    <s v="B"/>
  </r>
  <r>
    <x v="486"/>
    <x v="0"/>
    <x v="37"/>
    <x v="227"/>
    <x v="54"/>
    <x v="1"/>
    <x v="0"/>
    <x v="1"/>
    <x v="0"/>
    <x v="189"/>
    <n v="67"/>
    <s v="D"/>
  </r>
  <r>
    <x v="487"/>
    <x v="1"/>
    <x v="24"/>
    <x v="85"/>
    <x v="13"/>
    <x v="1"/>
    <x v="0"/>
    <x v="0"/>
    <x v="0"/>
    <x v="102"/>
    <n v="74"/>
    <s v="C"/>
  </r>
  <r>
    <x v="488"/>
    <x v="0"/>
    <x v="15"/>
    <x v="215"/>
    <x v="29"/>
    <x v="1"/>
    <x v="0"/>
    <x v="1"/>
    <x v="0"/>
    <x v="37"/>
    <n v="100"/>
    <s v="A"/>
  </r>
  <r>
    <x v="489"/>
    <x v="0"/>
    <x v="7"/>
    <x v="256"/>
    <x v="1"/>
    <x v="1"/>
    <x v="0"/>
    <x v="0"/>
    <x v="0"/>
    <x v="67"/>
    <n v="100"/>
    <s v="A"/>
  </r>
  <r>
    <x v="490"/>
    <x v="1"/>
    <x v="40"/>
    <x v="82"/>
    <x v="1"/>
    <x v="1"/>
    <x v="0"/>
    <x v="0"/>
    <x v="0"/>
    <x v="304"/>
    <n v="74"/>
    <s v="C"/>
  </r>
  <r>
    <x v="491"/>
    <x v="0"/>
    <x v="45"/>
    <x v="63"/>
    <x v="6"/>
    <x v="1"/>
    <x v="0"/>
    <x v="0"/>
    <x v="1"/>
    <x v="247"/>
    <n v="71"/>
    <s v="C"/>
  </r>
  <r>
    <x v="492"/>
    <x v="0"/>
    <x v="15"/>
    <x v="257"/>
    <x v="23"/>
    <x v="0"/>
    <x v="0"/>
    <x v="0"/>
    <x v="0"/>
    <x v="294"/>
    <n v="67"/>
    <s v="D"/>
  </r>
  <r>
    <x v="493"/>
    <x v="1"/>
    <x v="8"/>
    <x v="146"/>
    <x v="30"/>
    <x v="1"/>
    <x v="0"/>
    <x v="0"/>
    <x v="1"/>
    <x v="125"/>
    <n v="82"/>
    <s v="B"/>
  </r>
  <r>
    <x v="494"/>
    <x v="0"/>
    <x v="64"/>
    <x v="90"/>
    <x v="45"/>
    <x v="0"/>
    <x v="0"/>
    <x v="1"/>
    <x v="0"/>
    <x v="305"/>
    <n v="89"/>
    <s v="B"/>
  </r>
  <r>
    <x v="495"/>
    <x v="0"/>
    <x v="40"/>
    <x v="1"/>
    <x v="54"/>
    <x v="0"/>
    <x v="1"/>
    <x v="1"/>
    <x v="0"/>
    <x v="22"/>
    <n v="79"/>
    <s v="C"/>
  </r>
  <r>
    <x v="496"/>
    <x v="0"/>
    <x v="9"/>
    <x v="258"/>
    <x v="13"/>
    <x v="4"/>
    <x v="0"/>
    <x v="1"/>
    <x v="0"/>
    <x v="306"/>
    <n v="71"/>
    <s v="C"/>
  </r>
  <r>
    <x v="497"/>
    <x v="1"/>
    <x v="33"/>
    <x v="259"/>
    <x v="24"/>
    <x v="2"/>
    <x v="0"/>
    <x v="1"/>
    <x v="0"/>
    <x v="257"/>
    <n v="85"/>
    <s v="B"/>
  </r>
  <r>
    <x v="498"/>
    <x v="0"/>
    <x v="30"/>
    <x v="114"/>
    <x v="60"/>
    <x v="0"/>
    <x v="1"/>
    <x v="1"/>
    <x v="1"/>
    <x v="307"/>
    <n v="62"/>
    <s v="D"/>
  </r>
  <r>
    <x v="499"/>
    <x v="1"/>
    <x v="1"/>
    <x v="42"/>
    <x v="36"/>
    <x v="1"/>
    <x v="0"/>
    <x v="1"/>
    <x v="0"/>
    <x v="192"/>
    <n v="100"/>
    <s v="A"/>
  </r>
  <r>
    <x v="500"/>
    <x v="0"/>
    <x v="17"/>
    <x v="146"/>
    <x v="36"/>
    <x v="1"/>
    <x v="0"/>
    <x v="1"/>
    <x v="0"/>
    <x v="308"/>
    <n v="76"/>
    <s v="C"/>
  </r>
  <r>
    <x v="501"/>
    <x v="0"/>
    <x v="56"/>
    <x v="74"/>
    <x v="34"/>
    <x v="2"/>
    <x v="0"/>
    <x v="0"/>
    <x v="1"/>
    <x v="309"/>
    <n v="90"/>
    <s v="A"/>
  </r>
  <r>
    <x v="502"/>
    <x v="0"/>
    <x v="17"/>
    <x v="110"/>
    <x v="31"/>
    <x v="1"/>
    <x v="1"/>
    <x v="0"/>
    <x v="0"/>
    <x v="283"/>
    <n v="93"/>
    <s v="A"/>
  </r>
  <r>
    <x v="503"/>
    <x v="1"/>
    <x v="49"/>
    <x v="260"/>
    <x v="24"/>
    <x v="1"/>
    <x v="1"/>
    <x v="0"/>
    <x v="0"/>
    <x v="310"/>
    <n v="89"/>
    <s v="B"/>
  </r>
  <r>
    <x v="504"/>
    <x v="0"/>
    <x v="58"/>
    <x v="189"/>
    <x v="10"/>
    <x v="1"/>
    <x v="0"/>
    <x v="0"/>
    <x v="0"/>
    <x v="300"/>
    <n v="99"/>
    <s v="A"/>
  </r>
  <r>
    <x v="505"/>
    <x v="0"/>
    <x v="20"/>
    <x v="70"/>
    <x v="51"/>
    <x v="1"/>
    <x v="0"/>
    <x v="0"/>
    <x v="1"/>
    <x v="311"/>
    <n v="100"/>
    <s v="A"/>
  </r>
  <r>
    <x v="506"/>
    <x v="1"/>
    <x v="33"/>
    <x v="76"/>
    <x v="38"/>
    <x v="1"/>
    <x v="0"/>
    <x v="1"/>
    <x v="0"/>
    <x v="312"/>
    <n v="75"/>
    <s v="C"/>
  </r>
  <r>
    <x v="507"/>
    <x v="0"/>
    <x v="8"/>
    <x v="261"/>
    <x v="21"/>
    <x v="3"/>
    <x v="1"/>
    <x v="0"/>
    <x v="1"/>
    <x v="106"/>
    <n v="73"/>
    <s v="C"/>
  </r>
  <r>
    <x v="508"/>
    <x v="1"/>
    <x v="31"/>
    <x v="203"/>
    <x v="27"/>
    <x v="1"/>
    <x v="1"/>
    <x v="0"/>
    <x v="1"/>
    <x v="313"/>
    <n v="76"/>
    <s v="C"/>
  </r>
  <r>
    <x v="509"/>
    <x v="1"/>
    <x v="30"/>
    <x v="7"/>
    <x v="43"/>
    <x v="0"/>
    <x v="0"/>
    <x v="0"/>
    <x v="1"/>
    <x v="74"/>
    <n v="100"/>
    <s v="A"/>
  </r>
  <r>
    <x v="510"/>
    <x v="0"/>
    <x v="46"/>
    <x v="195"/>
    <x v="54"/>
    <x v="1"/>
    <x v="0"/>
    <x v="0"/>
    <x v="1"/>
    <x v="79"/>
    <n v="80"/>
    <s v="C"/>
  </r>
  <r>
    <x v="511"/>
    <x v="1"/>
    <x v="19"/>
    <x v="1"/>
    <x v="33"/>
    <x v="1"/>
    <x v="0"/>
    <x v="0"/>
    <x v="1"/>
    <x v="151"/>
    <n v="88"/>
    <s v="B"/>
  </r>
  <r>
    <x v="512"/>
    <x v="0"/>
    <x v="8"/>
    <x v="23"/>
    <x v="0"/>
    <x v="2"/>
    <x v="0"/>
    <x v="0"/>
    <x v="0"/>
    <x v="1"/>
    <n v="89"/>
    <s v="B"/>
  </r>
  <r>
    <x v="513"/>
    <x v="1"/>
    <x v="42"/>
    <x v="182"/>
    <x v="21"/>
    <x v="1"/>
    <x v="0"/>
    <x v="0"/>
    <x v="0"/>
    <x v="314"/>
    <n v="78"/>
    <s v="C"/>
  </r>
  <r>
    <x v="514"/>
    <x v="1"/>
    <x v="39"/>
    <x v="89"/>
    <x v="7"/>
    <x v="3"/>
    <x v="0"/>
    <x v="0"/>
    <x v="1"/>
    <x v="315"/>
    <n v="97"/>
    <s v="A"/>
  </r>
  <r>
    <x v="515"/>
    <x v="0"/>
    <x v="55"/>
    <x v="173"/>
    <x v="31"/>
    <x v="0"/>
    <x v="0"/>
    <x v="1"/>
    <x v="1"/>
    <x v="294"/>
    <n v="79"/>
    <s v="C"/>
  </r>
  <r>
    <x v="516"/>
    <x v="1"/>
    <x v="15"/>
    <x v="46"/>
    <x v="13"/>
    <x v="1"/>
    <x v="0"/>
    <x v="1"/>
    <x v="0"/>
    <x v="194"/>
    <n v="84"/>
    <s v="B"/>
  </r>
  <r>
    <x v="517"/>
    <x v="1"/>
    <x v="13"/>
    <x v="126"/>
    <x v="23"/>
    <x v="2"/>
    <x v="1"/>
    <x v="0"/>
    <x v="0"/>
    <x v="197"/>
    <n v="86"/>
    <s v="B"/>
  </r>
  <r>
    <x v="518"/>
    <x v="1"/>
    <x v="45"/>
    <x v="261"/>
    <x v="5"/>
    <x v="1"/>
    <x v="0"/>
    <x v="0"/>
    <x v="1"/>
    <x v="316"/>
    <n v="68"/>
    <s v="D"/>
  </r>
  <r>
    <x v="519"/>
    <x v="1"/>
    <x v="16"/>
    <x v="175"/>
    <x v="38"/>
    <x v="4"/>
    <x v="0"/>
    <x v="0"/>
    <x v="1"/>
    <x v="222"/>
    <n v="81"/>
    <s v="B"/>
  </r>
  <r>
    <x v="520"/>
    <x v="1"/>
    <x v="6"/>
    <x v="262"/>
    <x v="31"/>
    <x v="1"/>
    <x v="0"/>
    <x v="1"/>
    <x v="1"/>
    <x v="76"/>
    <n v="65"/>
    <s v="D"/>
  </r>
  <r>
    <x v="521"/>
    <x v="0"/>
    <x v="21"/>
    <x v="263"/>
    <x v="18"/>
    <x v="4"/>
    <x v="1"/>
    <x v="0"/>
    <x v="1"/>
    <x v="22"/>
    <n v="72"/>
    <s v="C"/>
  </r>
  <r>
    <x v="522"/>
    <x v="1"/>
    <x v="30"/>
    <x v="248"/>
    <x v="31"/>
    <x v="1"/>
    <x v="0"/>
    <x v="0"/>
    <x v="1"/>
    <x v="155"/>
    <n v="85"/>
    <s v="B"/>
  </r>
  <r>
    <x v="523"/>
    <x v="0"/>
    <x v="66"/>
    <x v="6"/>
    <x v="44"/>
    <x v="0"/>
    <x v="0"/>
    <x v="1"/>
    <x v="0"/>
    <x v="192"/>
    <n v="100"/>
    <s v="A"/>
  </r>
  <r>
    <x v="524"/>
    <x v="1"/>
    <x v="56"/>
    <x v="1"/>
    <x v="36"/>
    <x v="3"/>
    <x v="0"/>
    <x v="0"/>
    <x v="1"/>
    <x v="133"/>
    <n v="82"/>
    <s v="B"/>
  </r>
  <r>
    <x v="525"/>
    <x v="0"/>
    <x v="45"/>
    <x v="1"/>
    <x v="23"/>
    <x v="2"/>
    <x v="0"/>
    <x v="0"/>
    <x v="0"/>
    <x v="233"/>
    <n v="87"/>
    <s v="B"/>
  </r>
  <r>
    <x v="526"/>
    <x v="0"/>
    <x v="52"/>
    <x v="264"/>
    <x v="12"/>
    <x v="2"/>
    <x v="0"/>
    <x v="0"/>
    <x v="1"/>
    <x v="49"/>
    <n v="85"/>
    <s v="B"/>
  </r>
  <r>
    <x v="527"/>
    <x v="1"/>
    <x v="36"/>
    <x v="211"/>
    <x v="38"/>
    <x v="3"/>
    <x v="0"/>
    <x v="1"/>
    <x v="0"/>
    <x v="34"/>
    <n v="96"/>
    <s v="A"/>
  </r>
  <r>
    <x v="528"/>
    <x v="1"/>
    <x v="38"/>
    <x v="235"/>
    <x v="35"/>
    <x v="4"/>
    <x v="1"/>
    <x v="1"/>
    <x v="0"/>
    <x v="317"/>
    <n v="84"/>
    <s v="B"/>
  </r>
  <r>
    <x v="529"/>
    <x v="1"/>
    <x v="52"/>
    <x v="202"/>
    <x v="48"/>
    <x v="1"/>
    <x v="0"/>
    <x v="1"/>
    <x v="0"/>
    <x v="28"/>
    <n v="85"/>
    <s v="B"/>
  </r>
  <r>
    <x v="530"/>
    <x v="0"/>
    <x v="17"/>
    <x v="265"/>
    <x v="30"/>
    <x v="1"/>
    <x v="0"/>
    <x v="0"/>
    <x v="0"/>
    <x v="113"/>
    <n v="95"/>
    <s v="A"/>
  </r>
  <r>
    <x v="531"/>
    <x v="1"/>
    <x v="45"/>
    <x v="219"/>
    <x v="35"/>
    <x v="1"/>
    <x v="0"/>
    <x v="0"/>
    <x v="0"/>
    <x v="318"/>
    <n v="90"/>
    <s v="B"/>
  </r>
  <r>
    <x v="532"/>
    <x v="0"/>
    <x v="9"/>
    <x v="41"/>
    <x v="11"/>
    <x v="0"/>
    <x v="0"/>
    <x v="1"/>
    <x v="0"/>
    <x v="256"/>
    <n v="69"/>
    <s v="D"/>
  </r>
  <r>
    <x v="533"/>
    <x v="0"/>
    <x v="45"/>
    <x v="110"/>
    <x v="15"/>
    <x v="0"/>
    <x v="0"/>
    <x v="1"/>
    <x v="0"/>
    <x v="319"/>
    <n v="93"/>
    <s v="A"/>
  </r>
  <r>
    <x v="534"/>
    <x v="0"/>
    <x v="33"/>
    <x v="266"/>
    <x v="12"/>
    <x v="0"/>
    <x v="0"/>
    <x v="0"/>
    <x v="0"/>
    <x v="282"/>
    <n v="81"/>
    <s v="B"/>
  </r>
  <r>
    <x v="535"/>
    <x v="1"/>
    <x v="41"/>
    <x v="57"/>
    <x v="38"/>
    <x v="1"/>
    <x v="0"/>
    <x v="1"/>
    <x v="0"/>
    <x v="320"/>
    <n v="78"/>
    <s v="C"/>
  </r>
  <r>
    <x v="536"/>
    <x v="1"/>
    <x v="19"/>
    <x v="151"/>
    <x v="30"/>
    <x v="3"/>
    <x v="0"/>
    <x v="0"/>
    <x v="0"/>
    <x v="321"/>
    <n v="88"/>
    <s v="B"/>
  </r>
  <r>
    <x v="537"/>
    <x v="0"/>
    <x v="24"/>
    <x v="54"/>
    <x v="7"/>
    <x v="1"/>
    <x v="0"/>
    <x v="0"/>
    <x v="0"/>
    <x v="322"/>
    <n v="86"/>
    <s v="B"/>
  </r>
  <r>
    <x v="538"/>
    <x v="0"/>
    <x v="8"/>
    <x v="1"/>
    <x v="11"/>
    <x v="1"/>
    <x v="0"/>
    <x v="1"/>
    <x v="0"/>
    <x v="300"/>
    <n v="100"/>
    <s v="A"/>
  </r>
  <r>
    <x v="539"/>
    <x v="1"/>
    <x v="23"/>
    <x v="192"/>
    <x v="21"/>
    <x v="0"/>
    <x v="0"/>
    <x v="0"/>
    <x v="1"/>
    <x v="323"/>
    <n v="57"/>
    <s v="F"/>
  </r>
  <r>
    <x v="540"/>
    <x v="0"/>
    <x v="40"/>
    <x v="267"/>
    <x v="7"/>
    <x v="3"/>
    <x v="1"/>
    <x v="1"/>
    <x v="1"/>
    <x v="324"/>
    <n v="76"/>
    <s v="C"/>
  </r>
  <r>
    <x v="541"/>
    <x v="1"/>
    <x v="39"/>
    <x v="162"/>
    <x v="21"/>
    <x v="3"/>
    <x v="0"/>
    <x v="0"/>
    <x v="0"/>
    <x v="106"/>
    <n v="87"/>
    <s v="B"/>
  </r>
  <r>
    <x v="542"/>
    <x v="0"/>
    <x v="25"/>
    <x v="268"/>
    <x v="53"/>
    <x v="0"/>
    <x v="0"/>
    <x v="0"/>
    <x v="1"/>
    <x v="325"/>
    <n v="89"/>
    <s v="B"/>
  </r>
  <r>
    <x v="543"/>
    <x v="1"/>
    <x v="38"/>
    <x v="1"/>
    <x v="3"/>
    <x v="1"/>
    <x v="0"/>
    <x v="1"/>
    <x v="0"/>
    <x v="326"/>
    <n v="92"/>
    <s v="A"/>
  </r>
  <r>
    <x v="544"/>
    <x v="0"/>
    <x v="40"/>
    <x v="258"/>
    <x v="17"/>
    <x v="0"/>
    <x v="0"/>
    <x v="1"/>
    <x v="1"/>
    <x v="302"/>
    <n v="66"/>
    <s v="D"/>
  </r>
  <r>
    <x v="545"/>
    <x v="1"/>
    <x v="1"/>
    <x v="211"/>
    <x v="31"/>
    <x v="1"/>
    <x v="0"/>
    <x v="0"/>
    <x v="0"/>
    <x v="3"/>
    <n v="100"/>
    <s v="A"/>
  </r>
  <r>
    <x v="546"/>
    <x v="0"/>
    <x v="59"/>
    <x v="110"/>
    <x v="1"/>
    <x v="0"/>
    <x v="1"/>
    <x v="0"/>
    <x v="0"/>
    <x v="315"/>
    <n v="71"/>
    <s v="C"/>
  </r>
  <r>
    <x v="547"/>
    <x v="1"/>
    <x v="35"/>
    <x v="261"/>
    <x v="2"/>
    <x v="0"/>
    <x v="0"/>
    <x v="1"/>
    <x v="0"/>
    <x v="327"/>
    <n v="89"/>
    <s v="B"/>
  </r>
  <r>
    <x v="548"/>
    <x v="1"/>
    <x v="5"/>
    <x v="1"/>
    <x v="2"/>
    <x v="1"/>
    <x v="0"/>
    <x v="0"/>
    <x v="0"/>
    <x v="217"/>
    <n v="100"/>
    <s v="A"/>
  </r>
  <r>
    <x v="549"/>
    <x v="0"/>
    <x v="40"/>
    <x v="224"/>
    <x v="19"/>
    <x v="1"/>
    <x v="0"/>
    <x v="1"/>
    <x v="0"/>
    <x v="328"/>
    <n v="85"/>
    <s v="B"/>
  </r>
  <r>
    <x v="550"/>
    <x v="0"/>
    <x v="41"/>
    <x v="269"/>
    <x v="13"/>
    <x v="2"/>
    <x v="0"/>
    <x v="1"/>
    <x v="0"/>
    <x v="109"/>
    <n v="75"/>
    <s v="C"/>
  </r>
  <r>
    <x v="551"/>
    <x v="1"/>
    <x v="21"/>
    <x v="117"/>
    <x v="0"/>
    <x v="2"/>
    <x v="0"/>
    <x v="0"/>
    <x v="0"/>
    <x v="329"/>
    <n v="100"/>
    <s v="A"/>
  </r>
  <r>
    <x v="552"/>
    <x v="0"/>
    <x v="52"/>
    <x v="104"/>
    <x v="58"/>
    <x v="0"/>
    <x v="0"/>
    <x v="0"/>
    <x v="1"/>
    <x v="74"/>
    <n v="79"/>
    <s v="C"/>
  </r>
  <r>
    <x v="553"/>
    <x v="1"/>
    <x v="40"/>
    <x v="270"/>
    <x v="31"/>
    <x v="1"/>
    <x v="0"/>
    <x v="0"/>
    <x v="0"/>
    <x v="127"/>
    <n v="83"/>
    <s v="B"/>
  </r>
  <r>
    <x v="554"/>
    <x v="0"/>
    <x v="61"/>
    <x v="37"/>
    <x v="3"/>
    <x v="1"/>
    <x v="1"/>
    <x v="1"/>
    <x v="0"/>
    <x v="303"/>
    <n v="63"/>
    <s v="D"/>
  </r>
  <r>
    <x v="555"/>
    <x v="1"/>
    <x v="50"/>
    <x v="191"/>
    <x v="36"/>
    <x v="0"/>
    <x v="0"/>
    <x v="0"/>
    <x v="0"/>
    <x v="211"/>
    <n v="81"/>
    <s v="B"/>
  </r>
  <r>
    <x v="556"/>
    <x v="1"/>
    <x v="30"/>
    <x v="27"/>
    <x v="35"/>
    <x v="2"/>
    <x v="0"/>
    <x v="0"/>
    <x v="0"/>
    <x v="133"/>
    <n v="81"/>
    <s v="B"/>
  </r>
  <r>
    <x v="557"/>
    <x v="1"/>
    <x v="38"/>
    <x v="271"/>
    <x v="30"/>
    <x v="1"/>
    <x v="0"/>
    <x v="0"/>
    <x v="0"/>
    <x v="330"/>
    <n v="73"/>
    <s v="C"/>
  </r>
  <r>
    <x v="558"/>
    <x v="1"/>
    <x v="1"/>
    <x v="156"/>
    <x v="23"/>
    <x v="3"/>
    <x v="0"/>
    <x v="1"/>
    <x v="1"/>
    <x v="331"/>
    <n v="100"/>
    <s v="A"/>
  </r>
  <r>
    <x v="559"/>
    <x v="1"/>
    <x v="18"/>
    <x v="7"/>
    <x v="18"/>
    <x v="1"/>
    <x v="0"/>
    <x v="0"/>
    <x v="1"/>
    <x v="117"/>
    <n v="74"/>
    <s v="C"/>
  </r>
  <r>
    <x v="560"/>
    <x v="1"/>
    <x v="23"/>
    <x v="58"/>
    <x v="11"/>
    <x v="2"/>
    <x v="0"/>
    <x v="0"/>
    <x v="0"/>
    <x v="332"/>
    <n v="68"/>
    <s v="D"/>
  </r>
  <r>
    <x v="561"/>
    <x v="0"/>
    <x v="44"/>
    <x v="114"/>
    <x v="61"/>
    <x v="0"/>
    <x v="1"/>
    <x v="1"/>
    <x v="0"/>
    <x v="204"/>
    <n v="84"/>
    <s v="B"/>
  </r>
  <r>
    <x v="562"/>
    <x v="0"/>
    <x v="38"/>
    <x v="253"/>
    <x v="30"/>
    <x v="3"/>
    <x v="1"/>
    <x v="1"/>
    <x v="0"/>
    <x v="333"/>
    <n v="75"/>
    <s v="C"/>
  </r>
  <r>
    <x v="563"/>
    <x v="0"/>
    <x v="52"/>
    <x v="272"/>
    <x v="58"/>
    <x v="1"/>
    <x v="1"/>
    <x v="1"/>
    <x v="1"/>
    <x v="146"/>
    <n v="79"/>
    <s v="C"/>
  </r>
  <r>
    <x v="564"/>
    <x v="1"/>
    <x v="28"/>
    <x v="107"/>
    <x v="26"/>
    <x v="0"/>
    <x v="0"/>
    <x v="0"/>
    <x v="0"/>
    <x v="334"/>
    <n v="83"/>
    <s v="B"/>
  </r>
  <r>
    <x v="565"/>
    <x v="1"/>
    <x v="0"/>
    <x v="80"/>
    <x v="38"/>
    <x v="1"/>
    <x v="0"/>
    <x v="0"/>
    <x v="0"/>
    <x v="335"/>
    <n v="100"/>
    <s v="A"/>
  </r>
  <r>
    <x v="566"/>
    <x v="1"/>
    <x v="61"/>
    <x v="273"/>
    <x v="27"/>
    <x v="1"/>
    <x v="0"/>
    <x v="1"/>
    <x v="0"/>
    <x v="171"/>
    <n v="93"/>
    <s v="A"/>
  </r>
  <r>
    <x v="567"/>
    <x v="1"/>
    <x v="51"/>
    <x v="49"/>
    <x v="19"/>
    <x v="2"/>
    <x v="0"/>
    <x v="0"/>
    <x v="1"/>
    <x v="270"/>
    <n v="99"/>
    <s v="A"/>
  </r>
  <r>
    <x v="568"/>
    <x v="0"/>
    <x v="38"/>
    <x v="116"/>
    <x v="1"/>
    <x v="2"/>
    <x v="0"/>
    <x v="1"/>
    <x v="1"/>
    <x v="336"/>
    <n v="76"/>
    <s v="C"/>
  </r>
  <r>
    <x v="569"/>
    <x v="0"/>
    <x v="49"/>
    <x v="158"/>
    <x v="33"/>
    <x v="4"/>
    <x v="0"/>
    <x v="1"/>
    <x v="1"/>
    <x v="337"/>
    <n v="91"/>
    <s v="A"/>
  </r>
  <r>
    <x v="570"/>
    <x v="1"/>
    <x v="0"/>
    <x v="274"/>
    <x v="2"/>
    <x v="0"/>
    <x v="0"/>
    <x v="0"/>
    <x v="1"/>
    <x v="57"/>
    <n v="63"/>
    <s v="D"/>
  </r>
  <r>
    <x v="571"/>
    <x v="0"/>
    <x v="5"/>
    <x v="1"/>
    <x v="0"/>
    <x v="3"/>
    <x v="0"/>
    <x v="1"/>
    <x v="1"/>
    <x v="206"/>
    <n v="85"/>
    <s v="B"/>
  </r>
  <r>
    <x v="572"/>
    <x v="0"/>
    <x v="17"/>
    <x v="275"/>
    <x v="26"/>
    <x v="1"/>
    <x v="0"/>
    <x v="1"/>
    <x v="1"/>
    <x v="52"/>
    <n v="89"/>
    <s v="B"/>
  </r>
  <r>
    <x v="573"/>
    <x v="1"/>
    <x v="5"/>
    <x v="78"/>
    <x v="20"/>
    <x v="1"/>
    <x v="0"/>
    <x v="0"/>
    <x v="0"/>
    <x v="30"/>
    <n v="75"/>
    <s v="C"/>
  </r>
  <r>
    <x v="574"/>
    <x v="0"/>
    <x v="30"/>
    <x v="272"/>
    <x v="37"/>
    <x v="1"/>
    <x v="0"/>
    <x v="0"/>
    <x v="0"/>
    <x v="338"/>
    <n v="85"/>
    <s v="B"/>
  </r>
  <r>
    <x v="575"/>
    <x v="1"/>
    <x v="11"/>
    <x v="140"/>
    <x v="13"/>
    <x v="0"/>
    <x v="0"/>
    <x v="0"/>
    <x v="0"/>
    <x v="95"/>
    <n v="81"/>
    <s v="B"/>
  </r>
  <r>
    <x v="576"/>
    <x v="0"/>
    <x v="45"/>
    <x v="136"/>
    <x v="36"/>
    <x v="0"/>
    <x v="0"/>
    <x v="0"/>
    <x v="1"/>
    <x v="339"/>
    <n v="76"/>
    <s v="C"/>
  </r>
  <r>
    <x v="577"/>
    <x v="1"/>
    <x v="21"/>
    <x v="72"/>
    <x v="20"/>
    <x v="1"/>
    <x v="0"/>
    <x v="0"/>
    <x v="0"/>
    <x v="147"/>
    <n v="96"/>
    <s v="A"/>
  </r>
  <r>
    <x v="578"/>
    <x v="1"/>
    <x v="38"/>
    <x v="23"/>
    <x v="44"/>
    <x v="0"/>
    <x v="0"/>
    <x v="1"/>
    <x v="0"/>
    <x v="340"/>
    <n v="83"/>
    <s v="B"/>
  </r>
  <r>
    <x v="579"/>
    <x v="1"/>
    <x v="51"/>
    <x v="91"/>
    <x v="0"/>
    <x v="3"/>
    <x v="0"/>
    <x v="1"/>
    <x v="1"/>
    <x v="181"/>
    <n v="96"/>
    <s v="A"/>
  </r>
  <r>
    <x v="580"/>
    <x v="1"/>
    <x v="44"/>
    <x v="123"/>
    <x v="23"/>
    <x v="0"/>
    <x v="0"/>
    <x v="0"/>
    <x v="0"/>
    <x v="310"/>
    <n v="70"/>
    <s v="C"/>
  </r>
  <r>
    <x v="581"/>
    <x v="0"/>
    <x v="7"/>
    <x v="109"/>
    <x v="13"/>
    <x v="1"/>
    <x v="0"/>
    <x v="0"/>
    <x v="1"/>
    <x v="341"/>
    <n v="83"/>
    <s v="B"/>
  </r>
  <r>
    <x v="582"/>
    <x v="1"/>
    <x v="38"/>
    <x v="94"/>
    <x v="4"/>
    <x v="1"/>
    <x v="0"/>
    <x v="1"/>
    <x v="0"/>
    <x v="342"/>
    <n v="77"/>
    <s v="C"/>
  </r>
  <r>
    <x v="583"/>
    <x v="1"/>
    <x v="37"/>
    <x v="253"/>
    <x v="21"/>
    <x v="1"/>
    <x v="0"/>
    <x v="0"/>
    <x v="0"/>
    <x v="6"/>
    <n v="68"/>
    <s v="D"/>
  </r>
  <r>
    <x v="584"/>
    <x v="1"/>
    <x v="19"/>
    <x v="51"/>
    <x v="42"/>
    <x v="1"/>
    <x v="0"/>
    <x v="1"/>
    <x v="0"/>
    <x v="343"/>
    <n v="85"/>
    <s v="B"/>
  </r>
  <r>
    <x v="585"/>
    <x v="0"/>
    <x v="44"/>
    <x v="276"/>
    <x v="7"/>
    <x v="0"/>
    <x v="0"/>
    <x v="0"/>
    <x v="0"/>
    <x v="221"/>
    <n v="68"/>
    <s v="D"/>
  </r>
  <r>
    <x v="586"/>
    <x v="1"/>
    <x v="50"/>
    <x v="45"/>
    <x v="16"/>
    <x v="0"/>
    <x v="1"/>
    <x v="0"/>
    <x v="0"/>
    <x v="268"/>
    <n v="89"/>
    <s v="B"/>
  </r>
  <r>
    <x v="587"/>
    <x v="0"/>
    <x v="44"/>
    <x v="179"/>
    <x v="41"/>
    <x v="3"/>
    <x v="0"/>
    <x v="0"/>
    <x v="0"/>
    <x v="15"/>
    <n v="85"/>
    <s v="B"/>
  </r>
  <r>
    <x v="588"/>
    <x v="1"/>
    <x v="9"/>
    <x v="131"/>
    <x v="2"/>
    <x v="0"/>
    <x v="0"/>
    <x v="1"/>
    <x v="0"/>
    <x v="344"/>
    <n v="77"/>
    <s v="C"/>
  </r>
  <r>
    <x v="589"/>
    <x v="0"/>
    <x v="57"/>
    <x v="191"/>
    <x v="11"/>
    <x v="3"/>
    <x v="0"/>
    <x v="0"/>
    <x v="1"/>
    <x v="28"/>
    <n v="72"/>
    <s v="C"/>
  </r>
  <r>
    <x v="590"/>
    <x v="0"/>
    <x v="9"/>
    <x v="277"/>
    <x v="44"/>
    <x v="1"/>
    <x v="0"/>
    <x v="1"/>
    <x v="1"/>
    <x v="221"/>
    <n v="89"/>
    <s v="B"/>
  </r>
  <r>
    <x v="591"/>
    <x v="1"/>
    <x v="35"/>
    <x v="208"/>
    <x v="37"/>
    <x v="0"/>
    <x v="0"/>
    <x v="0"/>
    <x v="0"/>
    <x v="344"/>
    <n v="63"/>
    <s v="D"/>
  </r>
  <r>
    <x v="592"/>
    <x v="0"/>
    <x v="14"/>
    <x v="278"/>
    <x v="22"/>
    <x v="3"/>
    <x v="0"/>
    <x v="0"/>
    <x v="0"/>
    <x v="332"/>
    <n v="73"/>
    <s v="C"/>
  </r>
  <r>
    <x v="593"/>
    <x v="1"/>
    <x v="21"/>
    <x v="200"/>
    <x v="10"/>
    <x v="1"/>
    <x v="1"/>
    <x v="0"/>
    <x v="0"/>
    <x v="87"/>
    <n v="87"/>
    <s v="B"/>
  </r>
  <r>
    <x v="594"/>
    <x v="1"/>
    <x v="58"/>
    <x v="10"/>
    <x v="21"/>
    <x v="1"/>
    <x v="0"/>
    <x v="1"/>
    <x v="1"/>
    <x v="263"/>
    <n v="89"/>
    <s v="B"/>
  </r>
  <r>
    <x v="595"/>
    <x v="1"/>
    <x v="39"/>
    <x v="279"/>
    <x v="44"/>
    <x v="4"/>
    <x v="0"/>
    <x v="1"/>
    <x v="0"/>
    <x v="339"/>
    <n v="80"/>
    <s v="B"/>
  </r>
  <r>
    <x v="596"/>
    <x v="0"/>
    <x v="41"/>
    <x v="280"/>
    <x v="38"/>
    <x v="1"/>
    <x v="0"/>
    <x v="0"/>
    <x v="1"/>
    <x v="234"/>
    <n v="80"/>
    <s v="B"/>
  </r>
  <r>
    <x v="597"/>
    <x v="0"/>
    <x v="38"/>
    <x v="39"/>
    <x v="21"/>
    <x v="3"/>
    <x v="1"/>
    <x v="0"/>
    <x v="0"/>
    <x v="345"/>
    <n v="81"/>
    <s v="B"/>
  </r>
  <r>
    <x v="598"/>
    <x v="1"/>
    <x v="15"/>
    <x v="208"/>
    <x v="58"/>
    <x v="1"/>
    <x v="0"/>
    <x v="0"/>
    <x v="0"/>
    <x v="73"/>
    <n v="86"/>
    <s v="B"/>
  </r>
  <r>
    <x v="599"/>
    <x v="1"/>
    <x v="22"/>
    <x v="28"/>
    <x v="9"/>
    <x v="3"/>
    <x v="0"/>
    <x v="0"/>
    <x v="0"/>
    <x v="291"/>
    <n v="86"/>
    <s v="B"/>
  </r>
  <r>
    <x v="600"/>
    <x v="0"/>
    <x v="25"/>
    <x v="44"/>
    <x v="7"/>
    <x v="1"/>
    <x v="0"/>
    <x v="0"/>
    <x v="1"/>
    <x v="285"/>
    <n v="93"/>
    <s v="A"/>
  </r>
  <r>
    <x v="601"/>
    <x v="1"/>
    <x v="50"/>
    <x v="136"/>
    <x v="11"/>
    <x v="1"/>
    <x v="0"/>
    <x v="1"/>
    <x v="0"/>
    <x v="176"/>
    <n v="95"/>
    <s v="A"/>
  </r>
  <r>
    <x v="602"/>
    <x v="1"/>
    <x v="46"/>
    <x v="24"/>
    <x v="18"/>
    <x v="0"/>
    <x v="0"/>
    <x v="1"/>
    <x v="0"/>
    <x v="296"/>
    <n v="84"/>
    <s v="B"/>
  </r>
  <r>
    <x v="603"/>
    <x v="1"/>
    <x v="15"/>
    <x v="149"/>
    <x v="47"/>
    <x v="1"/>
    <x v="0"/>
    <x v="0"/>
    <x v="0"/>
    <x v="52"/>
    <n v="100"/>
    <s v="A"/>
  </r>
  <r>
    <x v="604"/>
    <x v="0"/>
    <x v="45"/>
    <x v="207"/>
    <x v="19"/>
    <x v="0"/>
    <x v="0"/>
    <x v="0"/>
    <x v="0"/>
    <x v="95"/>
    <n v="81"/>
    <s v="B"/>
  </r>
  <r>
    <x v="605"/>
    <x v="0"/>
    <x v="35"/>
    <x v="57"/>
    <x v="22"/>
    <x v="1"/>
    <x v="0"/>
    <x v="1"/>
    <x v="0"/>
    <x v="140"/>
    <n v="76"/>
    <s v="C"/>
  </r>
  <r>
    <x v="606"/>
    <x v="0"/>
    <x v="28"/>
    <x v="15"/>
    <x v="11"/>
    <x v="1"/>
    <x v="1"/>
    <x v="1"/>
    <x v="0"/>
    <x v="127"/>
    <n v="74"/>
    <s v="C"/>
  </r>
  <r>
    <x v="607"/>
    <x v="1"/>
    <x v="44"/>
    <x v="204"/>
    <x v="0"/>
    <x v="1"/>
    <x v="0"/>
    <x v="0"/>
    <x v="0"/>
    <x v="43"/>
    <n v="84"/>
    <s v="B"/>
  </r>
  <r>
    <x v="608"/>
    <x v="1"/>
    <x v="41"/>
    <x v="198"/>
    <x v="1"/>
    <x v="1"/>
    <x v="1"/>
    <x v="0"/>
    <x v="1"/>
    <x v="241"/>
    <n v="59"/>
    <s v="F"/>
  </r>
  <r>
    <x v="609"/>
    <x v="1"/>
    <x v="28"/>
    <x v="29"/>
    <x v="11"/>
    <x v="2"/>
    <x v="0"/>
    <x v="0"/>
    <x v="0"/>
    <x v="31"/>
    <n v="96"/>
    <s v="A"/>
  </r>
  <r>
    <x v="610"/>
    <x v="0"/>
    <x v="7"/>
    <x v="114"/>
    <x v="21"/>
    <x v="1"/>
    <x v="0"/>
    <x v="0"/>
    <x v="0"/>
    <x v="346"/>
    <n v="79"/>
    <s v="C"/>
  </r>
  <r>
    <x v="611"/>
    <x v="1"/>
    <x v="30"/>
    <x v="124"/>
    <x v="39"/>
    <x v="0"/>
    <x v="0"/>
    <x v="0"/>
    <x v="1"/>
    <x v="18"/>
    <n v="80"/>
    <s v="C"/>
  </r>
  <r>
    <x v="612"/>
    <x v="1"/>
    <x v="3"/>
    <x v="230"/>
    <x v="23"/>
    <x v="1"/>
    <x v="0"/>
    <x v="0"/>
    <x v="1"/>
    <x v="125"/>
    <n v="70"/>
    <s v="C"/>
  </r>
  <r>
    <x v="613"/>
    <x v="1"/>
    <x v="17"/>
    <x v="220"/>
    <x v="30"/>
    <x v="1"/>
    <x v="0"/>
    <x v="1"/>
    <x v="0"/>
    <x v="347"/>
    <n v="75"/>
    <s v="C"/>
  </r>
  <r>
    <x v="614"/>
    <x v="1"/>
    <x v="31"/>
    <x v="5"/>
    <x v="42"/>
    <x v="2"/>
    <x v="0"/>
    <x v="0"/>
    <x v="1"/>
    <x v="306"/>
    <n v="95"/>
    <s v="A"/>
  </r>
  <r>
    <x v="615"/>
    <x v="0"/>
    <x v="2"/>
    <x v="61"/>
    <x v="37"/>
    <x v="1"/>
    <x v="0"/>
    <x v="0"/>
    <x v="0"/>
    <x v="136"/>
    <n v="92"/>
    <s v="A"/>
  </r>
  <r>
    <x v="616"/>
    <x v="0"/>
    <x v="16"/>
    <x v="265"/>
    <x v="31"/>
    <x v="2"/>
    <x v="0"/>
    <x v="0"/>
    <x v="1"/>
    <x v="296"/>
    <n v="86"/>
    <s v="B"/>
  </r>
  <r>
    <x v="617"/>
    <x v="1"/>
    <x v="44"/>
    <x v="227"/>
    <x v="55"/>
    <x v="1"/>
    <x v="0"/>
    <x v="1"/>
    <x v="0"/>
    <x v="348"/>
    <n v="79"/>
    <s v="C"/>
  </r>
  <r>
    <x v="618"/>
    <x v="0"/>
    <x v="30"/>
    <x v="281"/>
    <x v="22"/>
    <x v="3"/>
    <x v="0"/>
    <x v="1"/>
    <x v="0"/>
    <x v="349"/>
    <n v="92"/>
    <s v="A"/>
  </r>
  <r>
    <x v="619"/>
    <x v="0"/>
    <x v="39"/>
    <x v="231"/>
    <x v="16"/>
    <x v="0"/>
    <x v="0"/>
    <x v="0"/>
    <x v="0"/>
    <x v="350"/>
    <n v="80"/>
    <s v="B"/>
  </r>
  <r>
    <x v="620"/>
    <x v="1"/>
    <x v="50"/>
    <x v="87"/>
    <x v="27"/>
    <x v="4"/>
    <x v="0"/>
    <x v="0"/>
    <x v="0"/>
    <x v="28"/>
    <n v="98"/>
    <s v="A"/>
  </r>
  <r>
    <x v="621"/>
    <x v="1"/>
    <x v="30"/>
    <x v="86"/>
    <x v="32"/>
    <x v="0"/>
    <x v="1"/>
    <x v="1"/>
    <x v="0"/>
    <x v="351"/>
    <n v="79"/>
    <s v="C"/>
  </r>
  <r>
    <x v="622"/>
    <x v="0"/>
    <x v="33"/>
    <x v="45"/>
    <x v="25"/>
    <x v="0"/>
    <x v="0"/>
    <x v="0"/>
    <x v="0"/>
    <x v="336"/>
    <n v="90"/>
    <s v="B"/>
  </r>
  <r>
    <x v="623"/>
    <x v="1"/>
    <x v="40"/>
    <x v="282"/>
    <x v="36"/>
    <x v="1"/>
    <x v="0"/>
    <x v="0"/>
    <x v="1"/>
    <x v="352"/>
    <n v="76"/>
    <s v="C"/>
  </r>
  <r>
    <x v="624"/>
    <x v="0"/>
    <x v="11"/>
    <x v="283"/>
    <x v="7"/>
    <x v="1"/>
    <x v="0"/>
    <x v="0"/>
    <x v="1"/>
    <x v="321"/>
    <n v="90"/>
    <s v="B"/>
  </r>
  <r>
    <x v="625"/>
    <x v="1"/>
    <x v="45"/>
    <x v="18"/>
    <x v="15"/>
    <x v="2"/>
    <x v="0"/>
    <x v="0"/>
    <x v="1"/>
    <x v="353"/>
    <n v="71"/>
    <s v="C"/>
  </r>
  <r>
    <x v="626"/>
    <x v="0"/>
    <x v="26"/>
    <x v="278"/>
    <x v="39"/>
    <x v="1"/>
    <x v="1"/>
    <x v="0"/>
    <x v="0"/>
    <x v="264"/>
    <n v="97"/>
    <s v="A"/>
  </r>
  <r>
    <x v="627"/>
    <x v="1"/>
    <x v="44"/>
    <x v="205"/>
    <x v="8"/>
    <x v="0"/>
    <x v="0"/>
    <x v="1"/>
    <x v="1"/>
    <x v="354"/>
    <n v="62"/>
    <s v="D"/>
  </r>
  <r>
    <x v="628"/>
    <x v="0"/>
    <x v="27"/>
    <x v="284"/>
    <x v="13"/>
    <x v="3"/>
    <x v="0"/>
    <x v="1"/>
    <x v="1"/>
    <x v="261"/>
    <n v="94"/>
    <s v="A"/>
  </r>
  <r>
    <x v="629"/>
    <x v="0"/>
    <x v="45"/>
    <x v="94"/>
    <x v="3"/>
    <x v="1"/>
    <x v="0"/>
    <x v="0"/>
    <x v="0"/>
    <x v="99"/>
    <n v="81"/>
    <s v="B"/>
  </r>
  <r>
    <x v="630"/>
    <x v="0"/>
    <x v="44"/>
    <x v="195"/>
    <x v="5"/>
    <x v="2"/>
    <x v="0"/>
    <x v="1"/>
    <x v="0"/>
    <x v="355"/>
    <n v="78"/>
    <s v="C"/>
  </r>
  <r>
    <x v="631"/>
    <x v="1"/>
    <x v="9"/>
    <x v="285"/>
    <x v="62"/>
    <x v="3"/>
    <x v="1"/>
    <x v="0"/>
    <x v="0"/>
    <x v="70"/>
    <n v="71"/>
    <s v="C"/>
  </r>
  <r>
    <x v="632"/>
    <x v="0"/>
    <x v="56"/>
    <x v="264"/>
    <x v="31"/>
    <x v="0"/>
    <x v="0"/>
    <x v="0"/>
    <x v="1"/>
    <x v="105"/>
    <n v="89"/>
    <s v="B"/>
  </r>
  <r>
    <x v="633"/>
    <x v="0"/>
    <x v="39"/>
    <x v="286"/>
    <x v="22"/>
    <x v="4"/>
    <x v="0"/>
    <x v="1"/>
    <x v="1"/>
    <x v="356"/>
    <n v="74"/>
    <s v="C"/>
  </r>
  <r>
    <x v="634"/>
    <x v="1"/>
    <x v="20"/>
    <x v="26"/>
    <x v="26"/>
    <x v="1"/>
    <x v="0"/>
    <x v="1"/>
    <x v="0"/>
    <x v="350"/>
    <n v="76"/>
    <s v="C"/>
  </r>
  <r>
    <x v="635"/>
    <x v="1"/>
    <x v="3"/>
    <x v="42"/>
    <x v="36"/>
    <x v="1"/>
    <x v="0"/>
    <x v="0"/>
    <x v="1"/>
    <x v="357"/>
    <n v="96"/>
    <s v="A"/>
  </r>
  <r>
    <x v="636"/>
    <x v="0"/>
    <x v="15"/>
    <x v="287"/>
    <x v="31"/>
    <x v="0"/>
    <x v="0"/>
    <x v="0"/>
    <x v="0"/>
    <x v="358"/>
    <n v="100"/>
    <s v="A"/>
  </r>
  <r>
    <x v="637"/>
    <x v="0"/>
    <x v="66"/>
    <x v="288"/>
    <x v="26"/>
    <x v="1"/>
    <x v="0"/>
    <x v="1"/>
    <x v="0"/>
    <x v="357"/>
    <n v="100"/>
    <s v="A"/>
  </r>
  <r>
    <x v="638"/>
    <x v="1"/>
    <x v="27"/>
    <x v="289"/>
    <x v="4"/>
    <x v="3"/>
    <x v="0"/>
    <x v="1"/>
    <x v="0"/>
    <x v="159"/>
    <n v="84"/>
    <s v="B"/>
  </r>
  <r>
    <x v="639"/>
    <x v="1"/>
    <x v="5"/>
    <x v="8"/>
    <x v="31"/>
    <x v="2"/>
    <x v="1"/>
    <x v="1"/>
    <x v="1"/>
    <x v="359"/>
    <n v="79"/>
    <s v="C"/>
  </r>
  <r>
    <x v="640"/>
    <x v="1"/>
    <x v="16"/>
    <x v="1"/>
    <x v="10"/>
    <x v="0"/>
    <x v="0"/>
    <x v="0"/>
    <x v="0"/>
    <x v="360"/>
    <n v="86"/>
    <s v="B"/>
  </r>
  <r>
    <x v="641"/>
    <x v="1"/>
    <x v="19"/>
    <x v="52"/>
    <x v="24"/>
    <x v="1"/>
    <x v="0"/>
    <x v="0"/>
    <x v="0"/>
    <x v="149"/>
    <n v="98"/>
    <s v="A"/>
  </r>
  <r>
    <x v="642"/>
    <x v="1"/>
    <x v="17"/>
    <x v="231"/>
    <x v="36"/>
    <x v="2"/>
    <x v="0"/>
    <x v="0"/>
    <x v="0"/>
    <x v="193"/>
    <n v="91"/>
    <s v="A"/>
  </r>
  <r>
    <x v="643"/>
    <x v="0"/>
    <x v="41"/>
    <x v="105"/>
    <x v="29"/>
    <x v="0"/>
    <x v="1"/>
    <x v="0"/>
    <x v="0"/>
    <x v="318"/>
    <n v="70"/>
    <s v="C"/>
  </r>
  <r>
    <x v="644"/>
    <x v="1"/>
    <x v="28"/>
    <x v="206"/>
    <x v="56"/>
    <x v="0"/>
    <x v="0"/>
    <x v="1"/>
    <x v="1"/>
    <x v="361"/>
    <n v="83"/>
    <s v="B"/>
  </r>
  <r>
    <x v="645"/>
    <x v="0"/>
    <x v="53"/>
    <x v="10"/>
    <x v="6"/>
    <x v="0"/>
    <x v="0"/>
    <x v="0"/>
    <x v="1"/>
    <x v="362"/>
    <n v="76"/>
    <s v="C"/>
  </r>
  <r>
    <x v="646"/>
    <x v="0"/>
    <x v="39"/>
    <x v="171"/>
    <x v="24"/>
    <x v="2"/>
    <x v="0"/>
    <x v="0"/>
    <x v="0"/>
    <x v="326"/>
    <n v="100"/>
    <s v="A"/>
  </r>
  <r>
    <x v="647"/>
    <x v="0"/>
    <x v="30"/>
    <x v="28"/>
    <x v="9"/>
    <x v="0"/>
    <x v="0"/>
    <x v="1"/>
    <x v="0"/>
    <x v="363"/>
    <n v="94"/>
    <s v="A"/>
  </r>
  <r>
    <x v="648"/>
    <x v="1"/>
    <x v="9"/>
    <x v="275"/>
    <x v="11"/>
    <x v="3"/>
    <x v="0"/>
    <x v="0"/>
    <x v="0"/>
    <x v="151"/>
    <n v="89"/>
    <s v="B"/>
  </r>
  <r>
    <x v="649"/>
    <x v="0"/>
    <x v="36"/>
    <x v="1"/>
    <x v="24"/>
    <x v="3"/>
    <x v="0"/>
    <x v="0"/>
    <x v="0"/>
    <x v="249"/>
    <n v="97"/>
    <s v="A"/>
  </r>
  <r>
    <x v="650"/>
    <x v="0"/>
    <x v="34"/>
    <x v="65"/>
    <x v="28"/>
    <x v="1"/>
    <x v="0"/>
    <x v="1"/>
    <x v="0"/>
    <x v="364"/>
    <n v="60"/>
    <s v="F"/>
  </r>
  <r>
    <x v="651"/>
    <x v="1"/>
    <x v="59"/>
    <x v="290"/>
    <x v="10"/>
    <x v="0"/>
    <x v="0"/>
    <x v="1"/>
    <x v="0"/>
    <x v="260"/>
    <n v="73"/>
    <s v="C"/>
  </r>
  <r>
    <x v="652"/>
    <x v="0"/>
    <x v="45"/>
    <x v="114"/>
    <x v="9"/>
    <x v="3"/>
    <x v="0"/>
    <x v="1"/>
    <x v="0"/>
    <x v="302"/>
    <n v="88"/>
    <s v="B"/>
  </r>
  <r>
    <x v="653"/>
    <x v="0"/>
    <x v="33"/>
    <x v="107"/>
    <x v="30"/>
    <x v="0"/>
    <x v="1"/>
    <x v="0"/>
    <x v="1"/>
    <x v="106"/>
    <n v="75"/>
    <s v="C"/>
  </r>
  <r>
    <x v="654"/>
    <x v="1"/>
    <x v="47"/>
    <x v="222"/>
    <x v="22"/>
    <x v="3"/>
    <x v="1"/>
    <x v="1"/>
    <x v="0"/>
    <x v="359"/>
    <n v="90"/>
    <s v="B"/>
  </r>
  <r>
    <x v="655"/>
    <x v="0"/>
    <x v="9"/>
    <x v="254"/>
    <x v="10"/>
    <x v="2"/>
    <x v="0"/>
    <x v="1"/>
    <x v="1"/>
    <x v="28"/>
    <n v="73"/>
    <s v="C"/>
  </r>
  <r>
    <x v="656"/>
    <x v="0"/>
    <x v="33"/>
    <x v="291"/>
    <x v="13"/>
    <x v="0"/>
    <x v="0"/>
    <x v="0"/>
    <x v="0"/>
    <x v="365"/>
    <n v="84"/>
    <s v="B"/>
  </r>
  <r>
    <x v="657"/>
    <x v="0"/>
    <x v="38"/>
    <x v="237"/>
    <x v="21"/>
    <x v="3"/>
    <x v="0"/>
    <x v="0"/>
    <x v="0"/>
    <x v="366"/>
    <n v="100"/>
    <s v="A"/>
  </r>
  <r>
    <x v="658"/>
    <x v="1"/>
    <x v="46"/>
    <x v="86"/>
    <x v="38"/>
    <x v="3"/>
    <x v="0"/>
    <x v="1"/>
    <x v="0"/>
    <x v="24"/>
    <n v="84"/>
    <s v="B"/>
  </r>
  <r>
    <x v="659"/>
    <x v="1"/>
    <x v="50"/>
    <x v="277"/>
    <x v="54"/>
    <x v="3"/>
    <x v="0"/>
    <x v="0"/>
    <x v="1"/>
    <x v="367"/>
    <n v="85"/>
    <s v="B"/>
  </r>
  <r>
    <x v="660"/>
    <x v="1"/>
    <x v="30"/>
    <x v="87"/>
    <x v="26"/>
    <x v="0"/>
    <x v="0"/>
    <x v="1"/>
    <x v="0"/>
    <x v="42"/>
    <n v="95"/>
    <s v="A"/>
  </r>
  <r>
    <x v="661"/>
    <x v="0"/>
    <x v="14"/>
    <x v="260"/>
    <x v="28"/>
    <x v="1"/>
    <x v="0"/>
    <x v="0"/>
    <x v="1"/>
    <x v="125"/>
    <n v="69"/>
    <s v="D"/>
  </r>
  <r>
    <x v="662"/>
    <x v="0"/>
    <x v="51"/>
    <x v="173"/>
    <x v="24"/>
    <x v="0"/>
    <x v="0"/>
    <x v="0"/>
    <x v="0"/>
    <x v="156"/>
    <n v="94"/>
    <s v="A"/>
  </r>
  <r>
    <x v="663"/>
    <x v="1"/>
    <x v="31"/>
    <x v="243"/>
    <x v="26"/>
    <x v="3"/>
    <x v="0"/>
    <x v="0"/>
    <x v="1"/>
    <x v="368"/>
    <n v="100"/>
    <s v="A"/>
  </r>
  <r>
    <x v="664"/>
    <x v="0"/>
    <x v="3"/>
    <x v="284"/>
    <x v="16"/>
    <x v="0"/>
    <x v="0"/>
    <x v="1"/>
    <x v="0"/>
    <x v="218"/>
    <n v="86"/>
    <s v="B"/>
  </r>
  <r>
    <x v="665"/>
    <x v="0"/>
    <x v="39"/>
    <x v="246"/>
    <x v="12"/>
    <x v="3"/>
    <x v="0"/>
    <x v="0"/>
    <x v="0"/>
    <x v="114"/>
    <n v="92"/>
    <s v="A"/>
  </r>
  <r>
    <x v="666"/>
    <x v="1"/>
    <x v="5"/>
    <x v="12"/>
    <x v="0"/>
    <x v="0"/>
    <x v="0"/>
    <x v="0"/>
    <x v="0"/>
    <x v="255"/>
    <n v="92"/>
    <s v="A"/>
  </r>
  <r>
    <x v="667"/>
    <x v="1"/>
    <x v="52"/>
    <x v="182"/>
    <x v="12"/>
    <x v="0"/>
    <x v="0"/>
    <x v="1"/>
    <x v="0"/>
    <x v="26"/>
    <n v="96"/>
    <s v="A"/>
  </r>
  <r>
    <x v="668"/>
    <x v="0"/>
    <x v="40"/>
    <x v="9"/>
    <x v="33"/>
    <x v="1"/>
    <x v="0"/>
    <x v="1"/>
    <x v="1"/>
    <x v="369"/>
    <n v="98"/>
    <s v="A"/>
  </r>
  <r>
    <x v="669"/>
    <x v="0"/>
    <x v="44"/>
    <x v="86"/>
    <x v="37"/>
    <x v="3"/>
    <x v="0"/>
    <x v="1"/>
    <x v="1"/>
    <x v="214"/>
    <n v="66"/>
    <s v="D"/>
  </r>
  <r>
    <x v="670"/>
    <x v="0"/>
    <x v="15"/>
    <x v="159"/>
    <x v="13"/>
    <x v="0"/>
    <x v="0"/>
    <x v="0"/>
    <x v="0"/>
    <x v="133"/>
    <n v="61"/>
    <s v="D"/>
  </r>
  <r>
    <x v="671"/>
    <x v="1"/>
    <x v="8"/>
    <x v="196"/>
    <x v="10"/>
    <x v="1"/>
    <x v="1"/>
    <x v="0"/>
    <x v="0"/>
    <x v="370"/>
    <n v="100"/>
    <s v="A"/>
  </r>
  <r>
    <x v="672"/>
    <x v="1"/>
    <x v="20"/>
    <x v="250"/>
    <x v="18"/>
    <x v="1"/>
    <x v="0"/>
    <x v="1"/>
    <x v="1"/>
    <x v="5"/>
    <n v="85"/>
    <s v="B"/>
  </r>
  <r>
    <x v="673"/>
    <x v="1"/>
    <x v="55"/>
    <x v="179"/>
    <x v="31"/>
    <x v="3"/>
    <x v="0"/>
    <x v="1"/>
    <x v="0"/>
    <x v="344"/>
    <n v="73"/>
    <s v="C"/>
  </r>
  <r>
    <x v="674"/>
    <x v="1"/>
    <x v="58"/>
    <x v="170"/>
    <x v="23"/>
    <x v="0"/>
    <x v="0"/>
    <x v="0"/>
    <x v="0"/>
    <x v="371"/>
    <n v="84"/>
    <s v="B"/>
  </r>
  <r>
    <x v="675"/>
    <x v="0"/>
    <x v="35"/>
    <x v="61"/>
    <x v="28"/>
    <x v="1"/>
    <x v="1"/>
    <x v="0"/>
    <x v="1"/>
    <x v="42"/>
    <n v="61"/>
    <s v="D"/>
  </r>
  <r>
    <x v="676"/>
    <x v="1"/>
    <x v="49"/>
    <x v="65"/>
    <x v="7"/>
    <x v="2"/>
    <x v="1"/>
    <x v="1"/>
    <x v="1"/>
    <x v="10"/>
    <n v="91"/>
    <s v="A"/>
  </r>
  <r>
    <x v="677"/>
    <x v="1"/>
    <x v="10"/>
    <x v="122"/>
    <x v="36"/>
    <x v="3"/>
    <x v="0"/>
    <x v="0"/>
    <x v="1"/>
    <x v="372"/>
    <n v="68"/>
    <s v="D"/>
  </r>
  <r>
    <x v="678"/>
    <x v="1"/>
    <x v="56"/>
    <x v="27"/>
    <x v="5"/>
    <x v="2"/>
    <x v="1"/>
    <x v="1"/>
    <x v="0"/>
    <x v="112"/>
    <n v="64"/>
    <s v="D"/>
  </r>
  <r>
    <x v="679"/>
    <x v="1"/>
    <x v="22"/>
    <x v="40"/>
    <x v="23"/>
    <x v="0"/>
    <x v="0"/>
    <x v="0"/>
    <x v="0"/>
    <x v="21"/>
    <n v="84"/>
    <s v="B"/>
  </r>
  <r>
    <x v="680"/>
    <x v="1"/>
    <x v="61"/>
    <x v="292"/>
    <x v="33"/>
    <x v="0"/>
    <x v="0"/>
    <x v="0"/>
    <x v="0"/>
    <x v="82"/>
    <n v="86"/>
    <s v="B"/>
  </r>
  <r>
    <x v="681"/>
    <x v="0"/>
    <x v="49"/>
    <x v="69"/>
    <x v="29"/>
    <x v="4"/>
    <x v="0"/>
    <x v="1"/>
    <x v="0"/>
    <x v="208"/>
    <n v="94"/>
    <s v="A"/>
  </r>
  <r>
    <x v="682"/>
    <x v="0"/>
    <x v="9"/>
    <x v="293"/>
    <x v="21"/>
    <x v="0"/>
    <x v="0"/>
    <x v="0"/>
    <x v="1"/>
    <x v="66"/>
    <n v="74"/>
    <s v="C"/>
  </r>
  <r>
    <x v="683"/>
    <x v="1"/>
    <x v="0"/>
    <x v="25"/>
    <x v="35"/>
    <x v="3"/>
    <x v="1"/>
    <x v="0"/>
    <x v="0"/>
    <x v="373"/>
    <n v="79"/>
    <s v="C"/>
  </r>
  <r>
    <x v="684"/>
    <x v="0"/>
    <x v="38"/>
    <x v="247"/>
    <x v="39"/>
    <x v="1"/>
    <x v="0"/>
    <x v="0"/>
    <x v="0"/>
    <x v="132"/>
    <n v="84"/>
    <s v="B"/>
  </r>
  <r>
    <x v="685"/>
    <x v="1"/>
    <x v="5"/>
    <x v="52"/>
    <x v="14"/>
    <x v="0"/>
    <x v="1"/>
    <x v="0"/>
    <x v="1"/>
    <x v="158"/>
    <n v="92"/>
    <s v="A"/>
  </r>
  <r>
    <x v="686"/>
    <x v="1"/>
    <x v="16"/>
    <x v="91"/>
    <x v="10"/>
    <x v="1"/>
    <x v="0"/>
    <x v="1"/>
    <x v="0"/>
    <x v="92"/>
    <n v="92"/>
    <s v="A"/>
  </r>
  <r>
    <x v="687"/>
    <x v="0"/>
    <x v="61"/>
    <x v="147"/>
    <x v="14"/>
    <x v="1"/>
    <x v="0"/>
    <x v="1"/>
    <x v="0"/>
    <x v="288"/>
    <n v="74"/>
    <s v="C"/>
  </r>
  <r>
    <x v="688"/>
    <x v="0"/>
    <x v="29"/>
    <x v="219"/>
    <x v="12"/>
    <x v="1"/>
    <x v="0"/>
    <x v="1"/>
    <x v="0"/>
    <x v="232"/>
    <n v="82"/>
    <s v="B"/>
  </r>
  <r>
    <x v="689"/>
    <x v="1"/>
    <x v="9"/>
    <x v="20"/>
    <x v="48"/>
    <x v="1"/>
    <x v="0"/>
    <x v="0"/>
    <x v="0"/>
    <x v="371"/>
    <n v="68"/>
    <s v="D"/>
  </r>
  <r>
    <x v="690"/>
    <x v="1"/>
    <x v="23"/>
    <x v="156"/>
    <x v="38"/>
    <x v="2"/>
    <x v="0"/>
    <x v="0"/>
    <x v="1"/>
    <x v="27"/>
    <n v="71"/>
    <s v="C"/>
  </r>
  <r>
    <x v="691"/>
    <x v="1"/>
    <x v="55"/>
    <x v="11"/>
    <x v="22"/>
    <x v="1"/>
    <x v="0"/>
    <x v="0"/>
    <x v="1"/>
    <x v="374"/>
    <n v="80"/>
    <s v="C"/>
  </r>
  <r>
    <x v="692"/>
    <x v="0"/>
    <x v="25"/>
    <x v="61"/>
    <x v="21"/>
    <x v="3"/>
    <x v="1"/>
    <x v="1"/>
    <x v="0"/>
    <x v="199"/>
    <n v="92"/>
    <s v="A"/>
  </r>
  <r>
    <x v="693"/>
    <x v="1"/>
    <x v="50"/>
    <x v="88"/>
    <x v="0"/>
    <x v="3"/>
    <x v="0"/>
    <x v="1"/>
    <x v="1"/>
    <x v="171"/>
    <n v="100"/>
    <s v="A"/>
  </r>
  <r>
    <x v="694"/>
    <x v="1"/>
    <x v="56"/>
    <x v="87"/>
    <x v="26"/>
    <x v="0"/>
    <x v="0"/>
    <x v="1"/>
    <x v="0"/>
    <x v="220"/>
    <n v="90"/>
    <s v="B"/>
  </r>
  <r>
    <x v="695"/>
    <x v="1"/>
    <x v="56"/>
    <x v="294"/>
    <x v="10"/>
    <x v="1"/>
    <x v="0"/>
    <x v="0"/>
    <x v="0"/>
    <x v="232"/>
    <n v="78"/>
    <s v="C"/>
  </r>
  <r>
    <x v="696"/>
    <x v="0"/>
    <x v="56"/>
    <x v="165"/>
    <x v="52"/>
    <x v="3"/>
    <x v="0"/>
    <x v="0"/>
    <x v="0"/>
    <x v="70"/>
    <n v="73"/>
    <s v="C"/>
  </r>
  <r>
    <x v="697"/>
    <x v="1"/>
    <x v="26"/>
    <x v="295"/>
    <x v="20"/>
    <x v="0"/>
    <x v="1"/>
    <x v="0"/>
    <x v="0"/>
    <x v="131"/>
    <n v="98"/>
    <s v="A"/>
  </r>
  <r>
    <x v="698"/>
    <x v="1"/>
    <x v="39"/>
    <x v="81"/>
    <x v="30"/>
    <x v="3"/>
    <x v="0"/>
    <x v="0"/>
    <x v="0"/>
    <x v="42"/>
    <n v="86"/>
    <s v="B"/>
  </r>
  <r>
    <x v="699"/>
    <x v="0"/>
    <x v="39"/>
    <x v="62"/>
    <x v="23"/>
    <x v="3"/>
    <x v="0"/>
    <x v="0"/>
    <x v="0"/>
    <x v="352"/>
    <n v="92"/>
    <s v="A"/>
  </r>
  <r>
    <x v="700"/>
    <x v="1"/>
    <x v="29"/>
    <x v="290"/>
    <x v="7"/>
    <x v="2"/>
    <x v="0"/>
    <x v="1"/>
    <x v="0"/>
    <x v="164"/>
    <n v="85"/>
    <s v="B"/>
  </r>
  <r>
    <x v="701"/>
    <x v="1"/>
    <x v="52"/>
    <x v="109"/>
    <x v="44"/>
    <x v="0"/>
    <x v="0"/>
    <x v="0"/>
    <x v="1"/>
    <x v="235"/>
    <n v="83"/>
    <s v="B"/>
  </r>
  <r>
    <x v="702"/>
    <x v="0"/>
    <x v="28"/>
    <x v="88"/>
    <x v="42"/>
    <x v="1"/>
    <x v="0"/>
    <x v="0"/>
    <x v="1"/>
    <x v="48"/>
    <n v="65"/>
    <s v="D"/>
  </r>
  <r>
    <x v="703"/>
    <x v="1"/>
    <x v="46"/>
    <x v="296"/>
    <x v="10"/>
    <x v="0"/>
    <x v="0"/>
    <x v="0"/>
    <x v="0"/>
    <x v="375"/>
    <n v="90"/>
    <s v="B"/>
  </r>
  <r>
    <x v="704"/>
    <x v="0"/>
    <x v="38"/>
    <x v="178"/>
    <x v="4"/>
    <x v="1"/>
    <x v="0"/>
    <x v="1"/>
    <x v="1"/>
    <x v="60"/>
    <n v="83"/>
    <s v="B"/>
  </r>
  <r>
    <x v="705"/>
    <x v="0"/>
    <x v="38"/>
    <x v="119"/>
    <x v="38"/>
    <x v="4"/>
    <x v="0"/>
    <x v="1"/>
    <x v="1"/>
    <x v="376"/>
    <n v="94"/>
    <s v="A"/>
  </r>
  <r>
    <x v="706"/>
    <x v="1"/>
    <x v="21"/>
    <x v="156"/>
    <x v="7"/>
    <x v="1"/>
    <x v="0"/>
    <x v="1"/>
    <x v="1"/>
    <x v="54"/>
    <n v="93"/>
    <s v="A"/>
  </r>
  <r>
    <x v="707"/>
    <x v="1"/>
    <x v="16"/>
    <x v="93"/>
    <x v="24"/>
    <x v="1"/>
    <x v="0"/>
    <x v="1"/>
    <x v="0"/>
    <x v="355"/>
    <n v="77"/>
    <s v="C"/>
  </r>
  <r>
    <x v="708"/>
    <x v="1"/>
    <x v="21"/>
    <x v="297"/>
    <x v="37"/>
    <x v="3"/>
    <x v="0"/>
    <x v="0"/>
    <x v="0"/>
    <x v="106"/>
    <n v="98"/>
    <s v="A"/>
  </r>
  <r>
    <x v="709"/>
    <x v="1"/>
    <x v="38"/>
    <x v="97"/>
    <x v="44"/>
    <x v="0"/>
    <x v="0"/>
    <x v="1"/>
    <x v="1"/>
    <x v="174"/>
    <n v="72"/>
    <s v="C"/>
  </r>
  <r>
    <x v="710"/>
    <x v="0"/>
    <x v="16"/>
    <x v="60"/>
    <x v="25"/>
    <x v="0"/>
    <x v="0"/>
    <x v="0"/>
    <x v="0"/>
    <x v="207"/>
    <n v="95"/>
    <s v="A"/>
  </r>
  <r>
    <x v="711"/>
    <x v="1"/>
    <x v="35"/>
    <x v="151"/>
    <x v="22"/>
    <x v="0"/>
    <x v="0"/>
    <x v="0"/>
    <x v="0"/>
    <x v="377"/>
    <n v="67"/>
    <s v="D"/>
  </r>
  <r>
    <x v="712"/>
    <x v="0"/>
    <x v="2"/>
    <x v="298"/>
    <x v="30"/>
    <x v="4"/>
    <x v="1"/>
    <x v="1"/>
    <x v="1"/>
    <x v="102"/>
    <n v="72"/>
    <s v="C"/>
  </r>
  <r>
    <x v="713"/>
    <x v="1"/>
    <x v="0"/>
    <x v="38"/>
    <x v="22"/>
    <x v="1"/>
    <x v="0"/>
    <x v="1"/>
    <x v="0"/>
    <x v="378"/>
    <n v="96"/>
    <s v="A"/>
  </r>
  <r>
    <x v="714"/>
    <x v="1"/>
    <x v="29"/>
    <x v="58"/>
    <x v="6"/>
    <x v="4"/>
    <x v="0"/>
    <x v="0"/>
    <x v="0"/>
    <x v="7"/>
    <n v="92"/>
    <s v="A"/>
  </r>
  <r>
    <x v="715"/>
    <x v="1"/>
    <x v="35"/>
    <x v="193"/>
    <x v="17"/>
    <x v="1"/>
    <x v="1"/>
    <x v="0"/>
    <x v="0"/>
    <x v="60"/>
    <n v="54"/>
    <s v="F"/>
  </r>
  <r>
    <x v="716"/>
    <x v="0"/>
    <x v="26"/>
    <x v="246"/>
    <x v="14"/>
    <x v="3"/>
    <x v="0"/>
    <x v="0"/>
    <x v="0"/>
    <x v="357"/>
    <n v="99"/>
    <s v="A"/>
  </r>
  <r>
    <x v="717"/>
    <x v="1"/>
    <x v="12"/>
    <x v="253"/>
    <x v="25"/>
    <x v="3"/>
    <x v="0"/>
    <x v="0"/>
    <x v="1"/>
    <x v="132"/>
    <n v="85"/>
    <s v="B"/>
  </r>
  <r>
    <x v="718"/>
    <x v="1"/>
    <x v="49"/>
    <x v="248"/>
    <x v="12"/>
    <x v="1"/>
    <x v="0"/>
    <x v="0"/>
    <x v="0"/>
    <x v="379"/>
    <n v="99"/>
    <s v="A"/>
  </r>
  <r>
    <x v="719"/>
    <x v="1"/>
    <x v="18"/>
    <x v="1"/>
    <x v="23"/>
    <x v="0"/>
    <x v="0"/>
    <x v="0"/>
    <x v="1"/>
    <x v="250"/>
    <n v="78"/>
    <s v="C"/>
  </r>
  <r>
    <x v="720"/>
    <x v="1"/>
    <x v="17"/>
    <x v="193"/>
    <x v="16"/>
    <x v="1"/>
    <x v="0"/>
    <x v="0"/>
    <x v="0"/>
    <x v="160"/>
    <n v="84"/>
    <s v="B"/>
  </r>
  <r>
    <x v="721"/>
    <x v="0"/>
    <x v="18"/>
    <x v="264"/>
    <x v="22"/>
    <x v="3"/>
    <x v="0"/>
    <x v="1"/>
    <x v="0"/>
    <x v="246"/>
    <n v="71"/>
    <s v="C"/>
  </r>
  <r>
    <x v="722"/>
    <x v="1"/>
    <x v="3"/>
    <x v="173"/>
    <x v="24"/>
    <x v="0"/>
    <x v="1"/>
    <x v="0"/>
    <x v="0"/>
    <x v="343"/>
    <n v="70"/>
    <s v="D"/>
  </r>
  <r>
    <x v="723"/>
    <x v="0"/>
    <x v="43"/>
    <x v="294"/>
    <x v="4"/>
    <x v="0"/>
    <x v="0"/>
    <x v="0"/>
    <x v="1"/>
    <x v="76"/>
    <n v="94"/>
    <s v="A"/>
  </r>
  <r>
    <x v="724"/>
    <x v="0"/>
    <x v="46"/>
    <x v="202"/>
    <x v="18"/>
    <x v="1"/>
    <x v="0"/>
    <x v="0"/>
    <x v="0"/>
    <x v="130"/>
    <n v="85"/>
    <s v="B"/>
  </r>
  <r>
    <x v="725"/>
    <x v="0"/>
    <x v="45"/>
    <x v="230"/>
    <x v="0"/>
    <x v="1"/>
    <x v="0"/>
    <x v="1"/>
    <x v="0"/>
    <x v="111"/>
    <n v="100"/>
    <s v="A"/>
  </r>
  <r>
    <x v="726"/>
    <x v="0"/>
    <x v="50"/>
    <x v="218"/>
    <x v="28"/>
    <x v="1"/>
    <x v="0"/>
    <x v="0"/>
    <x v="0"/>
    <x v="156"/>
    <n v="98"/>
    <s v="A"/>
  </r>
  <r>
    <x v="727"/>
    <x v="0"/>
    <x v="5"/>
    <x v="118"/>
    <x v="39"/>
    <x v="1"/>
    <x v="0"/>
    <x v="0"/>
    <x v="0"/>
    <x v="380"/>
    <n v="88"/>
    <s v="B"/>
  </r>
  <r>
    <x v="728"/>
    <x v="0"/>
    <x v="19"/>
    <x v="134"/>
    <x v="24"/>
    <x v="0"/>
    <x v="0"/>
    <x v="0"/>
    <x v="0"/>
    <x v="381"/>
    <n v="85"/>
    <s v="B"/>
  </r>
  <r>
    <x v="729"/>
    <x v="1"/>
    <x v="0"/>
    <x v="290"/>
    <x v="21"/>
    <x v="4"/>
    <x v="0"/>
    <x v="1"/>
    <x v="0"/>
    <x v="382"/>
    <n v="99"/>
    <s v="A"/>
  </r>
  <r>
    <x v="730"/>
    <x v="0"/>
    <x v="67"/>
    <x v="102"/>
    <x v="30"/>
    <x v="3"/>
    <x v="0"/>
    <x v="1"/>
    <x v="0"/>
    <x v="383"/>
    <n v="100"/>
    <s v="A"/>
  </r>
  <r>
    <x v="731"/>
    <x v="0"/>
    <x v="38"/>
    <x v="239"/>
    <x v="12"/>
    <x v="0"/>
    <x v="1"/>
    <x v="1"/>
    <x v="0"/>
    <x v="194"/>
    <n v="85"/>
    <s v="B"/>
  </r>
  <r>
    <x v="732"/>
    <x v="0"/>
    <x v="45"/>
    <x v="299"/>
    <x v="25"/>
    <x v="2"/>
    <x v="1"/>
    <x v="1"/>
    <x v="0"/>
    <x v="97"/>
    <n v="74"/>
    <s v="C"/>
  </r>
  <r>
    <x v="733"/>
    <x v="1"/>
    <x v="33"/>
    <x v="94"/>
    <x v="14"/>
    <x v="3"/>
    <x v="0"/>
    <x v="1"/>
    <x v="0"/>
    <x v="384"/>
    <n v="100"/>
    <s v="A"/>
  </r>
  <r>
    <x v="734"/>
    <x v="1"/>
    <x v="49"/>
    <x v="1"/>
    <x v="36"/>
    <x v="2"/>
    <x v="0"/>
    <x v="1"/>
    <x v="1"/>
    <x v="147"/>
    <n v="80"/>
    <s v="C"/>
  </r>
  <r>
    <x v="735"/>
    <x v="0"/>
    <x v="8"/>
    <x v="85"/>
    <x v="13"/>
    <x v="0"/>
    <x v="0"/>
    <x v="0"/>
    <x v="0"/>
    <x v="88"/>
    <n v="91"/>
    <s v="A"/>
  </r>
  <r>
    <x v="736"/>
    <x v="1"/>
    <x v="30"/>
    <x v="131"/>
    <x v="27"/>
    <x v="1"/>
    <x v="1"/>
    <x v="0"/>
    <x v="0"/>
    <x v="191"/>
    <n v="95"/>
    <s v="A"/>
  </r>
  <r>
    <x v="737"/>
    <x v="0"/>
    <x v="22"/>
    <x v="195"/>
    <x v="28"/>
    <x v="1"/>
    <x v="0"/>
    <x v="1"/>
    <x v="1"/>
    <x v="385"/>
    <n v="67"/>
    <s v="D"/>
  </r>
  <r>
    <x v="738"/>
    <x v="0"/>
    <x v="47"/>
    <x v="53"/>
    <x v="30"/>
    <x v="3"/>
    <x v="0"/>
    <x v="0"/>
    <x v="0"/>
    <x v="248"/>
    <n v="93"/>
    <s v="A"/>
  </r>
  <r>
    <x v="739"/>
    <x v="1"/>
    <x v="22"/>
    <x v="189"/>
    <x v="38"/>
    <x v="1"/>
    <x v="0"/>
    <x v="0"/>
    <x v="0"/>
    <x v="210"/>
    <n v="82"/>
    <s v="B"/>
  </r>
  <r>
    <x v="740"/>
    <x v="0"/>
    <x v="0"/>
    <x v="194"/>
    <x v="42"/>
    <x v="1"/>
    <x v="0"/>
    <x v="1"/>
    <x v="0"/>
    <x v="335"/>
    <n v="63"/>
    <s v="D"/>
  </r>
  <r>
    <x v="741"/>
    <x v="1"/>
    <x v="24"/>
    <x v="199"/>
    <x v="15"/>
    <x v="0"/>
    <x v="0"/>
    <x v="0"/>
    <x v="0"/>
    <x v="282"/>
    <n v="94"/>
    <s v="A"/>
  </r>
  <r>
    <x v="742"/>
    <x v="1"/>
    <x v="38"/>
    <x v="16"/>
    <x v="11"/>
    <x v="0"/>
    <x v="0"/>
    <x v="1"/>
    <x v="1"/>
    <x v="386"/>
    <n v="85"/>
    <s v="B"/>
  </r>
  <r>
    <x v="743"/>
    <x v="0"/>
    <x v="0"/>
    <x v="16"/>
    <x v="31"/>
    <x v="0"/>
    <x v="0"/>
    <x v="1"/>
    <x v="1"/>
    <x v="84"/>
    <n v="82"/>
    <s v="B"/>
  </r>
  <r>
    <x v="744"/>
    <x v="0"/>
    <x v="0"/>
    <x v="67"/>
    <x v="7"/>
    <x v="1"/>
    <x v="0"/>
    <x v="0"/>
    <x v="0"/>
    <x v="53"/>
    <n v="90"/>
    <s v="B"/>
  </r>
  <r>
    <x v="745"/>
    <x v="1"/>
    <x v="39"/>
    <x v="53"/>
    <x v="29"/>
    <x v="0"/>
    <x v="0"/>
    <x v="1"/>
    <x v="1"/>
    <x v="137"/>
    <n v="83"/>
    <s v="B"/>
  </r>
  <r>
    <x v="746"/>
    <x v="0"/>
    <x v="36"/>
    <x v="60"/>
    <x v="57"/>
    <x v="0"/>
    <x v="0"/>
    <x v="0"/>
    <x v="1"/>
    <x v="387"/>
    <n v="100"/>
    <s v="A"/>
  </r>
  <r>
    <x v="747"/>
    <x v="0"/>
    <x v="5"/>
    <x v="51"/>
    <x v="19"/>
    <x v="2"/>
    <x v="1"/>
    <x v="0"/>
    <x v="0"/>
    <x v="270"/>
    <n v="92"/>
    <s v="A"/>
  </r>
  <r>
    <x v="748"/>
    <x v="0"/>
    <x v="28"/>
    <x v="180"/>
    <x v="29"/>
    <x v="3"/>
    <x v="0"/>
    <x v="0"/>
    <x v="0"/>
    <x v="156"/>
    <n v="77"/>
    <s v="C"/>
  </r>
  <r>
    <x v="749"/>
    <x v="1"/>
    <x v="2"/>
    <x v="300"/>
    <x v="24"/>
    <x v="2"/>
    <x v="1"/>
    <x v="1"/>
    <x v="0"/>
    <x v="79"/>
    <n v="95"/>
    <s v="A"/>
  </r>
  <r>
    <x v="750"/>
    <x v="1"/>
    <x v="8"/>
    <x v="270"/>
    <x v="2"/>
    <x v="3"/>
    <x v="0"/>
    <x v="1"/>
    <x v="0"/>
    <x v="354"/>
    <n v="89"/>
    <s v="B"/>
  </r>
  <r>
    <x v="751"/>
    <x v="0"/>
    <x v="34"/>
    <x v="1"/>
    <x v="9"/>
    <x v="0"/>
    <x v="0"/>
    <x v="0"/>
    <x v="1"/>
    <x v="349"/>
    <n v="93"/>
    <s v="A"/>
  </r>
  <r>
    <x v="752"/>
    <x v="1"/>
    <x v="17"/>
    <x v="286"/>
    <x v="27"/>
    <x v="1"/>
    <x v="0"/>
    <x v="1"/>
    <x v="1"/>
    <x v="388"/>
    <n v="96"/>
    <s v="A"/>
  </r>
  <r>
    <x v="753"/>
    <x v="1"/>
    <x v="21"/>
    <x v="301"/>
    <x v="0"/>
    <x v="3"/>
    <x v="0"/>
    <x v="0"/>
    <x v="0"/>
    <x v="87"/>
    <n v="67"/>
    <s v="D"/>
  </r>
  <r>
    <x v="754"/>
    <x v="1"/>
    <x v="28"/>
    <x v="243"/>
    <x v="17"/>
    <x v="0"/>
    <x v="0"/>
    <x v="1"/>
    <x v="0"/>
    <x v="389"/>
    <n v="85"/>
    <s v="B"/>
  </r>
  <r>
    <x v="755"/>
    <x v="1"/>
    <x v="31"/>
    <x v="302"/>
    <x v="51"/>
    <x v="0"/>
    <x v="0"/>
    <x v="0"/>
    <x v="1"/>
    <x v="387"/>
    <n v="90"/>
    <s v="B"/>
  </r>
  <r>
    <x v="756"/>
    <x v="1"/>
    <x v="12"/>
    <x v="183"/>
    <x v="7"/>
    <x v="0"/>
    <x v="0"/>
    <x v="1"/>
    <x v="0"/>
    <x v="152"/>
    <n v="90"/>
    <s v="A"/>
  </r>
  <r>
    <x v="757"/>
    <x v="0"/>
    <x v="19"/>
    <x v="54"/>
    <x v="13"/>
    <x v="0"/>
    <x v="0"/>
    <x v="0"/>
    <x v="1"/>
    <x v="155"/>
    <n v="83"/>
    <s v="B"/>
  </r>
  <r>
    <x v="758"/>
    <x v="0"/>
    <x v="46"/>
    <x v="35"/>
    <x v="24"/>
    <x v="1"/>
    <x v="0"/>
    <x v="0"/>
    <x v="0"/>
    <x v="117"/>
    <n v="85"/>
    <s v="B"/>
  </r>
  <r>
    <x v="759"/>
    <x v="0"/>
    <x v="15"/>
    <x v="129"/>
    <x v="27"/>
    <x v="0"/>
    <x v="1"/>
    <x v="0"/>
    <x v="1"/>
    <x v="20"/>
    <n v="72"/>
    <s v="C"/>
  </r>
  <r>
    <x v="760"/>
    <x v="1"/>
    <x v="18"/>
    <x v="217"/>
    <x v="6"/>
    <x v="1"/>
    <x v="0"/>
    <x v="1"/>
    <x v="1"/>
    <x v="390"/>
    <n v="53"/>
    <s v="F"/>
  </r>
  <r>
    <x v="761"/>
    <x v="1"/>
    <x v="59"/>
    <x v="125"/>
    <x v="12"/>
    <x v="3"/>
    <x v="1"/>
    <x v="0"/>
    <x v="1"/>
    <x v="378"/>
    <n v="74"/>
    <s v="C"/>
  </r>
  <r>
    <x v="762"/>
    <x v="0"/>
    <x v="36"/>
    <x v="122"/>
    <x v="7"/>
    <x v="1"/>
    <x v="0"/>
    <x v="1"/>
    <x v="0"/>
    <x v="60"/>
    <n v="97"/>
    <s v="A"/>
  </r>
  <r>
    <x v="763"/>
    <x v="1"/>
    <x v="4"/>
    <x v="303"/>
    <x v="1"/>
    <x v="1"/>
    <x v="0"/>
    <x v="0"/>
    <x v="0"/>
    <x v="104"/>
    <n v="81"/>
    <s v="B"/>
  </r>
  <r>
    <x v="764"/>
    <x v="0"/>
    <x v="41"/>
    <x v="157"/>
    <x v="17"/>
    <x v="0"/>
    <x v="0"/>
    <x v="0"/>
    <x v="0"/>
    <x v="122"/>
    <n v="85"/>
    <s v="B"/>
  </r>
  <r>
    <x v="765"/>
    <x v="0"/>
    <x v="35"/>
    <x v="1"/>
    <x v="28"/>
    <x v="3"/>
    <x v="0"/>
    <x v="0"/>
    <x v="0"/>
    <x v="151"/>
    <n v="81"/>
    <s v="B"/>
  </r>
  <r>
    <x v="766"/>
    <x v="0"/>
    <x v="44"/>
    <x v="53"/>
    <x v="63"/>
    <x v="0"/>
    <x v="0"/>
    <x v="1"/>
    <x v="0"/>
    <x v="145"/>
    <n v="84"/>
    <s v="B"/>
  </r>
  <r>
    <x v="767"/>
    <x v="1"/>
    <x v="6"/>
    <x v="241"/>
    <x v="28"/>
    <x v="1"/>
    <x v="0"/>
    <x v="0"/>
    <x v="1"/>
    <x v="387"/>
    <n v="71"/>
    <s v="C"/>
  </r>
  <r>
    <x v="768"/>
    <x v="1"/>
    <x v="47"/>
    <x v="304"/>
    <x v="9"/>
    <x v="0"/>
    <x v="0"/>
    <x v="1"/>
    <x v="0"/>
    <x v="119"/>
    <n v="86"/>
    <s v="B"/>
  </r>
  <r>
    <x v="769"/>
    <x v="0"/>
    <x v="29"/>
    <x v="219"/>
    <x v="58"/>
    <x v="1"/>
    <x v="0"/>
    <x v="1"/>
    <x v="0"/>
    <x v="143"/>
    <n v="98"/>
    <s v="A"/>
  </r>
  <r>
    <x v="770"/>
    <x v="0"/>
    <x v="44"/>
    <x v="305"/>
    <x v="39"/>
    <x v="2"/>
    <x v="0"/>
    <x v="1"/>
    <x v="0"/>
    <x v="88"/>
    <n v="83"/>
    <s v="B"/>
  </r>
  <r>
    <x v="771"/>
    <x v="0"/>
    <x v="60"/>
    <x v="20"/>
    <x v="11"/>
    <x v="2"/>
    <x v="0"/>
    <x v="0"/>
    <x v="1"/>
    <x v="8"/>
    <n v="92"/>
    <s v="A"/>
  </r>
  <r>
    <x v="772"/>
    <x v="0"/>
    <x v="29"/>
    <x v="169"/>
    <x v="15"/>
    <x v="0"/>
    <x v="0"/>
    <x v="1"/>
    <x v="0"/>
    <x v="245"/>
    <n v="91"/>
    <s v="A"/>
  </r>
  <r>
    <x v="773"/>
    <x v="1"/>
    <x v="56"/>
    <x v="23"/>
    <x v="23"/>
    <x v="1"/>
    <x v="0"/>
    <x v="1"/>
    <x v="1"/>
    <x v="109"/>
    <n v="84"/>
    <s v="B"/>
  </r>
  <r>
    <x v="774"/>
    <x v="1"/>
    <x v="35"/>
    <x v="255"/>
    <x v="13"/>
    <x v="3"/>
    <x v="0"/>
    <x v="0"/>
    <x v="0"/>
    <x v="1"/>
    <n v="75"/>
    <s v="C"/>
  </r>
  <r>
    <x v="775"/>
    <x v="0"/>
    <x v="60"/>
    <x v="269"/>
    <x v="24"/>
    <x v="1"/>
    <x v="0"/>
    <x v="1"/>
    <x v="1"/>
    <x v="391"/>
    <n v="89"/>
    <s v="B"/>
  </r>
  <r>
    <x v="776"/>
    <x v="0"/>
    <x v="37"/>
    <x v="211"/>
    <x v="36"/>
    <x v="0"/>
    <x v="0"/>
    <x v="0"/>
    <x v="0"/>
    <x v="392"/>
    <n v="74"/>
    <s v="C"/>
  </r>
  <r>
    <x v="777"/>
    <x v="1"/>
    <x v="53"/>
    <x v="185"/>
    <x v="6"/>
    <x v="1"/>
    <x v="0"/>
    <x v="0"/>
    <x v="0"/>
    <x v="53"/>
    <n v="96"/>
    <s v="A"/>
  </r>
  <r>
    <x v="778"/>
    <x v="1"/>
    <x v="29"/>
    <x v="1"/>
    <x v="18"/>
    <x v="2"/>
    <x v="0"/>
    <x v="0"/>
    <x v="0"/>
    <x v="393"/>
    <n v="87"/>
    <s v="B"/>
  </r>
  <r>
    <x v="779"/>
    <x v="0"/>
    <x v="62"/>
    <x v="99"/>
    <x v="57"/>
    <x v="1"/>
    <x v="0"/>
    <x v="0"/>
    <x v="0"/>
    <x v="104"/>
    <n v="90"/>
    <s v="B"/>
  </r>
  <r>
    <x v="780"/>
    <x v="0"/>
    <x v="31"/>
    <x v="146"/>
    <x v="31"/>
    <x v="0"/>
    <x v="1"/>
    <x v="0"/>
    <x v="0"/>
    <x v="198"/>
    <n v="79"/>
    <s v="C"/>
  </r>
  <r>
    <x v="781"/>
    <x v="0"/>
    <x v="20"/>
    <x v="304"/>
    <x v="10"/>
    <x v="3"/>
    <x v="0"/>
    <x v="0"/>
    <x v="0"/>
    <x v="96"/>
    <n v="98"/>
    <s v="A"/>
  </r>
  <r>
    <x v="782"/>
    <x v="1"/>
    <x v="17"/>
    <x v="102"/>
    <x v="7"/>
    <x v="0"/>
    <x v="0"/>
    <x v="1"/>
    <x v="0"/>
    <x v="394"/>
    <n v="90"/>
    <s v="A"/>
  </r>
  <r>
    <x v="783"/>
    <x v="1"/>
    <x v="50"/>
    <x v="117"/>
    <x v="31"/>
    <x v="1"/>
    <x v="0"/>
    <x v="0"/>
    <x v="0"/>
    <x v="289"/>
    <n v="78"/>
    <s v="C"/>
  </r>
  <r>
    <x v="784"/>
    <x v="1"/>
    <x v="21"/>
    <x v="177"/>
    <x v="1"/>
    <x v="2"/>
    <x v="0"/>
    <x v="0"/>
    <x v="0"/>
    <x v="232"/>
    <n v="93"/>
    <s v="A"/>
  </r>
  <r>
    <x v="785"/>
    <x v="0"/>
    <x v="52"/>
    <x v="97"/>
    <x v="22"/>
    <x v="0"/>
    <x v="0"/>
    <x v="0"/>
    <x v="1"/>
    <x v="2"/>
    <n v="97"/>
    <s v="A"/>
  </r>
  <r>
    <x v="786"/>
    <x v="0"/>
    <x v="19"/>
    <x v="20"/>
    <x v="16"/>
    <x v="0"/>
    <x v="0"/>
    <x v="1"/>
    <x v="0"/>
    <x v="120"/>
    <n v="77"/>
    <s v="C"/>
  </r>
  <r>
    <x v="787"/>
    <x v="1"/>
    <x v="38"/>
    <x v="237"/>
    <x v="38"/>
    <x v="1"/>
    <x v="0"/>
    <x v="1"/>
    <x v="0"/>
    <x v="329"/>
    <n v="97"/>
    <s v="A"/>
  </r>
  <r>
    <x v="788"/>
    <x v="1"/>
    <x v="24"/>
    <x v="31"/>
    <x v="9"/>
    <x v="0"/>
    <x v="0"/>
    <x v="1"/>
    <x v="0"/>
    <x v="362"/>
    <n v="72"/>
    <s v="C"/>
  </r>
  <r>
    <x v="789"/>
    <x v="0"/>
    <x v="28"/>
    <x v="1"/>
    <x v="12"/>
    <x v="0"/>
    <x v="0"/>
    <x v="1"/>
    <x v="0"/>
    <x v="395"/>
    <n v="75"/>
    <s v="C"/>
  </r>
  <r>
    <x v="790"/>
    <x v="1"/>
    <x v="53"/>
    <x v="283"/>
    <x v="5"/>
    <x v="1"/>
    <x v="0"/>
    <x v="0"/>
    <x v="0"/>
    <x v="338"/>
    <n v="58"/>
    <s v="F"/>
  </r>
  <r>
    <x v="791"/>
    <x v="1"/>
    <x v="38"/>
    <x v="8"/>
    <x v="36"/>
    <x v="1"/>
    <x v="1"/>
    <x v="1"/>
    <x v="1"/>
    <x v="357"/>
    <n v="68"/>
    <s v="D"/>
  </r>
  <r>
    <x v="792"/>
    <x v="0"/>
    <x v="41"/>
    <x v="1"/>
    <x v="3"/>
    <x v="3"/>
    <x v="0"/>
    <x v="0"/>
    <x v="1"/>
    <x v="245"/>
    <n v="91"/>
    <s v="A"/>
  </r>
  <r>
    <x v="793"/>
    <x v="1"/>
    <x v="22"/>
    <x v="70"/>
    <x v="27"/>
    <x v="1"/>
    <x v="0"/>
    <x v="0"/>
    <x v="1"/>
    <x v="48"/>
    <n v="87"/>
    <s v="B"/>
  </r>
  <r>
    <x v="794"/>
    <x v="0"/>
    <x v="45"/>
    <x v="94"/>
    <x v="3"/>
    <x v="1"/>
    <x v="0"/>
    <x v="1"/>
    <x v="0"/>
    <x v="136"/>
    <n v="90"/>
    <s v="B"/>
  </r>
  <r>
    <x v="795"/>
    <x v="0"/>
    <x v="31"/>
    <x v="30"/>
    <x v="27"/>
    <x v="0"/>
    <x v="0"/>
    <x v="0"/>
    <x v="0"/>
    <x v="35"/>
    <n v="100"/>
    <s v="A"/>
  </r>
  <r>
    <x v="796"/>
    <x v="0"/>
    <x v="2"/>
    <x v="157"/>
    <x v="20"/>
    <x v="3"/>
    <x v="0"/>
    <x v="1"/>
    <x v="0"/>
    <x v="279"/>
    <n v="93"/>
    <s v="A"/>
  </r>
  <r>
    <x v="797"/>
    <x v="0"/>
    <x v="14"/>
    <x v="158"/>
    <x v="28"/>
    <x v="1"/>
    <x v="0"/>
    <x v="1"/>
    <x v="0"/>
    <x v="242"/>
    <n v="79"/>
    <s v="C"/>
  </r>
  <r>
    <x v="798"/>
    <x v="0"/>
    <x v="41"/>
    <x v="306"/>
    <x v="12"/>
    <x v="0"/>
    <x v="0"/>
    <x v="0"/>
    <x v="1"/>
    <x v="325"/>
    <n v="61"/>
    <s v="D"/>
  </r>
  <r>
    <x v="799"/>
    <x v="0"/>
    <x v="2"/>
    <x v="1"/>
    <x v="15"/>
    <x v="1"/>
    <x v="0"/>
    <x v="0"/>
    <x v="0"/>
    <x v="332"/>
    <n v="96"/>
    <s v="A"/>
  </r>
  <r>
    <x v="800"/>
    <x v="0"/>
    <x v="41"/>
    <x v="19"/>
    <x v="18"/>
    <x v="1"/>
    <x v="0"/>
    <x v="0"/>
    <x v="0"/>
    <x v="171"/>
    <n v="83"/>
    <s v="B"/>
  </r>
  <r>
    <x v="801"/>
    <x v="1"/>
    <x v="46"/>
    <x v="130"/>
    <x v="2"/>
    <x v="1"/>
    <x v="0"/>
    <x v="1"/>
    <x v="0"/>
    <x v="375"/>
    <n v="94"/>
    <s v="A"/>
  </r>
  <r>
    <x v="802"/>
    <x v="0"/>
    <x v="20"/>
    <x v="163"/>
    <x v="2"/>
    <x v="3"/>
    <x v="0"/>
    <x v="1"/>
    <x v="0"/>
    <x v="82"/>
    <n v="100"/>
    <s v="A"/>
  </r>
  <r>
    <x v="803"/>
    <x v="0"/>
    <x v="41"/>
    <x v="51"/>
    <x v="48"/>
    <x v="1"/>
    <x v="0"/>
    <x v="0"/>
    <x v="0"/>
    <x v="396"/>
    <n v="95"/>
    <s v="A"/>
  </r>
  <r>
    <x v="804"/>
    <x v="1"/>
    <x v="19"/>
    <x v="217"/>
    <x v="31"/>
    <x v="1"/>
    <x v="0"/>
    <x v="0"/>
    <x v="0"/>
    <x v="48"/>
    <n v="88"/>
    <s v="B"/>
  </r>
  <r>
    <x v="805"/>
    <x v="1"/>
    <x v="6"/>
    <x v="4"/>
    <x v="38"/>
    <x v="0"/>
    <x v="0"/>
    <x v="1"/>
    <x v="0"/>
    <x v="114"/>
    <n v="82"/>
    <s v="B"/>
  </r>
  <r>
    <x v="806"/>
    <x v="1"/>
    <x v="3"/>
    <x v="1"/>
    <x v="59"/>
    <x v="3"/>
    <x v="0"/>
    <x v="1"/>
    <x v="1"/>
    <x v="189"/>
    <n v="80"/>
    <s v="B"/>
  </r>
  <r>
    <x v="807"/>
    <x v="0"/>
    <x v="0"/>
    <x v="141"/>
    <x v="13"/>
    <x v="1"/>
    <x v="1"/>
    <x v="0"/>
    <x v="1"/>
    <x v="371"/>
    <n v="58"/>
    <s v="F"/>
  </r>
  <r>
    <x v="808"/>
    <x v="1"/>
    <x v="14"/>
    <x v="179"/>
    <x v="5"/>
    <x v="0"/>
    <x v="0"/>
    <x v="0"/>
    <x v="0"/>
    <x v="132"/>
    <n v="74"/>
    <s v="C"/>
  </r>
  <r>
    <x v="809"/>
    <x v="0"/>
    <x v="5"/>
    <x v="12"/>
    <x v="42"/>
    <x v="1"/>
    <x v="1"/>
    <x v="1"/>
    <x v="0"/>
    <x v="324"/>
    <n v="83"/>
    <s v="B"/>
  </r>
  <r>
    <x v="810"/>
    <x v="0"/>
    <x v="15"/>
    <x v="149"/>
    <x v="38"/>
    <x v="0"/>
    <x v="0"/>
    <x v="0"/>
    <x v="0"/>
    <x v="219"/>
    <n v="86"/>
    <s v="B"/>
  </r>
  <r>
    <x v="811"/>
    <x v="0"/>
    <x v="20"/>
    <x v="53"/>
    <x v="42"/>
    <x v="0"/>
    <x v="0"/>
    <x v="0"/>
    <x v="0"/>
    <x v="242"/>
    <n v="88"/>
    <s v="B"/>
  </r>
  <r>
    <x v="812"/>
    <x v="0"/>
    <x v="45"/>
    <x v="24"/>
    <x v="28"/>
    <x v="0"/>
    <x v="0"/>
    <x v="1"/>
    <x v="0"/>
    <x v="272"/>
    <n v="100"/>
    <s v="A"/>
  </r>
  <r>
    <x v="813"/>
    <x v="1"/>
    <x v="11"/>
    <x v="43"/>
    <x v="24"/>
    <x v="1"/>
    <x v="1"/>
    <x v="1"/>
    <x v="1"/>
    <x v="202"/>
    <n v="76"/>
    <s v="C"/>
  </r>
  <r>
    <x v="814"/>
    <x v="1"/>
    <x v="19"/>
    <x v="1"/>
    <x v="10"/>
    <x v="1"/>
    <x v="0"/>
    <x v="0"/>
    <x v="0"/>
    <x v="198"/>
    <n v="78"/>
    <s v="C"/>
  </r>
  <r>
    <x v="815"/>
    <x v="0"/>
    <x v="55"/>
    <x v="94"/>
    <x v="24"/>
    <x v="1"/>
    <x v="0"/>
    <x v="0"/>
    <x v="0"/>
    <x v="397"/>
    <n v="80"/>
    <s v="B"/>
  </r>
  <r>
    <x v="816"/>
    <x v="0"/>
    <x v="19"/>
    <x v="16"/>
    <x v="21"/>
    <x v="0"/>
    <x v="0"/>
    <x v="0"/>
    <x v="1"/>
    <x v="145"/>
    <n v="80"/>
    <s v="B"/>
  </r>
  <r>
    <x v="817"/>
    <x v="0"/>
    <x v="20"/>
    <x v="307"/>
    <x v="44"/>
    <x v="1"/>
    <x v="0"/>
    <x v="0"/>
    <x v="0"/>
    <x v="66"/>
    <n v="82"/>
    <s v="B"/>
  </r>
  <r>
    <x v="818"/>
    <x v="1"/>
    <x v="16"/>
    <x v="103"/>
    <x v="1"/>
    <x v="3"/>
    <x v="0"/>
    <x v="1"/>
    <x v="0"/>
    <x v="126"/>
    <n v="80"/>
    <s v="C"/>
  </r>
  <r>
    <x v="819"/>
    <x v="0"/>
    <x v="16"/>
    <x v="117"/>
    <x v="6"/>
    <x v="2"/>
    <x v="1"/>
    <x v="0"/>
    <x v="0"/>
    <x v="398"/>
    <n v="96"/>
    <s v="A"/>
  </r>
  <r>
    <x v="820"/>
    <x v="0"/>
    <x v="24"/>
    <x v="92"/>
    <x v="12"/>
    <x v="2"/>
    <x v="1"/>
    <x v="1"/>
    <x v="0"/>
    <x v="399"/>
    <n v="65"/>
    <s v="D"/>
  </r>
  <r>
    <x v="821"/>
    <x v="1"/>
    <x v="44"/>
    <x v="242"/>
    <x v="17"/>
    <x v="4"/>
    <x v="0"/>
    <x v="1"/>
    <x v="0"/>
    <x v="122"/>
    <n v="80"/>
    <s v="C"/>
  </r>
  <r>
    <x v="822"/>
    <x v="1"/>
    <x v="37"/>
    <x v="227"/>
    <x v="2"/>
    <x v="0"/>
    <x v="1"/>
    <x v="0"/>
    <x v="0"/>
    <x v="162"/>
    <n v="72"/>
    <s v="C"/>
  </r>
  <r>
    <x v="823"/>
    <x v="0"/>
    <x v="27"/>
    <x v="87"/>
    <x v="24"/>
    <x v="3"/>
    <x v="0"/>
    <x v="0"/>
    <x v="0"/>
    <x v="279"/>
    <n v="100"/>
    <s v="A"/>
  </r>
  <r>
    <x v="824"/>
    <x v="1"/>
    <x v="61"/>
    <x v="139"/>
    <x v="26"/>
    <x v="1"/>
    <x v="0"/>
    <x v="0"/>
    <x v="0"/>
    <x v="291"/>
    <n v="94"/>
    <s v="A"/>
  </r>
  <r>
    <x v="825"/>
    <x v="1"/>
    <x v="44"/>
    <x v="294"/>
    <x v="18"/>
    <x v="0"/>
    <x v="0"/>
    <x v="1"/>
    <x v="1"/>
    <x v="117"/>
    <n v="88"/>
    <s v="B"/>
  </r>
  <r>
    <x v="826"/>
    <x v="0"/>
    <x v="24"/>
    <x v="133"/>
    <x v="14"/>
    <x v="0"/>
    <x v="0"/>
    <x v="1"/>
    <x v="0"/>
    <x v="306"/>
    <n v="86"/>
    <s v="B"/>
  </r>
  <r>
    <x v="827"/>
    <x v="1"/>
    <x v="50"/>
    <x v="88"/>
    <x v="19"/>
    <x v="0"/>
    <x v="1"/>
    <x v="0"/>
    <x v="1"/>
    <x v="299"/>
    <n v="78"/>
    <s v="C"/>
  </r>
  <r>
    <x v="828"/>
    <x v="0"/>
    <x v="28"/>
    <x v="110"/>
    <x v="38"/>
    <x v="3"/>
    <x v="0"/>
    <x v="1"/>
    <x v="1"/>
    <x v="400"/>
    <n v="70"/>
    <s v="C"/>
  </r>
  <r>
    <x v="829"/>
    <x v="1"/>
    <x v="13"/>
    <x v="27"/>
    <x v="33"/>
    <x v="1"/>
    <x v="0"/>
    <x v="1"/>
    <x v="0"/>
    <x v="401"/>
    <n v="100"/>
    <s v="A"/>
  </r>
  <r>
    <x v="830"/>
    <x v="0"/>
    <x v="44"/>
    <x v="76"/>
    <x v="58"/>
    <x v="1"/>
    <x v="0"/>
    <x v="1"/>
    <x v="1"/>
    <x v="96"/>
    <n v="74"/>
    <s v="C"/>
  </r>
  <r>
    <x v="831"/>
    <x v="0"/>
    <x v="52"/>
    <x v="308"/>
    <x v="36"/>
    <x v="2"/>
    <x v="0"/>
    <x v="0"/>
    <x v="0"/>
    <x v="243"/>
    <n v="91"/>
    <s v="A"/>
  </r>
  <r>
    <x v="832"/>
    <x v="0"/>
    <x v="4"/>
    <x v="1"/>
    <x v="12"/>
    <x v="1"/>
    <x v="0"/>
    <x v="0"/>
    <x v="1"/>
    <x v="343"/>
    <n v="78"/>
    <s v="C"/>
  </r>
  <r>
    <x v="833"/>
    <x v="1"/>
    <x v="66"/>
    <x v="21"/>
    <x v="38"/>
    <x v="0"/>
    <x v="1"/>
    <x v="1"/>
    <x v="0"/>
    <x v="294"/>
    <n v="89"/>
    <s v="B"/>
  </r>
  <r>
    <x v="834"/>
    <x v="0"/>
    <x v="34"/>
    <x v="30"/>
    <x v="20"/>
    <x v="2"/>
    <x v="0"/>
    <x v="0"/>
    <x v="1"/>
    <x v="402"/>
    <n v="82"/>
    <s v="B"/>
  </r>
  <r>
    <x v="835"/>
    <x v="1"/>
    <x v="0"/>
    <x v="49"/>
    <x v="38"/>
    <x v="0"/>
    <x v="0"/>
    <x v="0"/>
    <x v="1"/>
    <x v="79"/>
    <n v="90"/>
    <s v="B"/>
  </r>
  <r>
    <x v="836"/>
    <x v="0"/>
    <x v="30"/>
    <x v="134"/>
    <x v="15"/>
    <x v="0"/>
    <x v="0"/>
    <x v="0"/>
    <x v="1"/>
    <x v="403"/>
    <n v="100"/>
    <s v="A"/>
  </r>
  <r>
    <x v="837"/>
    <x v="0"/>
    <x v="39"/>
    <x v="157"/>
    <x v="35"/>
    <x v="1"/>
    <x v="0"/>
    <x v="0"/>
    <x v="0"/>
    <x v="41"/>
    <n v="89"/>
    <s v="B"/>
  </r>
  <r>
    <x v="838"/>
    <x v="1"/>
    <x v="46"/>
    <x v="49"/>
    <x v="21"/>
    <x v="1"/>
    <x v="0"/>
    <x v="0"/>
    <x v="0"/>
    <x v="266"/>
    <n v="86"/>
    <s v="B"/>
  </r>
  <r>
    <x v="839"/>
    <x v="0"/>
    <x v="12"/>
    <x v="184"/>
    <x v="9"/>
    <x v="4"/>
    <x v="0"/>
    <x v="1"/>
    <x v="1"/>
    <x v="63"/>
    <n v="83"/>
    <s v="B"/>
  </r>
  <r>
    <x v="840"/>
    <x v="0"/>
    <x v="16"/>
    <x v="293"/>
    <x v="37"/>
    <x v="0"/>
    <x v="0"/>
    <x v="0"/>
    <x v="0"/>
    <x v="404"/>
    <n v="89"/>
    <s v="B"/>
  </r>
  <r>
    <x v="841"/>
    <x v="1"/>
    <x v="12"/>
    <x v="116"/>
    <x v="44"/>
    <x v="0"/>
    <x v="0"/>
    <x v="0"/>
    <x v="0"/>
    <x v="67"/>
    <n v="79"/>
    <s v="C"/>
  </r>
  <r>
    <x v="842"/>
    <x v="0"/>
    <x v="2"/>
    <x v="96"/>
    <x v="38"/>
    <x v="1"/>
    <x v="0"/>
    <x v="1"/>
    <x v="0"/>
    <x v="95"/>
    <n v="85"/>
    <s v="B"/>
  </r>
  <r>
    <x v="843"/>
    <x v="0"/>
    <x v="68"/>
    <x v="309"/>
    <x v="29"/>
    <x v="1"/>
    <x v="0"/>
    <x v="0"/>
    <x v="0"/>
    <x v="405"/>
    <n v="80"/>
    <s v="B"/>
  </r>
  <r>
    <x v="844"/>
    <x v="0"/>
    <x v="40"/>
    <x v="5"/>
    <x v="31"/>
    <x v="2"/>
    <x v="0"/>
    <x v="0"/>
    <x v="0"/>
    <x v="139"/>
    <n v="80"/>
    <s v="B"/>
  </r>
  <r>
    <x v="845"/>
    <x v="0"/>
    <x v="37"/>
    <x v="138"/>
    <x v="52"/>
    <x v="0"/>
    <x v="0"/>
    <x v="1"/>
    <x v="1"/>
    <x v="406"/>
    <n v="80"/>
    <s v="B"/>
  </r>
  <r>
    <x v="846"/>
    <x v="1"/>
    <x v="38"/>
    <x v="33"/>
    <x v="20"/>
    <x v="0"/>
    <x v="0"/>
    <x v="1"/>
    <x v="0"/>
    <x v="139"/>
    <n v="70"/>
    <s v="D"/>
  </r>
  <r>
    <x v="847"/>
    <x v="1"/>
    <x v="63"/>
    <x v="310"/>
    <x v="55"/>
    <x v="1"/>
    <x v="1"/>
    <x v="1"/>
    <x v="0"/>
    <x v="407"/>
    <n v="100"/>
    <s v="A"/>
  </r>
  <r>
    <x v="848"/>
    <x v="0"/>
    <x v="42"/>
    <x v="311"/>
    <x v="39"/>
    <x v="3"/>
    <x v="0"/>
    <x v="1"/>
    <x v="0"/>
    <x v="0"/>
    <n v="81"/>
    <s v="B"/>
  </r>
  <r>
    <x v="849"/>
    <x v="1"/>
    <x v="47"/>
    <x v="44"/>
    <x v="10"/>
    <x v="2"/>
    <x v="0"/>
    <x v="0"/>
    <x v="1"/>
    <x v="22"/>
    <n v="100"/>
    <s v="A"/>
  </r>
  <r>
    <x v="850"/>
    <x v="0"/>
    <x v="47"/>
    <x v="70"/>
    <x v="3"/>
    <x v="0"/>
    <x v="0"/>
    <x v="1"/>
    <x v="1"/>
    <x v="123"/>
    <n v="100"/>
    <s v="A"/>
  </r>
  <r>
    <x v="851"/>
    <x v="1"/>
    <x v="40"/>
    <x v="160"/>
    <x v="39"/>
    <x v="1"/>
    <x v="0"/>
    <x v="0"/>
    <x v="0"/>
    <x v="18"/>
    <n v="81"/>
    <s v="B"/>
  </r>
  <r>
    <x v="852"/>
    <x v="0"/>
    <x v="17"/>
    <x v="254"/>
    <x v="10"/>
    <x v="0"/>
    <x v="0"/>
    <x v="1"/>
    <x v="0"/>
    <x v="129"/>
    <n v="87"/>
    <s v="B"/>
  </r>
  <r>
    <x v="853"/>
    <x v="0"/>
    <x v="36"/>
    <x v="150"/>
    <x v="2"/>
    <x v="3"/>
    <x v="1"/>
    <x v="0"/>
    <x v="0"/>
    <x v="408"/>
    <n v="99"/>
    <s v="A"/>
  </r>
  <r>
    <x v="854"/>
    <x v="0"/>
    <x v="55"/>
    <x v="164"/>
    <x v="29"/>
    <x v="0"/>
    <x v="0"/>
    <x v="1"/>
    <x v="0"/>
    <x v="149"/>
    <n v="82"/>
    <s v="B"/>
  </r>
  <r>
    <x v="855"/>
    <x v="0"/>
    <x v="46"/>
    <x v="101"/>
    <x v="43"/>
    <x v="4"/>
    <x v="0"/>
    <x v="1"/>
    <x v="1"/>
    <x v="364"/>
    <n v="79"/>
    <s v="C"/>
  </r>
  <r>
    <x v="856"/>
    <x v="0"/>
    <x v="3"/>
    <x v="1"/>
    <x v="58"/>
    <x v="0"/>
    <x v="0"/>
    <x v="1"/>
    <x v="0"/>
    <x v="129"/>
    <n v="92"/>
    <s v="A"/>
  </r>
  <r>
    <x v="857"/>
    <x v="0"/>
    <x v="41"/>
    <x v="137"/>
    <x v="25"/>
    <x v="4"/>
    <x v="0"/>
    <x v="0"/>
    <x v="0"/>
    <x v="364"/>
    <n v="79"/>
    <s v="C"/>
  </r>
  <r>
    <x v="858"/>
    <x v="1"/>
    <x v="44"/>
    <x v="1"/>
    <x v="30"/>
    <x v="0"/>
    <x v="0"/>
    <x v="0"/>
    <x v="0"/>
    <x v="93"/>
    <n v="85"/>
    <s v="B"/>
  </r>
  <r>
    <x v="859"/>
    <x v="0"/>
    <x v="34"/>
    <x v="270"/>
    <x v="38"/>
    <x v="1"/>
    <x v="1"/>
    <x v="1"/>
    <x v="1"/>
    <x v="115"/>
    <n v="67"/>
    <s v="D"/>
  </r>
  <r>
    <x v="860"/>
    <x v="1"/>
    <x v="16"/>
    <x v="193"/>
    <x v="24"/>
    <x v="1"/>
    <x v="0"/>
    <x v="1"/>
    <x v="0"/>
    <x v="376"/>
    <n v="91"/>
    <s v="A"/>
  </r>
  <r>
    <x v="861"/>
    <x v="0"/>
    <x v="42"/>
    <x v="312"/>
    <x v="12"/>
    <x v="1"/>
    <x v="0"/>
    <x v="0"/>
    <x v="0"/>
    <x v="385"/>
    <n v="74"/>
    <s v="C"/>
  </r>
  <r>
    <x v="862"/>
    <x v="1"/>
    <x v="52"/>
    <x v="94"/>
    <x v="21"/>
    <x v="2"/>
    <x v="0"/>
    <x v="1"/>
    <x v="1"/>
    <x v="98"/>
    <n v="86"/>
    <s v="B"/>
  </r>
  <r>
    <x v="863"/>
    <x v="1"/>
    <x v="23"/>
    <x v="166"/>
    <x v="4"/>
    <x v="3"/>
    <x v="0"/>
    <x v="1"/>
    <x v="0"/>
    <x v="108"/>
    <n v="71"/>
    <s v="C"/>
  </r>
  <r>
    <x v="864"/>
    <x v="1"/>
    <x v="0"/>
    <x v="69"/>
    <x v="22"/>
    <x v="3"/>
    <x v="0"/>
    <x v="0"/>
    <x v="0"/>
    <x v="359"/>
    <n v="84"/>
    <s v="B"/>
  </r>
  <r>
    <x v="865"/>
    <x v="0"/>
    <x v="50"/>
    <x v="1"/>
    <x v="23"/>
    <x v="1"/>
    <x v="0"/>
    <x v="1"/>
    <x v="1"/>
    <x v="409"/>
    <n v="90"/>
    <s v="B"/>
  </r>
  <r>
    <x v="866"/>
    <x v="0"/>
    <x v="35"/>
    <x v="313"/>
    <x v="35"/>
    <x v="1"/>
    <x v="0"/>
    <x v="0"/>
    <x v="0"/>
    <x v="396"/>
    <n v="80"/>
    <s v="B"/>
  </r>
  <r>
    <x v="867"/>
    <x v="1"/>
    <x v="39"/>
    <x v="260"/>
    <x v="25"/>
    <x v="3"/>
    <x v="0"/>
    <x v="0"/>
    <x v="0"/>
    <x v="133"/>
    <n v="92"/>
    <s v="A"/>
  </r>
  <r>
    <x v="868"/>
    <x v="0"/>
    <x v="8"/>
    <x v="139"/>
    <x v="23"/>
    <x v="0"/>
    <x v="0"/>
    <x v="0"/>
    <x v="0"/>
    <x v="97"/>
    <n v="96"/>
    <s v="A"/>
  </r>
  <r>
    <x v="869"/>
    <x v="1"/>
    <x v="34"/>
    <x v="242"/>
    <x v="10"/>
    <x v="1"/>
    <x v="0"/>
    <x v="1"/>
    <x v="0"/>
    <x v="349"/>
    <n v="84"/>
    <s v="B"/>
  </r>
  <r>
    <x v="870"/>
    <x v="0"/>
    <x v="47"/>
    <x v="310"/>
    <x v="1"/>
    <x v="0"/>
    <x v="0"/>
    <x v="1"/>
    <x v="0"/>
    <x v="116"/>
    <n v="96"/>
    <s v="A"/>
  </r>
  <r>
    <x v="871"/>
    <x v="1"/>
    <x v="39"/>
    <x v="314"/>
    <x v="12"/>
    <x v="1"/>
    <x v="0"/>
    <x v="0"/>
    <x v="1"/>
    <x v="0"/>
    <n v="93"/>
    <s v="A"/>
  </r>
  <r>
    <x v="872"/>
    <x v="1"/>
    <x v="24"/>
    <x v="315"/>
    <x v="26"/>
    <x v="1"/>
    <x v="0"/>
    <x v="1"/>
    <x v="0"/>
    <x v="26"/>
    <n v="76"/>
    <s v="C"/>
  </r>
  <r>
    <x v="873"/>
    <x v="0"/>
    <x v="38"/>
    <x v="147"/>
    <x v="34"/>
    <x v="0"/>
    <x v="0"/>
    <x v="1"/>
    <x v="0"/>
    <x v="176"/>
    <n v="85"/>
    <s v="B"/>
  </r>
  <r>
    <x v="874"/>
    <x v="1"/>
    <x v="20"/>
    <x v="67"/>
    <x v="0"/>
    <x v="1"/>
    <x v="0"/>
    <x v="1"/>
    <x v="0"/>
    <x v="354"/>
    <n v="94"/>
    <s v="A"/>
  </r>
  <r>
    <x v="875"/>
    <x v="0"/>
    <x v="16"/>
    <x v="48"/>
    <x v="11"/>
    <x v="2"/>
    <x v="0"/>
    <x v="0"/>
    <x v="0"/>
    <x v="184"/>
    <n v="81"/>
    <s v="B"/>
  </r>
  <r>
    <x v="876"/>
    <x v="1"/>
    <x v="20"/>
    <x v="52"/>
    <x v="1"/>
    <x v="1"/>
    <x v="0"/>
    <x v="1"/>
    <x v="1"/>
    <x v="208"/>
    <n v="99"/>
    <s v="A"/>
  </r>
  <r>
    <x v="877"/>
    <x v="1"/>
    <x v="32"/>
    <x v="151"/>
    <x v="26"/>
    <x v="1"/>
    <x v="1"/>
    <x v="0"/>
    <x v="0"/>
    <x v="7"/>
    <n v="65"/>
    <s v="D"/>
  </r>
  <r>
    <x v="878"/>
    <x v="0"/>
    <x v="45"/>
    <x v="213"/>
    <x v="35"/>
    <x v="1"/>
    <x v="0"/>
    <x v="0"/>
    <x v="0"/>
    <x v="410"/>
    <n v="78"/>
    <s v="C"/>
  </r>
  <r>
    <x v="879"/>
    <x v="0"/>
    <x v="37"/>
    <x v="15"/>
    <x v="55"/>
    <x v="3"/>
    <x v="0"/>
    <x v="0"/>
    <x v="1"/>
    <x v="326"/>
    <n v="86"/>
    <s v="B"/>
  </r>
  <r>
    <x v="880"/>
    <x v="0"/>
    <x v="12"/>
    <x v="316"/>
    <x v="1"/>
    <x v="0"/>
    <x v="0"/>
    <x v="0"/>
    <x v="0"/>
    <x v="155"/>
    <n v="81"/>
    <s v="B"/>
  </r>
  <r>
    <x v="881"/>
    <x v="1"/>
    <x v="32"/>
    <x v="108"/>
    <x v="31"/>
    <x v="0"/>
    <x v="0"/>
    <x v="1"/>
    <x v="0"/>
    <x v="52"/>
    <n v="85"/>
    <s v="B"/>
  </r>
  <r>
    <x v="882"/>
    <x v="0"/>
    <x v="24"/>
    <x v="187"/>
    <x v="21"/>
    <x v="1"/>
    <x v="0"/>
    <x v="0"/>
    <x v="0"/>
    <x v="84"/>
    <n v="72"/>
    <s v="C"/>
  </r>
  <r>
    <x v="883"/>
    <x v="1"/>
    <x v="13"/>
    <x v="97"/>
    <x v="35"/>
    <x v="1"/>
    <x v="0"/>
    <x v="1"/>
    <x v="1"/>
    <x v="22"/>
    <n v="94"/>
    <s v="A"/>
  </r>
  <r>
    <x v="884"/>
    <x v="1"/>
    <x v="33"/>
    <x v="198"/>
    <x v="0"/>
    <x v="0"/>
    <x v="0"/>
    <x v="0"/>
    <x v="0"/>
    <x v="411"/>
    <n v="100"/>
    <s v="A"/>
  </r>
  <r>
    <x v="885"/>
    <x v="0"/>
    <x v="17"/>
    <x v="105"/>
    <x v="37"/>
    <x v="3"/>
    <x v="0"/>
    <x v="0"/>
    <x v="1"/>
    <x v="64"/>
    <n v="77"/>
    <s v="C"/>
  </r>
  <r>
    <x v="886"/>
    <x v="0"/>
    <x v="18"/>
    <x v="5"/>
    <x v="2"/>
    <x v="4"/>
    <x v="0"/>
    <x v="1"/>
    <x v="1"/>
    <x v="297"/>
    <n v="77"/>
    <s v="C"/>
  </r>
  <r>
    <x v="887"/>
    <x v="1"/>
    <x v="56"/>
    <x v="2"/>
    <x v="38"/>
    <x v="1"/>
    <x v="0"/>
    <x v="1"/>
    <x v="0"/>
    <x v="202"/>
    <n v="80"/>
    <s v="C"/>
  </r>
  <r>
    <x v="888"/>
    <x v="1"/>
    <x v="8"/>
    <x v="240"/>
    <x v="1"/>
    <x v="0"/>
    <x v="0"/>
    <x v="0"/>
    <x v="1"/>
    <x v="20"/>
    <n v="82"/>
    <s v="B"/>
  </r>
  <r>
    <x v="889"/>
    <x v="0"/>
    <x v="19"/>
    <x v="240"/>
    <x v="15"/>
    <x v="2"/>
    <x v="0"/>
    <x v="0"/>
    <x v="1"/>
    <x v="149"/>
    <n v="77"/>
    <s v="C"/>
  </r>
  <r>
    <x v="890"/>
    <x v="0"/>
    <x v="69"/>
    <x v="213"/>
    <x v="26"/>
    <x v="0"/>
    <x v="0"/>
    <x v="0"/>
    <x v="1"/>
    <x v="195"/>
    <n v="100"/>
    <s v="A"/>
  </r>
  <r>
    <x v="891"/>
    <x v="0"/>
    <x v="39"/>
    <x v="317"/>
    <x v="10"/>
    <x v="3"/>
    <x v="0"/>
    <x v="0"/>
    <x v="1"/>
    <x v="220"/>
    <n v="87"/>
    <s v="B"/>
  </r>
  <r>
    <x v="892"/>
    <x v="0"/>
    <x v="45"/>
    <x v="60"/>
    <x v="11"/>
    <x v="1"/>
    <x v="0"/>
    <x v="1"/>
    <x v="1"/>
    <x v="144"/>
    <n v="76"/>
    <s v="C"/>
  </r>
  <r>
    <x v="893"/>
    <x v="0"/>
    <x v="56"/>
    <x v="4"/>
    <x v="22"/>
    <x v="2"/>
    <x v="1"/>
    <x v="1"/>
    <x v="0"/>
    <x v="240"/>
    <n v="80"/>
    <s v="C"/>
  </r>
  <r>
    <x v="894"/>
    <x v="1"/>
    <x v="19"/>
    <x v="318"/>
    <x v="37"/>
    <x v="3"/>
    <x v="0"/>
    <x v="0"/>
    <x v="1"/>
    <x v="46"/>
    <n v="71"/>
    <s v="C"/>
  </r>
  <r>
    <x v="895"/>
    <x v="1"/>
    <x v="12"/>
    <x v="5"/>
    <x v="29"/>
    <x v="2"/>
    <x v="0"/>
    <x v="1"/>
    <x v="1"/>
    <x v="412"/>
    <n v="81"/>
    <s v="B"/>
  </r>
  <r>
    <x v="896"/>
    <x v="1"/>
    <x v="21"/>
    <x v="15"/>
    <x v="51"/>
    <x v="3"/>
    <x v="0"/>
    <x v="1"/>
    <x v="1"/>
    <x v="413"/>
    <n v="91"/>
    <s v="A"/>
  </r>
  <r>
    <x v="897"/>
    <x v="1"/>
    <x v="2"/>
    <x v="319"/>
    <x v="2"/>
    <x v="0"/>
    <x v="0"/>
    <x v="0"/>
    <x v="0"/>
    <x v="58"/>
    <n v="79"/>
    <s v="C"/>
  </r>
  <r>
    <x v="898"/>
    <x v="0"/>
    <x v="42"/>
    <x v="115"/>
    <x v="32"/>
    <x v="2"/>
    <x v="0"/>
    <x v="0"/>
    <x v="0"/>
    <x v="75"/>
    <n v="67"/>
    <s v="D"/>
  </r>
  <r>
    <x v="899"/>
    <x v="0"/>
    <x v="6"/>
    <x v="4"/>
    <x v="19"/>
    <x v="1"/>
    <x v="0"/>
    <x v="1"/>
    <x v="0"/>
    <x v="414"/>
    <n v="69"/>
    <s v="D"/>
  </r>
  <r>
    <x v="900"/>
    <x v="0"/>
    <x v="57"/>
    <x v="85"/>
    <x v="28"/>
    <x v="1"/>
    <x v="0"/>
    <x v="1"/>
    <x v="0"/>
    <x v="359"/>
    <n v="70"/>
    <s v="D"/>
  </r>
  <r>
    <x v="901"/>
    <x v="1"/>
    <x v="20"/>
    <x v="21"/>
    <x v="0"/>
    <x v="3"/>
    <x v="0"/>
    <x v="0"/>
    <x v="0"/>
    <x v="212"/>
    <n v="81"/>
    <s v="B"/>
  </r>
  <r>
    <x v="902"/>
    <x v="1"/>
    <x v="22"/>
    <x v="116"/>
    <x v="6"/>
    <x v="3"/>
    <x v="0"/>
    <x v="0"/>
    <x v="0"/>
    <x v="1"/>
    <n v="73"/>
    <s v="C"/>
  </r>
  <r>
    <x v="903"/>
    <x v="0"/>
    <x v="35"/>
    <x v="293"/>
    <x v="0"/>
    <x v="2"/>
    <x v="1"/>
    <x v="0"/>
    <x v="1"/>
    <x v="120"/>
    <n v="69"/>
    <s v="D"/>
  </r>
  <r>
    <x v="904"/>
    <x v="0"/>
    <x v="39"/>
    <x v="1"/>
    <x v="34"/>
    <x v="1"/>
    <x v="0"/>
    <x v="1"/>
    <x v="0"/>
    <x v="198"/>
    <n v="91"/>
    <s v="A"/>
  </r>
  <r>
    <x v="905"/>
    <x v="1"/>
    <x v="62"/>
    <x v="210"/>
    <x v="56"/>
    <x v="3"/>
    <x v="0"/>
    <x v="0"/>
    <x v="0"/>
    <x v="259"/>
    <n v="100"/>
    <s v="A"/>
  </r>
  <r>
    <x v="906"/>
    <x v="1"/>
    <x v="15"/>
    <x v="91"/>
    <x v="44"/>
    <x v="3"/>
    <x v="0"/>
    <x v="0"/>
    <x v="0"/>
    <x v="354"/>
    <n v="85"/>
    <s v="B"/>
  </r>
  <r>
    <x v="907"/>
    <x v="0"/>
    <x v="50"/>
    <x v="146"/>
    <x v="23"/>
    <x v="1"/>
    <x v="0"/>
    <x v="1"/>
    <x v="1"/>
    <x v="70"/>
    <n v="86"/>
    <s v="B"/>
  </r>
  <r>
    <x v="908"/>
    <x v="0"/>
    <x v="16"/>
    <x v="125"/>
    <x v="18"/>
    <x v="0"/>
    <x v="0"/>
    <x v="1"/>
    <x v="0"/>
    <x v="415"/>
    <n v="73"/>
    <s v="C"/>
  </r>
  <r>
    <x v="909"/>
    <x v="1"/>
    <x v="38"/>
    <x v="136"/>
    <x v="20"/>
    <x v="1"/>
    <x v="0"/>
    <x v="1"/>
    <x v="1"/>
    <x v="338"/>
    <n v="88"/>
    <s v="B"/>
  </r>
  <r>
    <x v="910"/>
    <x v="0"/>
    <x v="2"/>
    <x v="74"/>
    <x v="14"/>
    <x v="1"/>
    <x v="0"/>
    <x v="0"/>
    <x v="1"/>
    <x v="416"/>
    <n v="97"/>
    <s v="A"/>
  </r>
  <r>
    <x v="911"/>
    <x v="0"/>
    <x v="28"/>
    <x v="256"/>
    <x v="1"/>
    <x v="2"/>
    <x v="0"/>
    <x v="0"/>
    <x v="0"/>
    <x v="171"/>
    <n v="100"/>
    <s v="A"/>
  </r>
  <r>
    <x v="912"/>
    <x v="0"/>
    <x v="52"/>
    <x v="72"/>
    <x v="18"/>
    <x v="0"/>
    <x v="1"/>
    <x v="0"/>
    <x v="0"/>
    <x v="230"/>
    <n v="82"/>
    <s v="B"/>
  </r>
  <r>
    <x v="913"/>
    <x v="1"/>
    <x v="0"/>
    <x v="224"/>
    <x v="26"/>
    <x v="3"/>
    <x v="0"/>
    <x v="0"/>
    <x v="0"/>
    <x v="417"/>
    <n v="80"/>
    <s v="B"/>
  </r>
  <r>
    <x v="914"/>
    <x v="1"/>
    <x v="44"/>
    <x v="320"/>
    <x v="23"/>
    <x v="2"/>
    <x v="0"/>
    <x v="1"/>
    <x v="0"/>
    <x v="418"/>
    <n v="77"/>
    <s v="C"/>
  </r>
  <r>
    <x v="915"/>
    <x v="1"/>
    <x v="29"/>
    <x v="118"/>
    <x v="1"/>
    <x v="0"/>
    <x v="1"/>
    <x v="0"/>
    <x v="1"/>
    <x v="419"/>
    <n v="82"/>
    <s v="B"/>
  </r>
  <r>
    <x v="916"/>
    <x v="1"/>
    <x v="46"/>
    <x v="305"/>
    <x v="21"/>
    <x v="3"/>
    <x v="0"/>
    <x v="0"/>
    <x v="1"/>
    <x v="124"/>
    <n v="88"/>
    <s v="B"/>
  </r>
  <r>
    <x v="917"/>
    <x v="1"/>
    <x v="24"/>
    <x v="269"/>
    <x v="9"/>
    <x v="0"/>
    <x v="0"/>
    <x v="0"/>
    <x v="1"/>
    <x v="360"/>
    <n v="88"/>
    <s v="B"/>
  </r>
  <r>
    <x v="918"/>
    <x v="1"/>
    <x v="20"/>
    <x v="1"/>
    <x v="25"/>
    <x v="4"/>
    <x v="0"/>
    <x v="0"/>
    <x v="0"/>
    <x v="201"/>
    <n v="97"/>
    <s v="A"/>
  </r>
  <r>
    <x v="919"/>
    <x v="1"/>
    <x v="4"/>
    <x v="1"/>
    <x v="25"/>
    <x v="1"/>
    <x v="0"/>
    <x v="1"/>
    <x v="1"/>
    <x v="54"/>
    <n v="83"/>
    <s v="B"/>
  </r>
  <r>
    <x v="920"/>
    <x v="0"/>
    <x v="15"/>
    <x v="321"/>
    <x v="27"/>
    <x v="2"/>
    <x v="0"/>
    <x v="0"/>
    <x v="1"/>
    <x v="245"/>
    <n v="73"/>
    <s v="C"/>
  </r>
  <r>
    <x v="921"/>
    <x v="0"/>
    <x v="15"/>
    <x v="157"/>
    <x v="23"/>
    <x v="1"/>
    <x v="0"/>
    <x v="0"/>
    <x v="0"/>
    <x v="136"/>
    <n v="91"/>
    <s v="A"/>
  </r>
  <r>
    <x v="922"/>
    <x v="0"/>
    <x v="33"/>
    <x v="322"/>
    <x v="33"/>
    <x v="1"/>
    <x v="0"/>
    <x v="0"/>
    <x v="1"/>
    <x v="286"/>
    <n v="84"/>
    <s v="B"/>
  </r>
  <r>
    <x v="923"/>
    <x v="0"/>
    <x v="5"/>
    <x v="310"/>
    <x v="29"/>
    <x v="3"/>
    <x v="0"/>
    <x v="0"/>
    <x v="0"/>
    <x v="392"/>
    <n v="93"/>
    <s v="A"/>
  </r>
  <r>
    <x v="924"/>
    <x v="0"/>
    <x v="15"/>
    <x v="20"/>
    <x v="18"/>
    <x v="0"/>
    <x v="0"/>
    <x v="0"/>
    <x v="0"/>
    <x v="387"/>
    <n v="71"/>
    <s v="C"/>
  </r>
  <r>
    <x v="925"/>
    <x v="0"/>
    <x v="58"/>
    <x v="1"/>
    <x v="24"/>
    <x v="0"/>
    <x v="0"/>
    <x v="1"/>
    <x v="0"/>
    <x v="393"/>
    <n v="95"/>
    <s v="A"/>
  </r>
  <r>
    <x v="926"/>
    <x v="0"/>
    <x v="31"/>
    <x v="241"/>
    <x v="46"/>
    <x v="0"/>
    <x v="0"/>
    <x v="1"/>
    <x v="0"/>
    <x v="202"/>
    <n v="100"/>
    <s v="A"/>
  </r>
  <r>
    <x v="927"/>
    <x v="1"/>
    <x v="20"/>
    <x v="211"/>
    <x v="9"/>
    <x v="3"/>
    <x v="0"/>
    <x v="1"/>
    <x v="0"/>
    <x v="420"/>
    <n v="92"/>
    <s v="A"/>
  </r>
  <r>
    <x v="928"/>
    <x v="1"/>
    <x v="15"/>
    <x v="60"/>
    <x v="28"/>
    <x v="1"/>
    <x v="0"/>
    <x v="1"/>
    <x v="1"/>
    <x v="236"/>
    <n v="75"/>
    <s v="C"/>
  </r>
  <r>
    <x v="929"/>
    <x v="0"/>
    <x v="6"/>
    <x v="74"/>
    <x v="24"/>
    <x v="1"/>
    <x v="0"/>
    <x v="1"/>
    <x v="0"/>
    <x v="244"/>
    <n v="81"/>
    <s v="B"/>
  </r>
  <r>
    <x v="930"/>
    <x v="0"/>
    <x v="18"/>
    <x v="188"/>
    <x v="7"/>
    <x v="1"/>
    <x v="0"/>
    <x v="1"/>
    <x v="0"/>
    <x v="43"/>
    <n v="73"/>
    <s v="C"/>
  </r>
  <r>
    <x v="931"/>
    <x v="1"/>
    <x v="56"/>
    <x v="219"/>
    <x v="9"/>
    <x v="0"/>
    <x v="0"/>
    <x v="0"/>
    <x v="1"/>
    <x v="189"/>
    <n v="64"/>
    <s v="D"/>
  </r>
  <r>
    <x v="932"/>
    <x v="0"/>
    <x v="3"/>
    <x v="82"/>
    <x v="25"/>
    <x v="1"/>
    <x v="0"/>
    <x v="0"/>
    <x v="1"/>
    <x v="421"/>
    <n v="75"/>
    <s v="C"/>
  </r>
  <r>
    <x v="933"/>
    <x v="0"/>
    <x v="46"/>
    <x v="34"/>
    <x v="40"/>
    <x v="0"/>
    <x v="0"/>
    <x v="0"/>
    <x v="0"/>
    <x v="222"/>
    <n v="72"/>
    <s v="C"/>
  </r>
  <r>
    <x v="934"/>
    <x v="1"/>
    <x v="16"/>
    <x v="67"/>
    <x v="10"/>
    <x v="0"/>
    <x v="0"/>
    <x v="1"/>
    <x v="0"/>
    <x v="422"/>
    <n v="100"/>
    <s v="A"/>
  </r>
  <r>
    <x v="935"/>
    <x v="0"/>
    <x v="20"/>
    <x v="85"/>
    <x v="1"/>
    <x v="1"/>
    <x v="0"/>
    <x v="1"/>
    <x v="0"/>
    <x v="261"/>
    <n v="83"/>
    <s v="B"/>
  </r>
  <r>
    <x v="936"/>
    <x v="1"/>
    <x v="38"/>
    <x v="4"/>
    <x v="32"/>
    <x v="0"/>
    <x v="0"/>
    <x v="1"/>
    <x v="0"/>
    <x v="413"/>
    <n v="86"/>
    <s v="B"/>
  </r>
  <r>
    <x v="937"/>
    <x v="0"/>
    <x v="5"/>
    <x v="1"/>
    <x v="21"/>
    <x v="4"/>
    <x v="1"/>
    <x v="0"/>
    <x v="1"/>
    <x v="15"/>
    <n v="93"/>
    <s v="A"/>
  </r>
  <r>
    <x v="938"/>
    <x v="1"/>
    <x v="16"/>
    <x v="260"/>
    <x v="25"/>
    <x v="1"/>
    <x v="0"/>
    <x v="1"/>
    <x v="0"/>
    <x v="195"/>
    <n v="77"/>
    <s v="C"/>
  </r>
  <r>
    <x v="939"/>
    <x v="1"/>
    <x v="35"/>
    <x v="60"/>
    <x v="27"/>
    <x v="0"/>
    <x v="0"/>
    <x v="0"/>
    <x v="0"/>
    <x v="345"/>
    <n v="75"/>
    <s v="C"/>
  </r>
  <r>
    <x v="940"/>
    <x v="1"/>
    <x v="32"/>
    <x v="240"/>
    <x v="29"/>
    <x v="3"/>
    <x v="0"/>
    <x v="0"/>
    <x v="1"/>
    <x v="258"/>
    <n v="77"/>
    <s v="C"/>
  </r>
  <r>
    <x v="941"/>
    <x v="0"/>
    <x v="12"/>
    <x v="191"/>
    <x v="13"/>
    <x v="0"/>
    <x v="1"/>
    <x v="0"/>
    <x v="0"/>
    <x v="303"/>
    <n v="85"/>
    <s v="B"/>
  </r>
  <r>
    <x v="942"/>
    <x v="1"/>
    <x v="34"/>
    <x v="89"/>
    <x v="20"/>
    <x v="3"/>
    <x v="0"/>
    <x v="0"/>
    <x v="0"/>
    <x v="423"/>
    <n v="69"/>
    <s v="D"/>
  </r>
  <r>
    <x v="943"/>
    <x v="0"/>
    <x v="17"/>
    <x v="170"/>
    <x v="17"/>
    <x v="0"/>
    <x v="0"/>
    <x v="0"/>
    <x v="0"/>
    <x v="424"/>
    <n v="96"/>
    <s v="A"/>
  </r>
  <r>
    <x v="944"/>
    <x v="0"/>
    <x v="25"/>
    <x v="162"/>
    <x v="2"/>
    <x v="0"/>
    <x v="0"/>
    <x v="0"/>
    <x v="1"/>
    <x v="197"/>
    <n v="96"/>
    <s v="A"/>
  </r>
  <r>
    <x v="945"/>
    <x v="0"/>
    <x v="8"/>
    <x v="308"/>
    <x v="32"/>
    <x v="1"/>
    <x v="0"/>
    <x v="0"/>
    <x v="0"/>
    <x v="425"/>
    <n v="96"/>
    <s v="A"/>
  </r>
  <r>
    <x v="946"/>
    <x v="0"/>
    <x v="46"/>
    <x v="323"/>
    <x v="53"/>
    <x v="3"/>
    <x v="0"/>
    <x v="1"/>
    <x v="0"/>
    <x v="426"/>
    <n v="70"/>
    <s v="C"/>
  </r>
  <r>
    <x v="947"/>
    <x v="1"/>
    <x v="51"/>
    <x v="30"/>
    <x v="22"/>
    <x v="3"/>
    <x v="0"/>
    <x v="1"/>
    <x v="0"/>
    <x v="73"/>
    <n v="86"/>
    <s v="B"/>
  </r>
  <r>
    <x v="948"/>
    <x v="1"/>
    <x v="19"/>
    <x v="310"/>
    <x v="34"/>
    <x v="1"/>
    <x v="1"/>
    <x v="1"/>
    <x v="0"/>
    <x v="427"/>
    <n v="100"/>
    <s v="A"/>
  </r>
  <r>
    <x v="949"/>
    <x v="0"/>
    <x v="56"/>
    <x v="101"/>
    <x v="16"/>
    <x v="0"/>
    <x v="1"/>
    <x v="0"/>
    <x v="1"/>
    <x v="428"/>
    <n v="66"/>
    <s v="D"/>
  </r>
  <r>
    <x v="950"/>
    <x v="0"/>
    <x v="3"/>
    <x v="211"/>
    <x v="16"/>
    <x v="2"/>
    <x v="1"/>
    <x v="1"/>
    <x v="0"/>
    <x v="84"/>
    <n v="72"/>
    <s v="C"/>
  </r>
  <r>
    <x v="951"/>
    <x v="1"/>
    <x v="56"/>
    <x v="302"/>
    <x v="30"/>
    <x v="0"/>
    <x v="0"/>
    <x v="1"/>
    <x v="0"/>
    <x v="259"/>
    <n v="84"/>
    <s v="B"/>
  </r>
  <r>
    <x v="952"/>
    <x v="0"/>
    <x v="55"/>
    <x v="70"/>
    <x v="27"/>
    <x v="0"/>
    <x v="0"/>
    <x v="0"/>
    <x v="1"/>
    <x v="294"/>
    <n v="90"/>
    <s v="B"/>
  </r>
  <r>
    <x v="953"/>
    <x v="1"/>
    <x v="45"/>
    <x v="12"/>
    <x v="48"/>
    <x v="2"/>
    <x v="0"/>
    <x v="0"/>
    <x v="0"/>
    <x v="303"/>
    <n v="78"/>
    <s v="C"/>
  </r>
  <r>
    <x v="954"/>
    <x v="0"/>
    <x v="19"/>
    <x v="89"/>
    <x v="35"/>
    <x v="3"/>
    <x v="0"/>
    <x v="0"/>
    <x v="0"/>
    <x v="108"/>
    <n v="100"/>
    <s v="A"/>
  </r>
  <r>
    <x v="955"/>
    <x v="0"/>
    <x v="15"/>
    <x v="74"/>
    <x v="0"/>
    <x v="0"/>
    <x v="0"/>
    <x v="0"/>
    <x v="0"/>
    <x v="60"/>
    <n v="88"/>
    <s v="B"/>
  </r>
  <r>
    <x v="956"/>
    <x v="1"/>
    <x v="5"/>
    <x v="43"/>
    <x v="9"/>
    <x v="3"/>
    <x v="0"/>
    <x v="1"/>
    <x v="1"/>
    <x v="311"/>
    <n v="94"/>
    <s v="A"/>
  </r>
  <r>
    <x v="957"/>
    <x v="0"/>
    <x v="8"/>
    <x v="50"/>
    <x v="44"/>
    <x v="4"/>
    <x v="0"/>
    <x v="1"/>
    <x v="0"/>
    <x v="1"/>
    <n v="89"/>
    <s v="B"/>
  </r>
  <r>
    <x v="958"/>
    <x v="1"/>
    <x v="2"/>
    <x v="238"/>
    <x v="9"/>
    <x v="0"/>
    <x v="0"/>
    <x v="0"/>
    <x v="0"/>
    <x v="45"/>
    <n v="88"/>
    <s v="B"/>
  </r>
  <r>
    <x v="959"/>
    <x v="0"/>
    <x v="59"/>
    <x v="268"/>
    <x v="14"/>
    <x v="0"/>
    <x v="0"/>
    <x v="1"/>
    <x v="0"/>
    <x v="170"/>
    <n v="81"/>
    <s v="B"/>
  </r>
  <r>
    <x v="960"/>
    <x v="0"/>
    <x v="35"/>
    <x v="159"/>
    <x v="0"/>
    <x v="0"/>
    <x v="0"/>
    <x v="1"/>
    <x v="0"/>
    <x v="49"/>
    <n v="75"/>
    <s v="C"/>
  </r>
  <r>
    <x v="961"/>
    <x v="0"/>
    <x v="2"/>
    <x v="324"/>
    <x v="53"/>
    <x v="2"/>
    <x v="0"/>
    <x v="1"/>
    <x v="0"/>
    <x v="354"/>
    <n v="81"/>
    <s v="B"/>
  </r>
  <r>
    <x v="962"/>
    <x v="1"/>
    <x v="37"/>
    <x v="150"/>
    <x v="35"/>
    <x v="3"/>
    <x v="0"/>
    <x v="0"/>
    <x v="1"/>
    <x v="219"/>
    <n v="73"/>
    <s v="C"/>
  </r>
  <r>
    <x v="963"/>
    <x v="0"/>
    <x v="46"/>
    <x v="191"/>
    <x v="30"/>
    <x v="1"/>
    <x v="0"/>
    <x v="1"/>
    <x v="0"/>
    <x v="80"/>
    <n v="78"/>
    <s v="C"/>
  </r>
  <r>
    <x v="964"/>
    <x v="0"/>
    <x v="34"/>
    <x v="275"/>
    <x v="36"/>
    <x v="4"/>
    <x v="0"/>
    <x v="0"/>
    <x v="0"/>
    <x v="387"/>
    <n v="70"/>
    <s v="D"/>
  </r>
  <r>
    <x v="965"/>
    <x v="0"/>
    <x v="54"/>
    <x v="156"/>
    <x v="28"/>
    <x v="0"/>
    <x v="0"/>
    <x v="1"/>
    <x v="0"/>
    <x v="162"/>
    <n v="76"/>
    <s v="C"/>
  </r>
  <r>
    <x v="966"/>
    <x v="0"/>
    <x v="20"/>
    <x v="213"/>
    <x v="24"/>
    <x v="1"/>
    <x v="0"/>
    <x v="0"/>
    <x v="1"/>
    <x v="8"/>
    <n v="90"/>
    <s v="A"/>
  </r>
  <r>
    <x v="967"/>
    <x v="1"/>
    <x v="21"/>
    <x v="325"/>
    <x v="11"/>
    <x v="0"/>
    <x v="0"/>
    <x v="0"/>
    <x v="0"/>
    <x v="366"/>
    <n v="100"/>
    <s v="A"/>
  </r>
  <r>
    <x v="968"/>
    <x v="1"/>
    <x v="3"/>
    <x v="83"/>
    <x v="13"/>
    <x v="0"/>
    <x v="0"/>
    <x v="1"/>
    <x v="0"/>
    <x v="429"/>
    <n v="60"/>
    <s v="D"/>
  </r>
  <r>
    <x v="969"/>
    <x v="0"/>
    <x v="35"/>
    <x v="250"/>
    <x v="30"/>
    <x v="4"/>
    <x v="0"/>
    <x v="0"/>
    <x v="0"/>
    <x v="176"/>
    <n v="78"/>
    <s v="C"/>
  </r>
  <r>
    <x v="970"/>
    <x v="1"/>
    <x v="40"/>
    <x v="7"/>
    <x v="11"/>
    <x v="1"/>
    <x v="0"/>
    <x v="0"/>
    <x v="1"/>
    <x v="403"/>
    <n v="100"/>
    <s v="A"/>
  </r>
  <r>
    <x v="971"/>
    <x v="0"/>
    <x v="39"/>
    <x v="6"/>
    <x v="51"/>
    <x v="3"/>
    <x v="1"/>
    <x v="0"/>
    <x v="1"/>
    <x v="122"/>
    <n v="76"/>
    <s v="C"/>
  </r>
  <r>
    <x v="972"/>
    <x v="0"/>
    <x v="59"/>
    <x v="316"/>
    <x v="24"/>
    <x v="0"/>
    <x v="0"/>
    <x v="1"/>
    <x v="0"/>
    <x v="218"/>
    <n v="84"/>
    <s v="B"/>
  </r>
  <r>
    <x v="973"/>
    <x v="0"/>
    <x v="45"/>
    <x v="200"/>
    <x v="9"/>
    <x v="1"/>
    <x v="1"/>
    <x v="0"/>
    <x v="1"/>
    <x v="52"/>
    <n v="78"/>
    <s v="C"/>
  </r>
  <r>
    <x v="974"/>
    <x v="1"/>
    <x v="15"/>
    <x v="244"/>
    <x v="18"/>
    <x v="2"/>
    <x v="0"/>
    <x v="1"/>
    <x v="0"/>
    <x v="103"/>
    <n v="68"/>
    <s v="D"/>
  </r>
  <r>
    <x v="975"/>
    <x v="1"/>
    <x v="17"/>
    <x v="9"/>
    <x v="58"/>
    <x v="0"/>
    <x v="0"/>
    <x v="0"/>
    <x v="1"/>
    <x v="426"/>
    <n v="67"/>
    <s v="D"/>
  </r>
  <r>
    <x v="976"/>
    <x v="1"/>
    <x v="19"/>
    <x v="323"/>
    <x v="4"/>
    <x v="1"/>
    <x v="1"/>
    <x v="0"/>
    <x v="0"/>
    <x v="404"/>
    <n v="81"/>
    <s v="B"/>
  </r>
  <r>
    <x v="977"/>
    <x v="1"/>
    <x v="41"/>
    <x v="199"/>
    <x v="16"/>
    <x v="0"/>
    <x v="0"/>
    <x v="0"/>
    <x v="0"/>
    <x v="354"/>
    <n v="72"/>
    <s v="C"/>
  </r>
  <r>
    <x v="978"/>
    <x v="1"/>
    <x v="8"/>
    <x v="280"/>
    <x v="12"/>
    <x v="4"/>
    <x v="0"/>
    <x v="0"/>
    <x v="0"/>
    <x v="408"/>
    <n v="83"/>
    <s v="B"/>
  </r>
  <r>
    <x v="979"/>
    <x v="1"/>
    <x v="12"/>
    <x v="1"/>
    <x v="55"/>
    <x v="1"/>
    <x v="0"/>
    <x v="0"/>
    <x v="0"/>
    <x v="162"/>
    <n v="94"/>
    <s v="A"/>
  </r>
  <r>
    <x v="980"/>
    <x v="1"/>
    <x v="15"/>
    <x v="202"/>
    <x v="36"/>
    <x v="1"/>
    <x v="0"/>
    <x v="0"/>
    <x v="0"/>
    <x v="65"/>
    <n v="91"/>
    <s v="A"/>
  </r>
  <r>
    <x v="981"/>
    <x v="1"/>
    <x v="32"/>
    <x v="326"/>
    <x v="10"/>
    <x v="1"/>
    <x v="1"/>
    <x v="1"/>
    <x v="1"/>
    <x v="430"/>
    <n v="80"/>
    <s v="C"/>
  </r>
  <r>
    <x v="982"/>
    <x v="1"/>
    <x v="9"/>
    <x v="106"/>
    <x v="24"/>
    <x v="1"/>
    <x v="0"/>
    <x v="1"/>
    <x v="1"/>
    <x v="36"/>
    <n v="78"/>
    <s v="C"/>
  </r>
  <r>
    <x v="983"/>
    <x v="0"/>
    <x v="4"/>
    <x v="52"/>
    <x v="10"/>
    <x v="3"/>
    <x v="0"/>
    <x v="0"/>
    <x v="0"/>
    <x v="41"/>
    <n v="85"/>
    <s v="B"/>
  </r>
  <r>
    <x v="984"/>
    <x v="1"/>
    <x v="46"/>
    <x v="230"/>
    <x v="7"/>
    <x v="0"/>
    <x v="0"/>
    <x v="0"/>
    <x v="0"/>
    <x v="58"/>
    <n v="75"/>
    <s v="C"/>
  </r>
  <r>
    <x v="985"/>
    <x v="1"/>
    <x v="27"/>
    <x v="81"/>
    <x v="18"/>
    <x v="1"/>
    <x v="0"/>
    <x v="1"/>
    <x v="0"/>
    <x v="139"/>
    <n v="96"/>
    <s v="A"/>
  </r>
  <r>
    <x v="986"/>
    <x v="1"/>
    <x v="37"/>
    <x v="243"/>
    <x v="34"/>
    <x v="1"/>
    <x v="0"/>
    <x v="0"/>
    <x v="0"/>
    <x v="165"/>
    <n v="82"/>
    <s v="B"/>
  </r>
  <r>
    <x v="987"/>
    <x v="1"/>
    <x v="14"/>
    <x v="211"/>
    <x v="48"/>
    <x v="1"/>
    <x v="0"/>
    <x v="0"/>
    <x v="0"/>
    <x v="149"/>
    <n v="86"/>
    <s v="B"/>
  </r>
  <r>
    <x v="988"/>
    <x v="1"/>
    <x v="51"/>
    <x v="277"/>
    <x v="58"/>
    <x v="2"/>
    <x v="0"/>
    <x v="1"/>
    <x v="0"/>
    <x v="85"/>
    <n v="81"/>
    <s v="B"/>
  </r>
  <r>
    <x v="989"/>
    <x v="1"/>
    <x v="46"/>
    <x v="296"/>
    <x v="9"/>
    <x v="1"/>
    <x v="0"/>
    <x v="1"/>
    <x v="1"/>
    <x v="243"/>
    <n v="94"/>
    <s v="A"/>
  </r>
  <r>
    <x v="990"/>
    <x v="1"/>
    <x v="44"/>
    <x v="30"/>
    <x v="0"/>
    <x v="2"/>
    <x v="0"/>
    <x v="1"/>
    <x v="0"/>
    <x v="431"/>
    <n v="82"/>
    <s v="B"/>
  </r>
  <r>
    <x v="991"/>
    <x v="1"/>
    <x v="33"/>
    <x v="312"/>
    <x v="9"/>
    <x v="0"/>
    <x v="0"/>
    <x v="0"/>
    <x v="0"/>
    <x v="16"/>
    <n v="80"/>
    <s v="B"/>
  </r>
  <r>
    <x v="992"/>
    <x v="1"/>
    <x v="3"/>
    <x v="254"/>
    <x v="27"/>
    <x v="1"/>
    <x v="0"/>
    <x v="0"/>
    <x v="0"/>
    <x v="213"/>
    <n v="79"/>
    <s v="C"/>
  </r>
  <r>
    <x v="993"/>
    <x v="1"/>
    <x v="7"/>
    <x v="250"/>
    <x v="12"/>
    <x v="4"/>
    <x v="0"/>
    <x v="1"/>
    <x v="0"/>
    <x v="255"/>
    <n v="93"/>
    <s v="A"/>
  </r>
  <r>
    <x v="994"/>
    <x v="1"/>
    <x v="30"/>
    <x v="103"/>
    <x v="64"/>
    <x v="0"/>
    <x v="0"/>
    <x v="0"/>
    <x v="0"/>
    <x v="285"/>
    <n v="79"/>
    <s v="C"/>
  </r>
  <r>
    <x v="995"/>
    <x v="0"/>
    <x v="9"/>
    <x v="103"/>
    <x v="26"/>
    <x v="3"/>
    <x v="0"/>
    <x v="0"/>
    <x v="0"/>
    <x v="432"/>
    <n v="71"/>
    <s v="C"/>
  </r>
  <r>
    <x v="996"/>
    <x v="0"/>
    <x v="66"/>
    <x v="181"/>
    <x v="21"/>
    <x v="2"/>
    <x v="1"/>
    <x v="0"/>
    <x v="0"/>
    <x v="433"/>
    <n v="100"/>
    <s v="A"/>
  </r>
  <r>
    <x v="997"/>
    <x v="1"/>
    <x v="3"/>
    <x v="272"/>
    <x v="3"/>
    <x v="1"/>
    <x v="0"/>
    <x v="0"/>
    <x v="1"/>
    <x v="99"/>
    <n v="79"/>
    <s v="C"/>
  </r>
  <r>
    <x v="998"/>
    <x v="1"/>
    <x v="21"/>
    <x v="2"/>
    <x v="25"/>
    <x v="1"/>
    <x v="1"/>
    <x v="1"/>
    <x v="1"/>
    <x v="214"/>
    <n v="82"/>
    <s v="B"/>
  </r>
  <r>
    <x v="999"/>
    <x v="0"/>
    <x v="52"/>
    <x v="18"/>
    <x v="13"/>
    <x v="3"/>
    <x v="0"/>
    <x v="1"/>
    <x v="0"/>
    <x v="89"/>
    <n v="70"/>
    <s v="C"/>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s v="Male"/>
    <n v="4"/>
    <n v="98"/>
    <n v="6.5"/>
    <s v="Bachelors"/>
    <s v="Yes"/>
    <s v="Yes"/>
    <s v="No"/>
    <n v="76.900000000000006"/>
    <n v="100"/>
    <x v="0"/>
    <s v="A"/>
    <m/>
  </r>
  <r>
    <n v="2"/>
    <s v="Female"/>
    <n v="6.3"/>
    <n v="100"/>
    <n v="5.7"/>
    <s v="High School"/>
    <s v="Yes"/>
    <s v="Yes"/>
    <s v="Yes"/>
    <n v="75.5"/>
    <n v="100"/>
    <x v="0"/>
    <s v="A"/>
    <m/>
  </r>
  <r>
    <n v="3"/>
    <s v="Male"/>
    <n v="4.9000000000000004"/>
    <n v="85.3"/>
    <n v="7.9"/>
    <s v="Bachelors"/>
    <s v="Yes"/>
    <s v="No"/>
    <s v="Yes"/>
    <n v="88.5"/>
    <n v="97"/>
    <x v="0"/>
    <s v="A"/>
    <m/>
  </r>
  <r>
    <n v="4"/>
    <s v="Male"/>
    <n v="2.6"/>
    <n v="77.5"/>
    <n v="8"/>
    <s v="None"/>
    <s v="Yes"/>
    <s v="Yes"/>
    <s v="No"/>
    <n v="85.1"/>
    <n v="84"/>
    <x v="1"/>
    <s v="B"/>
    <m/>
  </r>
  <r>
    <n v="5"/>
    <s v="Male"/>
    <n v="2.2000000000000002"/>
    <n v="89.6"/>
    <n v="4.5999999999999996"/>
    <s v="Bachelors"/>
    <s v="Yes"/>
    <s v="No"/>
    <s v="Yes"/>
    <n v="61.8"/>
    <n v="68"/>
    <x v="2"/>
    <s v="D"/>
    <m/>
  </r>
  <r>
    <n v="6"/>
    <s v="Female"/>
    <n v="4.2"/>
    <n v="78.2"/>
    <n v="5.7"/>
    <s v="High School"/>
    <s v="Yes"/>
    <s v="No"/>
    <s v="No"/>
    <n v="79.8"/>
    <n v="82"/>
    <x v="1"/>
    <s v="B"/>
    <m/>
  </r>
  <r>
    <n v="7"/>
    <s v="Male"/>
    <n v="1.5"/>
    <n v="100"/>
    <n v="5"/>
    <s v="High School"/>
    <s v="Yes"/>
    <s v="Yes"/>
    <s v="Yes"/>
    <n v="58.6"/>
    <n v="70"/>
    <x v="3"/>
    <s v="D"/>
    <m/>
  </r>
  <r>
    <n v="8"/>
    <s v="Male"/>
    <n v="6.2"/>
    <n v="86.4"/>
    <n v="6"/>
    <s v="High School"/>
    <s v="Yes"/>
    <s v="Yes"/>
    <s v="No"/>
    <n v="78.400000000000006"/>
    <n v="88"/>
    <x v="4"/>
    <s v="B"/>
    <m/>
  </r>
  <r>
    <n v="9"/>
    <s v="Male"/>
    <n v="5.3"/>
    <n v="81.3"/>
    <n v="6.7"/>
    <s v="Bachelors"/>
    <s v="Yes"/>
    <s v="No"/>
    <s v="No"/>
    <n v="63.8"/>
    <n v="84"/>
    <x v="1"/>
    <s v="B"/>
    <m/>
  </r>
  <r>
    <n v="10"/>
    <s v="Female"/>
    <n v="2.8"/>
    <n v="86.8"/>
    <n v="5.0999999999999996"/>
    <s v="Bachelors"/>
    <s v="Yes"/>
    <s v="Yes"/>
    <s v="No"/>
    <n v="57.7"/>
    <n v="74"/>
    <x v="3"/>
    <s v="C"/>
    <m/>
  </r>
  <r>
    <n v="11"/>
    <s v="Male"/>
    <n v="0.9"/>
    <n v="71.5"/>
    <n v="5.7"/>
    <s v="High School"/>
    <s v="Yes"/>
    <s v="No"/>
    <s v="Yes"/>
    <n v="73.400000000000006"/>
    <n v="69"/>
    <x v="2"/>
    <s v="D"/>
    <m/>
  </r>
  <r>
    <n v="12"/>
    <s v="Male"/>
    <n v="5.5"/>
    <n v="75.3"/>
    <n v="5.6"/>
    <s v="None"/>
    <s v="Yes"/>
    <s v="Yes"/>
    <s v="No"/>
    <n v="37.9"/>
    <n v="77"/>
    <x v="5"/>
    <s v="C"/>
    <m/>
  </r>
  <r>
    <n v="13"/>
    <s v="Male"/>
    <n v="3.3"/>
    <n v="97"/>
    <n v="7"/>
    <s v="Masters"/>
    <s v="Yes"/>
    <s v="Yes"/>
    <s v="Yes"/>
    <n v="49"/>
    <n v="83"/>
    <x v="1"/>
    <s v="B"/>
    <m/>
  </r>
  <r>
    <n v="14"/>
    <s v="Male"/>
    <n v="5.4"/>
    <n v="78.400000000000006"/>
    <n v="6.9"/>
    <s v="Bachelors"/>
    <s v="No"/>
    <s v="No"/>
    <s v="No"/>
    <n v="67.900000000000006"/>
    <n v="93"/>
    <x v="6"/>
    <s v="A"/>
    <m/>
  </r>
  <r>
    <n v="15"/>
    <s v="Female"/>
    <n v="1.1000000000000001"/>
    <n v="74.5"/>
    <n v="5.9"/>
    <s v="Masters"/>
    <s v="Yes"/>
    <s v="Yes"/>
    <s v="Yes"/>
    <n v="71"/>
    <n v="74"/>
    <x v="3"/>
    <s v="C"/>
    <m/>
  </r>
  <r>
    <n v="16"/>
    <s v="Male"/>
    <n v="2.6"/>
    <n v="90.4"/>
    <n v="7"/>
    <s v="High School"/>
    <s v="Yes"/>
    <s v="Yes"/>
    <s v="No"/>
    <n v="65.599999999999994"/>
    <n v="85"/>
    <x v="4"/>
    <s v="B"/>
    <m/>
  </r>
  <r>
    <n v="17"/>
    <s v="Female"/>
    <n v="3.5"/>
    <n v="96.9"/>
    <n v="6.1"/>
    <s v="Bachelors"/>
    <s v="Yes"/>
    <s v="Yes"/>
    <s v="No"/>
    <n v="51"/>
    <n v="82"/>
    <x v="1"/>
    <s v="B"/>
    <m/>
  </r>
  <r>
    <n v="18"/>
    <s v="Female"/>
    <n v="3.6"/>
    <n v="92.2"/>
    <n v="6.5"/>
    <s v="Bachelors"/>
    <s v="Yes"/>
    <s v="Yes"/>
    <s v="Yes"/>
    <n v="60.2"/>
    <n v="76"/>
    <x v="5"/>
    <s v="C"/>
    <m/>
  </r>
  <r>
    <n v="19"/>
    <s v="Female"/>
    <n v="2.8"/>
    <n v="95"/>
    <n v="8.8000000000000007"/>
    <s v="Masters"/>
    <s v="No"/>
    <s v="Yes"/>
    <s v="No"/>
    <n v="74.7"/>
    <n v="90"/>
    <x v="6"/>
    <s v="B"/>
    <m/>
  </r>
  <r>
    <n v="20"/>
    <s v="Male"/>
    <n v="4.4000000000000004"/>
    <n v="77.400000000000006"/>
    <n v="8.4"/>
    <s v="Masters"/>
    <s v="No"/>
    <s v="No"/>
    <s v="Yes"/>
    <n v="77"/>
    <n v="93"/>
    <x v="6"/>
    <s v="A"/>
    <m/>
  </r>
  <r>
    <n v="21"/>
    <s v="Female"/>
    <n v="1.9"/>
    <n v="70.8"/>
    <n v="5.2"/>
    <s v="High School"/>
    <s v="Yes"/>
    <s v="Yes"/>
    <s v="No"/>
    <n v="69.8"/>
    <n v="74"/>
    <x v="3"/>
    <s v="C"/>
    <m/>
  </r>
  <r>
    <n v="22"/>
    <s v="Male"/>
    <n v="3.3"/>
    <n v="100"/>
    <n v="7.8"/>
    <s v="None"/>
    <s v="Yes"/>
    <s v="Yes"/>
    <s v="No"/>
    <n v="83.9"/>
    <n v="100"/>
    <x v="0"/>
    <s v="A"/>
    <m/>
  </r>
  <r>
    <n v="23"/>
    <s v="Female"/>
    <n v="3.7"/>
    <n v="81.8"/>
    <n v="7.8"/>
    <s v="High School"/>
    <s v="No"/>
    <s v="No"/>
    <s v="No"/>
    <n v="74.8"/>
    <n v="73"/>
    <x v="3"/>
    <s v="C"/>
    <m/>
  </r>
  <r>
    <n v="24"/>
    <s v="Female"/>
    <n v="4.3"/>
    <n v="82.5"/>
    <n v="5.4"/>
    <s v="PhD"/>
    <s v="No"/>
    <s v="Yes"/>
    <s v="No"/>
    <n v="61"/>
    <n v="71"/>
    <x v="3"/>
    <s v="C"/>
    <m/>
  </r>
  <r>
    <n v="25"/>
    <s v="Female"/>
    <n v="4.5999999999999996"/>
    <n v="98.3"/>
    <n v="7.8"/>
    <s v="None"/>
    <s v="Yes"/>
    <s v="Yes"/>
    <s v="Yes"/>
    <n v="66.599999999999994"/>
    <n v="97"/>
    <x v="0"/>
    <s v="A"/>
    <m/>
  </r>
  <r>
    <n v="26"/>
    <s v="Female"/>
    <n v="1.8"/>
    <n v="90.6"/>
    <n v="8.6"/>
    <s v="High School"/>
    <s v="Yes"/>
    <s v="No"/>
    <s v="No"/>
    <n v="53.2"/>
    <n v="76"/>
    <x v="5"/>
    <s v="C"/>
    <m/>
  </r>
  <r>
    <n v="27"/>
    <s v="Female"/>
    <n v="1.2"/>
    <n v="89.6"/>
    <n v="5.5"/>
    <s v="Masters"/>
    <s v="Yes"/>
    <s v="No"/>
    <s v="Yes"/>
    <n v="68.7"/>
    <n v="79"/>
    <x v="5"/>
    <s v="C"/>
    <m/>
  </r>
  <r>
    <n v="28"/>
    <s v="Female"/>
    <n v="5.4"/>
    <n v="100"/>
    <n v="5.7"/>
    <s v="High School"/>
    <s v="No"/>
    <s v="No"/>
    <s v="No"/>
    <n v="83.3"/>
    <n v="97"/>
    <x v="0"/>
    <s v="A"/>
    <m/>
  </r>
  <r>
    <n v="29"/>
    <s v="Female"/>
    <n v="4"/>
    <n v="78.599999999999994"/>
    <n v="8"/>
    <s v="Bachelors"/>
    <s v="Yes"/>
    <s v="No"/>
    <s v="No"/>
    <n v="78.2"/>
    <n v="84"/>
    <x v="1"/>
    <s v="B"/>
    <m/>
  </r>
  <r>
    <n v="30"/>
    <s v="Female"/>
    <n v="2.4"/>
    <n v="94.3"/>
    <n v="7.1"/>
    <s v="Bachelors"/>
    <s v="Yes"/>
    <s v="Yes"/>
    <s v="No"/>
    <n v="86.8"/>
    <n v="90"/>
    <x v="6"/>
    <s v="B"/>
    <m/>
  </r>
  <r>
    <n v="31"/>
    <s v="Male"/>
    <n v="5.8"/>
    <n v="85.6"/>
    <n v="7.5"/>
    <s v="Bachelors"/>
    <s v="Yes"/>
    <s v="No"/>
    <s v="Yes"/>
    <n v="66.400000000000006"/>
    <n v="82"/>
    <x v="1"/>
    <s v="B"/>
    <m/>
  </r>
  <r>
    <n v="32"/>
    <s v="Male"/>
    <n v="3.7"/>
    <n v="87.7"/>
    <n v="7.2"/>
    <s v="None"/>
    <s v="Yes"/>
    <s v="Yes"/>
    <s v="No"/>
    <n v="86.2"/>
    <n v="88"/>
    <x v="4"/>
    <s v="B"/>
    <m/>
  </r>
  <r>
    <n v="33"/>
    <s v="Female"/>
    <n v="5.3"/>
    <n v="100"/>
    <n v="7.3"/>
    <s v="Masters"/>
    <s v="Yes"/>
    <s v="Yes"/>
    <s v="No"/>
    <n v="67.7"/>
    <n v="100"/>
    <x v="0"/>
    <s v="A"/>
    <m/>
  </r>
  <r>
    <n v="34"/>
    <s v="Female"/>
    <n v="3.6"/>
    <n v="90.1"/>
    <n v="5.2"/>
    <s v="Bachelors"/>
    <s v="No"/>
    <s v="Yes"/>
    <s v="No"/>
    <n v="87.7"/>
    <n v="93"/>
    <x v="6"/>
    <s v="A"/>
    <m/>
  </r>
  <r>
    <n v="35"/>
    <s v="Female"/>
    <n v="6.6"/>
    <n v="90.4"/>
    <n v="8.1"/>
    <s v="Masters"/>
    <s v="Yes"/>
    <s v="Yes"/>
    <s v="Yes"/>
    <n v="69.7"/>
    <n v="100"/>
    <x v="0"/>
    <s v="A"/>
    <m/>
  </r>
  <r>
    <n v="36"/>
    <s v="Male"/>
    <n v="6.1"/>
    <n v="95.7"/>
    <n v="8.1999999999999993"/>
    <s v="None"/>
    <s v="Yes"/>
    <s v="Yes"/>
    <s v="Yes"/>
    <n v="78.5"/>
    <n v="93"/>
    <x v="6"/>
    <s v="A"/>
    <m/>
  </r>
  <r>
    <n v="37"/>
    <s v="Female"/>
    <n v="3.1"/>
    <n v="81.400000000000006"/>
    <n v="6.5"/>
    <s v="High School"/>
    <s v="Yes"/>
    <s v="No"/>
    <s v="Yes"/>
    <n v="87.7"/>
    <n v="83"/>
    <x v="1"/>
    <s v="B"/>
    <m/>
  </r>
  <r>
    <n v="38"/>
    <s v="Male"/>
    <n v="5"/>
    <n v="76.599999999999994"/>
    <n v="6.7"/>
    <s v="None"/>
    <s v="Yes"/>
    <s v="Yes"/>
    <s v="No"/>
    <n v="67.7"/>
    <n v="81"/>
    <x v="1"/>
    <s v="B"/>
    <m/>
  </r>
  <r>
    <n v="39"/>
    <s v="Male"/>
    <n v="4.5"/>
    <n v="74.599999999999994"/>
    <n v="5"/>
    <s v="High School"/>
    <s v="Yes"/>
    <s v="Yes"/>
    <s v="Yes"/>
    <n v="72.599999999999994"/>
    <n v="90"/>
    <x v="6"/>
    <s v="B"/>
    <m/>
  </r>
  <r>
    <n v="40"/>
    <s v="Male"/>
    <n v="5.6"/>
    <n v="65.3"/>
    <n v="7.4"/>
    <s v="Masters"/>
    <s v="Yes"/>
    <s v="Yes"/>
    <s v="No"/>
    <n v="85.5"/>
    <n v="92"/>
    <x v="6"/>
    <s v="A"/>
    <m/>
  </r>
  <r>
    <n v="41"/>
    <s v="Male"/>
    <n v="2.1"/>
    <n v="100"/>
    <n v="7.5"/>
    <s v="High School"/>
    <s v="Yes"/>
    <s v="Yes"/>
    <s v="Yes"/>
    <n v="68.400000000000006"/>
    <n v="75"/>
    <x v="5"/>
    <s v="C"/>
    <m/>
  </r>
  <r>
    <n v="42"/>
    <s v="Male"/>
    <n v="4.5"/>
    <n v="74"/>
    <n v="6.7"/>
    <s v="High School"/>
    <s v="Yes"/>
    <s v="No"/>
    <s v="No"/>
    <n v="54.1"/>
    <n v="79"/>
    <x v="5"/>
    <s v="C"/>
    <m/>
  </r>
  <r>
    <n v="43"/>
    <s v="Female"/>
    <n v="5.0999999999999996"/>
    <n v="82.8"/>
    <n v="8.1"/>
    <s v="Bachelors"/>
    <s v="Yes"/>
    <s v="Yes"/>
    <s v="No"/>
    <n v="95.7"/>
    <n v="100"/>
    <x v="0"/>
    <s v="A"/>
    <m/>
  </r>
  <r>
    <n v="44"/>
    <s v="Female"/>
    <n v="0.9"/>
    <n v="82.2"/>
    <n v="6.4"/>
    <s v="Bachelors"/>
    <s v="Yes"/>
    <s v="Yes"/>
    <s v="No"/>
    <n v="64.400000000000006"/>
    <n v="79"/>
    <x v="5"/>
    <s v="C"/>
    <m/>
  </r>
  <r>
    <n v="45"/>
    <s v="Female"/>
    <n v="1.7"/>
    <n v="88.1"/>
    <n v="7.5"/>
    <s v="Bachelors"/>
    <s v="No"/>
    <s v="Yes"/>
    <s v="No"/>
    <n v="71.900000000000006"/>
    <n v="71"/>
    <x v="3"/>
    <s v="C"/>
    <m/>
  </r>
  <r>
    <n v="46"/>
    <s v="Female"/>
    <n v="0.5"/>
    <n v="93.2"/>
    <n v="5.6"/>
    <s v="High School"/>
    <s v="No"/>
    <s v="No"/>
    <s v="Yes"/>
    <n v="83.9"/>
    <n v="62"/>
    <x v="7"/>
    <s v="D"/>
    <m/>
  </r>
  <r>
    <n v="47"/>
    <s v="Female"/>
    <n v="3.1"/>
    <n v="93.6"/>
    <n v="6.8"/>
    <s v="Bachelors"/>
    <s v="Yes"/>
    <s v="Yes"/>
    <s v="Yes"/>
    <n v="62.7"/>
    <n v="68"/>
    <x v="2"/>
    <s v="D"/>
    <m/>
  </r>
  <r>
    <n v="48"/>
    <s v="Male"/>
    <n v="4.5999999999999996"/>
    <n v="79.2"/>
    <n v="6.6"/>
    <s v="None"/>
    <s v="Yes"/>
    <s v="Yes"/>
    <s v="Yes"/>
    <n v="57.9"/>
    <n v="80"/>
    <x v="1"/>
    <s v="B"/>
    <m/>
  </r>
  <r>
    <n v="49"/>
    <s v="Female"/>
    <n v="5.8"/>
    <n v="83.3"/>
    <n v="7.1"/>
    <s v="Bachelors"/>
    <s v="No"/>
    <s v="Yes"/>
    <s v="No"/>
    <n v="73"/>
    <n v="89"/>
    <x v="4"/>
    <s v="B"/>
    <m/>
  </r>
  <r>
    <n v="50"/>
    <s v="Female"/>
    <n v="3.6"/>
    <n v="87.8"/>
    <n v="6.4"/>
    <s v="High School"/>
    <s v="Yes"/>
    <s v="Yes"/>
    <s v="No"/>
    <n v="48.5"/>
    <n v="69"/>
    <x v="2"/>
    <s v="D"/>
    <m/>
  </r>
  <r>
    <n v="51"/>
    <s v="Male"/>
    <n v="5.9"/>
    <n v="82.5"/>
    <n v="6.6"/>
    <s v="Bachelors"/>
    <s v="Yes"/>
    <s v="Yes"/>
    <s v="No"/>
    <n v="66.5"/>
    <n v="100"/>
    <x v="0"/>
    <s v="A"/>
    <m/>
  </r>
  <r>
    <n v="52"/>
    <s v="Female"/>
    <n v="1.4"/>
    <n v="100"/>
    <n v="7.8"/>
    <s v="High School"/>
    <s v="No"/>
    <s v="No"/>
    <s v="No"/>
    <n v="72.900000000000006"/>
    <n v="82"/>
    <x v="1"/>
    <s v="B"/>
    <m/>
  </r>
  <r>
    <n v="53"/>
    <s v="Male"/>
    <n v="0.9"/>
    <n v="89.9"/>
    <n v="6.3"/>
    <s v="Masters"/>
    <s v="Yes"/>
    <s v="No"/>
    <s v="No"/>
    <n v="66.8"/>
    <n v="73"/>
    <x v="3"/>
    <s v="C"/>
    <m/>
  </r>
  <r>
    <n v="54"/>
    <s v="Female"/>
    <n v="3.4"/>
    <n v="92.3"/>
    <n v="4.9000000000000004"/>
    <s v="Masters"/>
    <s v="Yes"/>
    <s v="No"/>
    <s v="No"/>
    <n v="51.5"/>
    <n v="85"/>
    <x v="4"/>
    <s v="B"/>
    <m/>
  </r>
  <r>
    <n v="55"/>
    <s v="Male"/>
    <n v="4.0999999999999996"/>
    <n v="91.6"/>
    <n v="8.9"/>
    <s v="Bachelors"/>
    <s v="No"/>
    <s v="Yes"/>
    <s v="No"/>
    <n v="89.1"/>
    <n v="100"/>
    <x v="0"/>
    <s v="A"/>
    <m/>
  </r>
  <r>
    <n v="56"/>
    <s v="Female"/>
    <n v="3.5"/>
    <n v="96.7"/>
    <n v="8.5"/>
    <s v="Bachelors"/>
    <s v="Yes"/>
    <s v="Yes"/>
    <s v="Yes"/>
    <n v="71.2"/>
    <n v="84"/>
    <x v="1"/>
    <s v="B"/>
    <m/>
  </r>
  <r>
    <n v="57"/>
    <s v="Female"/>
    <n v="0.5"/>
    <n v="86.8"/>
    <n v="5.2"/>
    <s v="Masters"/>
    <s v="Yes"/>
    <s v="Yes"/>
    <s v="No"/>
    <n v="87.2"/>
    <n v="72"/>
    <x v="3"/>
    <s v="C"/>
    <m/>
  </r>
  <r>
    <n v="58"/>
    <s v="Male"/>
    <n v="3.4"/>
    <n v="72"/>
    <n v="7.6"/>
    <s v="Bachelors"/>
    <s v="Yes"/>
    <s v="No"/>
    <s v="No"/>
    <n v="66.900000000000006"/>
    <n v="84"/>
    <x v="1"/>
    <s v="B"/>
    <m/>
  </r>
  <r>
    <n v="59"/>
    <s v="Male"/>
    <n v="1.5"/>
    <n v="89"/>
    <n v="6.2"/>
    <s v="Masters"/>
    <s v="Yes"/>
    <s v="No"/>
    <s v="No"/>
    <n v="59.4"/>
    <n v="75"/>
    <x v="5"/>
    <s v="C"/>
    <m/>
  </r>
  <r>
    <n v="60"/>
    <s v="Male"/>
    <n v="4.5"/>
    <n v="78.5"/>
    <n v="7.1"/>
    <s v="Bachelors"/>
    <s v="Yes"/>
    <s v="No"/>
    <s v="No"/>
    <n v="73.2"/>
    <n v="90"/>
    <x v="6"/>
    <s v="B"/>
    <m/>
  </r>
  <r>
    <n v="61"/>
    <s v="Male"/>
    <n v="4"/>
    <n v="79.7"/>
    <n v="7.2"/>
    <s v="Masters"/>
    <s v="Yes"/>
    <s v="Yes"/>
    <s v="No"/>
    <n v="67.400000000000006"/>
    <n v="80"/>
    <x v="1"/>
    <s v="B"/>
    <m/>
  </r>
  <r>
    <n v="62"/>
    <s v="Male"/>
    <n v="2.1"/>
    <n v="90.9"/>
    <n v="6.5"/>
    <s v="Bachelors"/>
    <s v="No"/>
    <s v="Yes"/>
    <s v="Yes"/>
    <n v="55.9"/>
    <n v="71"/>
    <x v="3"/>
    <s v="C"/>
    <m/>
  </r>
  <r>
    <n v="63"/>
    <s v="Male"/>
    <n v="2.7"/>
    <n v="97.4"/>
    <n v="5.9"/>
    <s v="Bachelors"/>
    <s v="Yes"/>
    <s v="Yes"/>
    <s v="No"/>
    <n v="87.6"/>
    <n v="88"/>
    <x v="4"/>
    <s v="B"/>
    <m/>
  </r>
  <r>
    <n v="64"/>
    <s v="Male"/>
    <n v="1.9"/>
    <n v="85.2"/>
    <n v="6"/>
    <s v="None"/>
    <s v="Yes"/>
    <s v="No"/>
    <s v="No"/>
    <n v="62.5"/>
    <n v="73"/>
    <x v="3"/>
    <s v="C"/>
    <m/>
  </r>
  <r>
    <n v="65"/>
    <s v="Male"/>
    <n v="3.4"/>
    <n v="88.1"/>
    <n v="5.7"/>
    <s v="Bachelors"/>
    <s v="Yes"/>
    <s v="No"/>
    <s v="Yes"/>
    <n v="47.9"/>
    <n v="81"/>
    <x v="1"/>
    <s v="B"/>
    <m/>
  </r>
  <r>
    <n v="66"/>
    <s v="Female"/>
    <n v="4.9000000000000004"/>
    <n v="100"/>
    <n v="5.8"/>
    <s v="Bachelors"/>
    <s v="Yes"/>
    <s v="No"/>
    <s v="No"/>
    <n v="85.9"/>
    <n v="97"/>
    <x v="0"/>
    <s v="A"/>
    <m/>
  </r>
  <r>
    <n v="67"/>
    <s v="Female"/>
    <n v="2"/>
    <n v="87.4"/>
    <n v="6.7"/>
    <s v="High School"/>
    <s v="Yes"/>
    <s v="Yes"/>
    <s v="No"/>
    <n v="63.9"/>
    <n v="68"/>
    <x v="2"/>
    <s v="D"/>
    <m/>
  </r>
  <r>
    <n v="68"/>
    <s v="Male"/>
    <n v="4.3"/>
    <n v="100"/>
    <n v="5.9"/>
    <s v="Bachelors"/>
    <s v="No"/>
    <s v="Yes"/>
    <s v="No"/>
    <n v="62.7"/>
    <n v="79"/>
    <x v="5"/>
    <s v="C"/>
    <m/>
  </r>
  <r>
    <n v="69"/>
    <s v="Female"/>
    <n v="2.7"/>
    <n v="90.7"/>
    <n v="7.6"/>
    <s v="Bachelors"/>
    <s v="No"/>
    <s v="No"/>
    <s v="Yes"/>
    <n v="48.8"/>
    <n v="74"/>
    <x v="3"/>
    <s v="C"/>
    <m/>
  </r>
  <r>
    <n v="70"/>
    <s v="Female"/>
    <n v="2.2999999999999998"/>
    <n v="67.400000000000006"/>
    <n v="8.6"/>
    <s v="High School"/>
    <s v="Yes"/>
    <s v="No"/>
    <s v="No"/>
    <n v="90.9"/>
    <n v="85"/>
    <x v="4"/>
    <s v="B"/>
    <m/>
  </r>
  <r>
    <n v="71"/>
    <s v="Female"/>
    <n v="3.3"/>
    <n v="92.5"/>
    <n v="6.1"/>
    <s v="High School"/>
    <s v="Yes"/>
    <s v="Yes"/>
    <s v="No"/>
    <n v="54.5"/>
    <n v="80"/>
    <x v="1"/>
    <s v="C"/>
    <m/>
  </r>
  <r>
    <n v="72"/>
    <s v="Female"/>
    <n v="1.9"/>
    <n v="88.8"/>
    <n v="7.1"/>
    <s v="Bachelors"/>
    <s v="Yes"/>
    <s v="Yes"/>
    <s v="No"/>
    <n v="70.7"/>
    <n v="77"/>
    <x v="5"/>
    <s v="C"/>
    <m/>
  </r>
  <r>
    <n v="73"/>
    <s v="Male"/>
    <n v="2.7"/>
    <n v="97.9"/>
    <n v="7.4"/>
    <s v="Masters"/>
    <s v="Yes"/>
    <s v="Yes"/>
    <s v="No"/>
    <n v="81"/>
    <n v="95"/>
    <x v="0"/>
    <s v="A"/>
    <m/>
  </r>
  <r>
    <n v="74"/>
    <s v="Female"/>
    <n v="1.7"/>
    <n v="91.7"/>
    <n v="7.4"/>
    <s v="Bachelors"/>
    <s v="Yes"/>
    <s v="Yes"/>
    <s v="No"/>
    <n v="75.099999999999994"/>
    <n v="78"/>
    <x v="5"/>
    <s v="C"/>
    <m/>
  </r>
  <r>
    <n v="75"/>
    <s v="Male"/>
    <n v="6.4"/>
    <n v="83.6"/>
    <n v="6.9"/>
    <s v="High School"/>
    <s v="Yes"/>
    <s v="Yes"/>
    <s v="No"/>
    <n v="69.3"/>
    <n v="100"/>
    <x v="0"/>
    <s v="A"/>
    <m/>
  </r>
  <r>
    <n v="76"/>
    <s v="Female"/>
    <n v="3.6"/>
    <n v="72.8"/>
    <n v="7.7"/>
    <s v="Masters"/>
    <s v="No"/>
    <s v="No"/>
    <s v="No"/>
    <n v="49.6"/>
    <n v="64"/>
    <x v="7"/>
    <s v="D"/>
    <m/>
  </r>
  <r>
    <n v="77"/>
    <s v="Female"/>
    <n v="2.5"/>
    <n v="82.9"/>
    <n v="7.4"/>
    <s v="High School"/>
    <s v="Yes"/>
    <s v="Yes"/>
    <s v="No"/>
    <n v="60.3"/>
    <n v="72"/>
    <x v="3"/>
    <s v="C"/>
    <m/>
  </r>
  <r>
    <n v="78"/>
    <s v="Female"/>
    <n v="3.8"/>
    <n v="76.5"/>
    <n v="5.3"/>
    <s v="Bachelors"/>
    <s v="Yes"/>
    <s v="Yes"/>
    <s v="No"/>
    <n v="72.3"/>
    <n v="79"/>
    <x v="5"/>
    <s v="C"/>
    <m/>
  </r>
  <r>
    <n v="79"/>
    <s v="Male"/>
    <n v="3.3"/>
    <n v="79.2"/>
    <n v="7.8"/>
    <s v="High School"/>
    <s v="Yes"/>
    <s v="Yes"/>
    <s v="Yes"/>
    <n v="60.6"/>
    <n v="75"/>
    <x v="5"/>
    <s v="C"/>
    <m/>
  </r>
  <r>
    <n v="80"/>
    <s v="Female"/>
    <n v="3.2"/>
    <n v="90.9"/>
    <n v="7.9"/>
    <s v="High School"/>
    <s v="Yes"/>
    <s v="No"/>
    <s v="No"/>
    <n v="72.400000000000006"/>
    <n v="87"/>
    <x v="4"/>
    <s v="B"/>
    <m/>
  </r>
  <r>
    <n v="81"/>
    <s v="Male"/>
    <n v="4.4000000000000004"/>
    <n v="100"/>
    <n v="5.9"/>
    <s v="High School"/>
    <s v="Yes"/>
    <s v="No"/>
    <s v="No"/>
    <n v="78.2"/>
    <n v="98"/>
    <x v="0"/>
    <s v="A"/>
    <m/>
  </r>
  <r>
    <n v="82"/>
    <s v="Female"/>
    <n v="4.5999999999999996"/>
    <n v="88.9"/>
    <n v="6.8"/>
    <s v="Bachelors"/>
    <s v="Yes"/>
    <s v="Yes"/>
    <s v="No"/>
    <n v="81.599999999999994"/>
    <n v="75"/>
    <x v="5"/>
    <s v="C"/>
    <m/>
  </r>
  <r>
    <n v="83"/>
    <s v="Male"/>
    <n v="2.7"/>
    <n v="73"/>
    <n v="7.6"/>
    <s v="High School"/>
    <s v="Yes"/>
    <s v="No"/>
    <s v="Yes"/>
    <n v="55.3"/>
    <n v="64"/>
    <x v="7"/>
    <s v="D"/>
    <m/>
  </r>
  <r>
    <n v="84"/>
    <s v="Female"/>
    <n v="2.6"/>
    <n v="89.4"/>
    <n v="6.5"/>
    <s v="Bachelors"/>
    <s v="Yes"/>
    <s v="No"/>
    <s v="No"/>
    <n v="96.4"/>
    <n v="90"/>
    <x v="6"/>
    <s v="A"/>
    <m/>
  </r>
  <r>
    <n v="85"/>
    <s v="Male"/>
    <n v="3.1"/>
    <n v="97"/>
    <n v="8.1"/>
    <s v="Bachelors"/>
    <s v="Yes"/>
    <s v="Yes"/>
    <s v="Yes"/>
    <n v="79.2"/>
    <n v="99"/>
    <x v="0"/>
    <s v="A"/>
    <m/>
  </r>
  <r>
    <n v="86"/>
    <s v="Male"/>
    <n v="0.5"/>
    <n v="78.900000000000006"/>
    <n v="9.6"/>
    <s v="Bachelors"/>
    <s v="Yes"/>
    <s v="Yes"/>
    <s v="Yes"/>
    <n v="70"/>
    <n v="64"/>
    <x v="7"/>
    <s v="D"/>
    <m/>
  </r>
  <r>
    <n v="87"/>
    <s v="Female"/>
    <n v="1.2"/>
    <n v="83.7"/>
    <n v="5.9"/>
    <s v="Bachelors"/>
    <s v="Yes"/>
    <s v="No"/>
    <s v="No"/>
    <n v="83.1"/>
    <n v="79"/>
    <x v="5"/>
    <s v="C"/>
    <m/>
  </r>
  <r>
    <n v="88"/>
    <s v="Male"/>
    <n v="5.6"/>
    <n v="85.1"/>
    <n v="5.0999999999999996"/>
    <s v="Masters"/>
    <s v="Yes"/>
    <s v="No"/>
    <s v="No"/>
    <n v="98.4"/>
    <n v="100"/>
    <x v="0"/>
    <s v="A"/>
    <m/>
  </r>
  <r>
    <n v="89"/>
    <s v="Female"/>
    <n v="6"/>
    <n v="77.2"/>
    <n v="7.2"/>
    <s v="High School"/>
    <s v="Yes"/>
    <s v="No"/>
    <s v="No"/>
    <n v="52.7"/>
    <n v="79"/>
    <x v="5"/>
    <s v="C"/>
    <m/>
  </r>
  <r>
    <n v="90"/>
    <s v="Female"/>
    <n v="3.1"/>
    <n v="91.5"/>
    <n v="7.7"/>
    <s v="Bachelors"/>
    <s v="Yes"/>
    <s v="No"/>
    <s v="Yes"/>
    <n v="67.3"/>
    <n v="85"/>
    <x v="4"/>
    <s v="B"/>
    <m/>
  </r>
  <r>
    <n v="91"/>
    <s v="Female"/>
    <n v="4.4000000000000004"/>
    <n v="83.8"/>
    <n v="6.5"/>
    <s v="High School"/>
    <s v="Yes"/>
    <s v="No"/>
    <s v="No"/>
    <n v="41.5"/>
    <n v="72"/>
    <x v="3"/>
    <s v="C"/>
    <m/>
  </r>
  <r>
    <n v="92"/>
    <s v="Female"/>
    <n v="4"/>
    <n v="89.2"/>
    <n v="8.5"/>
    <s v="High School"/>
    <s v="Yes"/>
    <s v="Yes"/>
    <s v="Yes"/>
    <n v="72.3"/>
    <n v="86"/>
    <x v="4"/>
    <s v="B"/>
    <m/>
  </r>
  <r>
    <n v="93"/>
    <s v="Female"/>
    <n v="8.1"/>
    <n v="76.099999999999994"/>
    <n v="5.2"/>
    <s v="Bachelors"/>
    <s v="Yes"/>
    <s v="Yes"/>
    <s v="No"/>
    <n v="74.400000000000006"/>
    <n v="98"/>
    <x v="0"/>
    <s v="A"/>
    <m/>
  </r>
  <r>
    <n v="94"/>
    <s v="Female"/>
    <n v="5.2"/>
    <n v="80.599999999999994"/>
    <n v="7.6"/>
    <s v="Bachelors"/>
    <s v="Yes"/>
    <s v="Yes"/>
    <s v="No"/>
    <n v="69.5"/>
    <n v="88"/>
    <x v="4"/>
    <s v="B"/>
    <m/>
  </r>
  <r>
    <n v="95"/>
    <s v="Female"/>
    <n v="3.3"/>
    <n v="92.2"/>
    <n v="6.1"/>
    <s v="PhD"/>
    <s v="Yes"/>
    <s v="Yes"/>
    <s v="No"/>
    <n v="62.1"/>
    <n v="100"/>
    <x v="0"/>
    <s v="A"/>
    <m/>
  </r>
  <r>
    <n v="96"/>
    <s v="Female"/>
    <n v="2.1"/>
    <n v="81.3"/>
    <n v="8.9"/>
    <s v="Bachelors"/>
    <s v="Yes"/>
    <s v="No"/>
    <s v="No"/>
    <n v="45.4"/>
    <n v="75"/>
    <x v="5"/>
    <s v="C"/>
    <m/>
  </r>
  <r>
    <n v="97"/>
    <s v="Female"/>
    <n v="1.1000000000000001"/>
    <n v="100"/>
    <n v="9.1999999999999993"/>
    <s v="None"/>
    <s v="Yes"/>
    <s v="No"/>
    <s v="Yes"/>
    <n v="74.5"/>
    <n v="87"/>
    <x v="4"/>
    <s v="B"/>
    <m/>
  </r>
  <r>
    <n v="98"/>
    <s v="Female"/>
    <n v="3.8"/>
    <n v="81"/>
    <n v="5.9"/>
    <s v="High School"/>
    <s v="No"/>
    <s v="No"/>
    <s v="No"/>
    <n v="87.5"/>
    <n v="89"/>
    <x v="4"/>
    <s v="B"/>
    <m/>
  </r>
  <r>
    <n v="99"/>
    <s v="Female"/>
    <n v="2.4"/>
    <n v="87.2"/>
    <n v="6.1"/>
    <s v="High School"/>
    <s v="Yes"/>
    <s v="Yes"/>
    <s v="Yes"/>
    <n v="62.9"/>
    <n v="65"/>
    <x v="2"/>
    <s v="D"/>
    <m/>
  </r>
  <r>
    <n v="100"/>
    <s v="Male"/>
    <n v="1.4"/>
    <n v="94.3"/>
    <n v="7.8"/>
    <s v="High School"/>
    <s v="No"/>
    <s v="No"/>
    <s v="No"/>
    <n v="75.3"/>
    <n v="79"/>
    <x v="5"/>
    <s v="C"/>
    <m/>
  </r>
  <r>
    <n v="101"/>
    <s v="Male"/>
    <n v="2.5"/>
    <n v="70.8"/>
    <n v="6.3"/>
    <s v="High School"/>
    <s v="Yes"/>
    <s v="Yes"/>
    <s v="No"/>
    <n v="51.2"/>
    <n v="75"/>
    <x v="5"/>
    <s v="C"/>
    <m/>
  </r>
  <r>
    <n v="102"/>
    <s v="Female"/>
    <n v="1.9"/>
    <n v="67.400000000000006"/>
    <n v="6.7"/>
    <s v="Bachelors"/>
    <s v="Yes"/>
    <s v="Yes"/>
    <s v="Yes"/>
    <n v="75.5"/>
    <n v="66"/>
    <x v="2"/>
    <s v="D"/>
    <m/>
  </r>
  <r>
    <n v="103"/>
    <s v="Female"/>
    <n v="6"/>
    <n v="69.7"/>
    <n v="6.8"/>
    <s v="Bachelors"/>
    <s v="No"/>
    <s v="No"/>
    <s v="No"/>
    <n v="65.3"/>
    <n v="90"/>
    <x v="6"/>
    <s v="B"/>
    <m/>
  </r>
  <r>
    <n v="104"/>
    <s v="Female"/>
    <n v="4.8"/>
    <n v="97.6"/>
    <n v="4.5"/>
    <s v="High School"/>
    <s v="Yes"/>
    <s v="No"/>
    <s v="No"/>
    <n v="60.9"/>
    <n v="93"/>
    <x v="6"/>
    <s v="A"/>
    <m/>
  </r>
  <r>
    <n v="105"/>
    <s v="Female"/>
    <n v="3.5"/>
    <n v="79.5"/>
    <n v="6.8"/>
    <s v="None"/>
    <s v="Yes"/>
    <s v="No"/>
    <s v="Yes"/>
    <n v="60.9"/>
    <n v="87"/>
    <x v="4"/>
    <s v="B"/>
    <m/>
  </r>
  <r>
    <n v="106"/>
    <s v="Female"/>
    <n v="5.7"/>
    <n v="100"/>
    <n v="6"/>
    <s v="Masters"/>
    <s v="Yes"/>
    <s v="Yes"/>
    <s v="Yes"/>
    <n v="65.3"/>
    <n v="93"/>
    <x v="6"/>
    <s v="A"/>
    <m/>
  </r>
  <r>
    <n v="107"/>
    <s v="Female"/>
    <n v="3.6"/>
    <n v="79.400000000000006"/>
    <n v="6.2"/>
    <s v="High School"/>
    <s v="Yes"/>
    <s v="Yes"/>
    <s v="Yes"/>
    <n v="74.599999999999994"/>
    <n v="76"/>
    <x v="5"/>
    <s v="C"/>
    <m/>
  </r>
  <r>
    <n v="108"/>
    <s v="Female"/>
    <n v="2.2000000000000002"/>
    <n v="86.8"/>
    <n v="8.5"/>
    <s v="High School"/>
    <s v="Yes"/>
    <s v="Yes"/>
    <s v="No"/>
    <n v="54.3"/>
    <n v="74"/>
    <x v="3"/>
    <s v="C"/>
    <m/>
  </r>
  <r>
    <n v="109"/>
    <s v="Female"/>
    <n v="5.8"/>
    <n v="100"/>
    <n v="5.3"/>
    <s v="High School"/>
    <s v="Yes"/>
    <s v="Yes"/>
    <s v="No"/>
    <n v="65.2"/>
    <n v="100"/>
    <x v="0"/>
    <s v="A"/>
    <m/>
  </r>
  <r>
    <n v="110"/>
    <s v="Male"/>
    <n v="4.3"/>
    <n v="100"/>
    <n v="7.8"/>
    <s v="High School"/>
    <s v="No"/>
    <s v="No"/>
    <s v="Yes"/>
    <n v="69.5"/>
    <n v="76"/>
    <x v="5"/>
    <s v="C"/>
    <m/>
  </r>
  <r>
    <n v="111"/>
    <s v="Female"/>
    <n v="1.9"/>
    <n v="100"/>
    <n v="6.5"/>
    <s v="High School"/>
    <s v="Yes"/>
    <s v="No"/>
    <s v="Yes"/>
    <n v="56.8"/>
    <n v="62"/>
    <x v="7"/>
    <s v="D"/>
    <m/>
  </r>
  <r>
    <n v="112"/>
    <s v="Male"/>
    <n v="3.2"/>
    <n v="97.1"/>
    <n v="6.5"/>
    <s v="Bachelors"/>
    <s v="No"/>
    <s v="No"/>
    <s v="No"/>
    <n v="91.6"/>
    <n v="91"/>
    <x v="6"/>
    <s v="A"/>
    <m/>
  </r>
  <r>
    <n v="113"/>
    <s v="Female"/>
    <n v="2.2000000000000002"/>
    <n v="95.2"/>
    <n v="7.7"/>
    <s v="High School"/>
    <s v="No"/>
    <s v="Yes"/>
    <s v="No"/>
    <n v="59.8"/>
    <n v="73"/>
    <x v="3"/>
    <s v="C"/>
    <m/>
  </r>
  <r>
    <n v="114"/>
    <s v="Female"/>
    <n v="1.4"/>
    <n v="90.9"/>
    <n v="7.2"/>
    <s v="Bachelors"/>
    <s v="Yes"/>
    <s v="No"/>
    <s v="No"/>
    <n v="62"/>
    <n v="75"/>
    <x v="5"/>
    <s v="C"/>
    <m/>
  </r>
  <r>
    <n v="115"/>
    <s v="Male"/>
    <n v="4.9000000000000004"/>
    <n v="92.8"/>
    <n v="7.5"/>
    <s v="None"/>
    <s v="Yes"/>
    <s v="Yes"/>
    <s v="No"/>
    <n v="58.3"/>
    <n v="97"/>
    <x v="0"/>
    <s v="A"/>
    <m/>
  </r>
  <r>
    <n v="116"/>
    <s v="Female"/>
    <n v="6.4"/>
    <n v="79.5"/>
    <n v="8"/>
    <s v="Masters"/>
    <s v="No"/>
    <s v="No"/>
    <s v="Yes"/>
    <n v="91.6"/>
    <n v="95"/>
    <x v="0"/>
    <s v="A"/>
    <m/>
  </r>
  <r>
    <n v="117"/>
    <s v="Male"/>
    <n v="1.4"/>
    <n v="76.8"/>
    <n v="6.4"/>
    <s v="None"/>
    <s v="No"/>
    <s v="Yes"/>
    <s v="No"/>
    <n v="76.599999999999994"/>
    <n v="59"/>
    <x v="8"/>
    <s v="F"/>
    <m/>
  </r>
  <r>
    <n v="118"/>
    <s v="Female"/>
    <n v="4.3"/>
    <n v="85"/>
    <n v="6.1"/>
    <s v="High School"/>
    <s v="Yes"/>
    <s v="Yes"/>
    <s v="No"/>
    <n v="58.8"/>
    <n v="96"/>
    <x v="0"/>
    <s v="A"/>
    <m/>
  </r>
  <r>
    <n v="119"/>
    <s v="Female"/>
    <n v="2.5"/>
    <n v="83.3"/>
    <n v="5.5"/>
    <s v="Bachelors"/>
    <s v="Yes"/>
    <s v="Yes"/>
    <s v="Yes"/>
    <n v="83.3"/>
    <n v="75"/>
    <x v="5"/>
    <s v="C"/>
    <m/>
  </r>
  <r>
    <n v="120"/>
    <s v="Male"/>
    <n v="2.8"/>
    <n v="80.5"/>
    <n v="5.8"/>
    <s v="Bachelors"/>
    <s v="Yes"/>
    <s v="No"/>
    <s v="No"/>
    <n v="72.400000000000006"/>
    <n v="73"/>
    <x v="3"/>
    <s v="C"/>
    <m/>
  </r>
  <r>
    <n v="121"/>
    <s v="Female"/>
    <n v="2.6"/>
    <n v="92"/>
    <n v="10"/>
    <s v="High School"/>
    <s v="Yes"/>
    <s v="Yes"/>
    <s v="No"/>
    <n v="73.099999999999994"/>
    <n v="96"/>
    <x v="0"/>
    <s v="A"/>
    <m/>
  </r>
  <r>
    <n v="122"/>
    <s v="Male"/>
    <n v="2.2000000000000002"/>
    <n v="94.6"/>
    <n v="8.3000000000000007"/>
    <s v="High School"/>
    <s v="Yes"/>
    <s v="Yes"/>
    <s v="No"/>
    <n v="65.900000000000006"/>
    <n v="81"/>
    <x v="1"/>
    <s v="B"/>
    <m/>
  </r>
  <r>
    <n v="123"/>
    <s v="Female"/>
    <n v="3.6"/>
    <n v="85.9"/>
    <n v="5.2"/>
    <s v="Masters"/>
    <s v="Yes"/>
    <s v="No"/>
    <s v="Yes"/>
    <n v="61"/>
    <n v="77"/>
    <x v="5"/>
    <s v="C"/>
    <m/>
  </r>
  <r>
    <n v="124"/>
    <s v="Male"/>
    <n v="2.2999999999999998"/>
    <n v="99.8"/>
    <n v="5.2"/>
    <s v="Bachelors"/>
    <s v="Yes"/>
    <s v="Yes"/>
    <s v="No"/>
    <n v="74.099999999999994"/>
    <n v="88"/>
    <x v="4"/>
    <s v="B"/>
    <m/>
  </r>
  <r>
    <n v="125"/>
    <s v="Male"/>
    <n v="3.9"/>
    <n v="73.599999999999994"/>
    <n v="7.4"/>
    <s v="Bachelors"/>
    <s v="Yes"/>
    <s v="Yes"/>
    <s v="No"/>
    <n v="63.5"/>
    <n v="88"/>
    <x v="4"/>
    <s v="B"/>
    <m/>
  </r>
  <r>
    <n v="126"/>
    <s v="Female"/>
    <n v="3.4"/>
    <n v="83.1"/>
    <n v="7.5"/>
    <s v="Bachelors"/>
    <s v="Yes"/>
    <s v="Yes"/>
    <s v="No"/>
    <n v="91.8"/>
    <n v="92"/>
    <x v="6"/>
    <s v="A"/>
    <m/>
  </r>
  <r>
    <n v="127"/>
    <s v="Female"/>
    <n v="3.1"/>
    <n v="77.8"/>
    <n v="7.5"/>
    <s v="Bachelors"/>
    <s v="Yes"/>
    <s v="Yes"/>
    <s v="No"/>
    <n v="54.8"/>
    <n v="85"/>
    <x v="4"/>
    <s v="B"/>
    <m/>
  </r>
  <r>
    <n v="128"/>
    <s v="Male"/>
    <n v="2.1"/>
    <n v="66.3"/>
    <n v="6.5"/>
    <s v="High School"/>
    <s v="Yes"/>
    <s v="No"/>
    <s v="Yes"/>
    <n v="88.4"/>
    <n v="63"/>
    <x v="7"/>
    <s v="D"/>
    <m/>
  </r>
  <r>
    <n v="129"/>
    <s v="Female"/>
    <n v="2.6"/>
    <n v="84.2"/>
    <n v="6.6"/>
    <s v="High School"/>
    <s v="Yes"/>
    <s v="No"/>
    <s v="Yes"/>
    <n v="68.7"/>
    <n v="81"/>
    <x v="1"/>
    <s v="B"/>
    <m/>
  </r>
  <r>
    <n v="130"/>
    <s v="Female"/>
    <n v="4.5999999999999996"/>
    <n v="83.8"/>
    <n v="7.2"/>
    <s v="High School"/>
    <s v="Yes"/>
    <s v="Yes"/>
    <s v="No"/>
    <n v="73.599999999999994"/>
    <n v="87"/>
    <x v="4"/>
    <s v="B"/>
    <m/>
  </r>
  <r>
    <n v="131"/>
    <s v="Female"/>
    <n v="4.3"/>
    <n v="100"/>
    <n v="6.9"/>
    <s v="High School"/>
    <s v="Yes"/>
    <s v="No"/>
    <s v="Yes"/>
    <n v="80"/>
    <n v="100"/>
    <x v="0"/>
    <s v="A"/>
    <m/>
  </r>
  <r>
    <n v="132"/>
    <s v="Male"/>
    <n v="2"/>
    <n v="91.3"/>
    <n v="4.0999999999999996"/>
    <s v="None"/>
    <s v="Yes"/>
    <s v="Yes"/>
    <s v="No"/>
    <n v="62.4"/>
    <n v="76"/>
    <x v="5"/>
    <s v="C"/>
    <m/>
  </r>
  <r>
    <n v="133"/>
    <s v="Male"/>
    <n v="3.6"/>
    <n v="74.8"/>
    <n v="6.5"/>
    <s v="Bachelors"/>
    <s v="No"/>
    <s v="Yes"/>
    <s v="No"/>
    <n v="80.400000000000006"/>
    <n v="77"/>
    <x v="5"/>
    <s v="C"/>
    <m/>
  </r>
  <r>
    <n v="134"/>
    <s v="Male"/>
    <n v="4.5999999999999996"/>
    <n v="100"/>
    <n v="5.8"/>
    <s v="Masters"/>
    <s v="Yes"/>
    <s v="Yes"/>
    <s v="No"/>
    <n v="37.5"/>
    <n v="86"/>
    <x v="4"/>
    <s v="B"/>
    <m/>
  </r>
  <r>
    <n v="135"/>
    <s v="Male"/>
    <n v="1"/>
    <n v="97.2"/>
    <n v="7"/>
    <s v="High School"/>
    <s v="Yes"/>
    <s v="Yes"/>
    <s v="No"/>
    <n v="61.4"/>
    <n v="81"/>
    <x v="1"/>
    <s v="B"/>
    <m/>
  </r>
  <r>
    <n v="136"/>
    <s v="Male"/>
    <n v="4.3"/>
    <n v="90.8"/>
    <n v="10"/>
    <s v="Bachelors"/>
    <s v="Yes"/>
    <s v="Yes"/>
    <s v="No"/>
    <n v="58.9"/>
    <n v="95"/>
    <x v="0"/>
    <s v="A"/>
    <m/>
  </r>
  <r>
    <n v="137"/>
    <s v="Male"/>
    <n v="2.5"/>
    <n v="82.7"/>
    <n v="7.2"/>
    <s v="High School"/>
    <s v="No"/>
    <s v="No"/>
    <s v="Yes"/>
    <n v="55"/>
    <n v="60"/>
    <x v="7"/>
    <s v="F"/>
    <m/>
  </r>
  <r>
    <n v="138"/>
    <s v="Male"/>
    <n v="4.4000000000000004"/>
    <n v="75.400000000000006"/>
    <n v="6.4"/>
    <s v="High School"/>
    <s v="Yes"/>
    <s v="No"/>
    <s v="No"/>
    <n v="67.400000000000006"/>
    <n v="81"/>
    <x v="1"/>
    <s v="B"/>
    <m/>
  </r>
  <r>
    <n v="139"/>
    <s v="Male"/>
    <n v="2.4"/>
    <n v="81.3"/>
    <n v="7.9"/>
    <s v="High School"/>
    <s v="Yes"/>
    <s v="Yes"/>
    <s v="No"/>
    <n v="74.599999999999994"/>
    <n v="83"/>
    <x v="1"/>
    <s v="B"/>
    <m/>
  </r>
  <r>
    <n v="140"/>
    <s v="Male"/>
    <n v="0.8"/>
    <n v="95.9"/>
    <n v="7.4"/>
    <s v="Masters"/>
    <s v="Yes"/>
    <s v="No"/>
    <s v="No"/>
    <n v="78.400000000000006"/>
    <n v="80"/>
    <x v="1"/>
    <s v="B"/>
    <m/>
  </r>
  <r>
    <n v="141"/>
    <s v="Female"/>
    <n v="1.1000000000000001"/>
    <n v="100"/>
    <n v="7.3"/>
    <s v="Masters"/>
    <s v="Yes"/>
    <s v="No"/>
    <s v="Yes"/>
    <n v="72.900000000000006"/>
    <n v="82"/>
    <x v="1"/>
    <s v="B"/>
    <m/>
  </r>
  <r>
    <n v="142"/>
    <s v="Male"/>
    <n v="3.6"/>
    <n v="100"/>
    <n v="7.5"/>
    <s v="Bachelors"/>
    <s v="Yes"/>
    <s v="No"/>
    <s v="No"/>
    <n v="62"/>
    <n v="76"/>
    <x v="5"/>
    <s v="C"/>
    <m/>
  </r>
  <r>
    <n v="143"/>
    <s v="Female"/>
    <n v="3.9"/>
    <n v="80.099999999999994"/>
    <n v="9.3000000000000007"/>
    <s v="Bachelors"/>
    <s v="Yes"/>
    <s v="No"/>
    <s v="Yes"/>
    <n v="74.400000000000006"/>
    <n v="89"/>
    <x v="4"/>
    <s v="B"/>
    <m/>
  </r>
  <r>
    <n v="144"/>
    <s v="Female"/>
    <n v="2.1"/>
    <n v="73.8"/>
    <n v="5.4"/>
    <s v="None"/>
    <s v="Yes"/>
    <s v="Yes"/>
    <s v="Yes"/>
    <n v="71.5"/>
    <n v="70"/>
    <x v="3"/>
    <s v="D"/>
    <m/>
  </r>
  <r>
    <n v="145"/>
    <s v="Female"/>
    <n v="4.5"/>
    <n v="86.4"/>
    <n v="7.4"/>
    <s v="High School"/>
    <s v="Yes"/>
    <s v="No"/>
    <s v="Yes"/>
    <n v="81.2"/>
    <n v="87"/>
    <x v="4"/>
    <s v="B"/>
    <m/>
  </r>
  <r>
    <n v="146"/>
    <s v="Male"/>
    <n v="1"/>
    <n v="67.3"/>
    <n v="5.7"/>
    <s v="High School"/>
    <s v="Yes"/>
    <s v="No"/>
    <s v="No"/>
    <n v="79.3"/>
    <n v="65"/>
    <x v="2"/>
    <s v="D"/>
    <m/>
  </r>
  <r>
    <n v="147"/>
    <s v="Male"/>
    <n v="3.4"/>
    <n v="88.2"/>
    <n v="7.5"/>
    <s v="High School"/>
    <s v="Yes"/>
    <s v="No"/>
    <s v="Yes"/>
    <n v="70.400000000000006"/>
    <n v="82"/>
    <x v="1"/>
    <s v="B"/>
    <m/>
  </r>
  <r>
    <n v="148"/>
    <s v="Male"/>
    <n v="1.7"/>
    <n v="83.5"/>
    <n v="5.7"/>
    <s v="Masters"/>
    <s v="Yes"/>
    <s v="Yes"/>
    <s v="Yes"/>
    <n v="59.2"/>
    <n v="47"/>
    <x v="9"/>
    <s v="F"/>
    <m/>
  </r>
  <r>
    <n v="149"/>
    <s v="Male"/>
    <n v="2.5"/>
    <n v="80.3"/>
    <n v="6.3"/>
    <s v="None"/>
    <s v="Yes"/>
    <s v="Yes"/>
    <s v="Yes"/>
    <n v="62.2"/>
    <n v="69"/>
    <x v="2"/>
    <s v="D"/>
    <m/>
  </r>
  <r>
    <n v="150"/>
    <s v="Female"/>
    <n v="3.6"/>
    <n v="69.099999999999994"/>
    <n v="6.4"/>
    <s v="High School"/>
    <s v="Yes"/>
    <s v="Yes"/>
    <s v="Yes"/>
    <n v="63.4"/>
    <n v="69"/>
    <x v="2"/>
    <s v="D"/>
    <m/>
  </r>
  <r>
    <n v="151"/>
    <s v="Male"/>
    <n v="2.2000000000000002"/>
    <n v="90.1"/>
    <n v="8"/>
    <s v="PhD"/>
    <s v="Yes"/>
    <s v="Yes"/>
    <s v="No"/>
    <n v="66.2"/>
    <n v="85"/>
    <x v="4"/>
    <s v="B"/>
    <m/>
  </r>
  <r>
    <n v="152"/>
    <s v="Male"/>
    <n v="2.9"/>
    <n v="79.7"/>
    <n v="7.9"/>
    <s v="Masters"/>
    <s v="Yes"/>
    <s v="Yes"/>
    <s v="Yes"/>
    <n v="73.2"/>
    <n v="76"/>
    <x v="5"/>
    <s v="C"/>
    <m/>
  </r>
  <r>
    <n v="153"/>
    <s v="Male"/>
    <n v="5"/>
    <n v="73.3"/>
    <n v="5.3"/>
    <s v="High School"/>
    <s v="Yes"/>
    <s v="No"/>
    <s v="Yes"/>
    <n v="78.599999999999994"/>
    <n v="85"/>
    <x v="4"/>
    <s v="B"/>
    <m/>
  </r>
  <r>
    <n v="154"/>
    <s v="Male"/>
    <n v="2.6"/>
    <n v="56.3"/>
    <n v="6.9"/>
    <s v="Bachelors"/>
    <s v="No"/>
    <s v="Yes"/>
    <s v="No"/>
    <n v="69.400000000000006"/>
    <n v="76"/>
    <x v="5"/>
    <s v="C"/>
    <m/>
  </r>
  <r>
    <n v="155"/>
    <s v="Male"/>
    <n v="4.8"/>
    <n v="84.7"/>
    <n v="5.9"/>
    <s v="Bachelors"/>
    <s v="Yes"/>
    <s v="No"/>
    <s v="No"/>
    <n v="70.2"/>
    <n v="95"/>
    <x v="0"/>
    <s v="A"/>
    <m/>
  </r>
  <r>
    <n v="156"/>
    <s v="Female"/>
    <n v="1.8"/>
    <n v="100"/>
    <n v="5.3"/>
    <s v="None"/>
    <s v="Yes"/>
    <s v="Yes"/>
    <s v="No"/>
    <n v="71.7"/>
    <n v="88"/>
    <x v="4"/>
    <s v="B"/>
    <m/>
  </r>
  <r>
    <n v="157"/>
    <s v="Male"/>
    <n v="4.3"/>
    <n v="100"/>
    <n v="6.5"/>
    <s v="High School"/>
    <s v="Yes"/>
    <s v="No"/>
    <s v="No"/>
    <n v="63.8"/>
    <n v="88"/>
    <x v="4"/>
    <s v="B"/>
    <m/>
  </r>
  <r>
    <n v="158"/>
    <s v="Female"/>
    <n v="5.7"/>
    <n v="80.400000000000006"/>
    <n v="6.4"/>
    <s v="Masters"/>
    <s v="Yes"/>
    <s v="Yes"/>
    <s v="Yes"/>
    <n v="58.9"/>
    <n v="89"/>
    <x v="4"/>
    <s v="B"/>
    <m/>
  </r>
  <r>
    <n v="159"/>
    <s v="Male"/>
    <n v="0.5"/>
    <n v="79"/>
    <n v="9.6999999999999993"/>
    <s v="High School"/>
    <s v="Yes"/>
    <s v="Yes"/>
    <s v="No"/>
    <n v="48.9"/>
    <n v="64"/>
    <x v="7"/>
    <s v="D"/>
    <m/>
  </r>
  <r>
    <n v="160"/>
    <s v="Female"/>
    <n v="2.2999999999999998"/>
    <n v="89.7"/>
    <n v="7.3"/>
    <s v="Masters"/>
    <s v="Yes"/>
    <s v="No"/>
    <s v="Yes"/>
    <n v="61.7"/>
    <n v="74"/>
    <x v="3"/>
    <s v="C"/>
    <m/>
  </r>
  <r>
    <n v="161"/>
    <s v="Male"/>
    <n v="4.4000000000000004"/>
    <n v="75"/>
    <n v="5.0999999999999996"/>
    <s v="Bachelors"/>
    <s v="Yes"/>
    <s v="No"/>
    <s v="No"/>
    <n v="75.7"/>
    <n v="88"/>
    <x v="4"/>
    <s v="B"/>
    <m/>
  </r>
  <r>
    <n v="162"/>
    <s v="Male"/>
    <n v="3.2"/>
    <n v="88"/>
    <n v="6.1"/>
    <s v="Bachelors"/>
    <s v="Yes"/>
    <s v="No"/>
    <s v="No"/>
    <n v="61.6"/>
    <n v="77"/>
    <x v="5"/>
    <s v="C"/>
    <m/>
  </r>
  <r>
    <n v="163"/>
    <s v="Female"/>
    <n v="4.0999999999999996"/>
    <n v="92.7"/>
    <n v="8"/>
    <s v="Masters"/>
    <s v="Yes"/>
    <s v="Yes"/>
    <s v="Yes"/>
    <n v="67.099999999999994"/>
    <n v="97"/>
    <x v="0"/>
    <s v="A"/>
    <m/>
  </r>
  <r>
    <n v="164"/>
    <s v="Female"/>
    <n v="2.6"/>
    <n v="97.3"/>
    <n v="9.3000000000000007"/>
    <s v="Masters"/>
    <s v="Yes"/>
    <s v="Yes"/>
    <s v="No"/>
    <n v="75.599999999999994"/>
    <n v="90"/>
    <x v="6"/>
    <s v="A"/>
    <m/>
  </r>
  <r>
    <n v="165"/>
    <s v="Female"/>
    <n v="3.6"/>
    <n v="84"/>
    <n v="4.9000000000000004"/>
    <s v="PhD"/>
    <s v="Yes"/>
    <s v="No"/>
    <s v="No"/>
    <n v="76.2"/>
    <n v="89"/>
    <x v="4"/>
    <s v="B"/>
    <m/>
  </r>
  <r>
    <n v="166"/>
    <s v="Male"/>
    <n v="3.3"/>
    <n v="83"/>
    <n v="4.5"/>
    <s v="High School"/>
    <s v="Yes"/>
    <s v="Yes"/>
    <s v="No"/>
    <n v="57"/>
    <n v="85"/>
    <x v="4"/>
    <s v="B"/>
    <m/>
  </r>
  <r>
    <n v="167"/>
    <s v="Female"/>
    <n v="5.3"/>
    <n v="76.2"/>
    <n v="9"/>
    <s v="Masters"/>
    <s v="Yes"/>
    <s v="No"/>
    <s v="No"/>
    <n v="82"/>
    <n v="100"/>
    <x v="0"/>
    <s v="A"/>
    <m/>
  </r>
  <r>
    <n v="168"/>
    <s v="Male"/>
    <n v="3.9"/>
    <n v="76.7"/>
    <n v="7.3"/>
    <s v="High School"/>
    <s v="Yes"/>
    <s v="Yes"/>
    <s v="No"/>
    <n v="83.5"/>
    <n v="82"/>
    <x v="1"/>
    <s v="B"/>
    <m/>
  </r>
  <r>
    <n v="169"/>
    <s v="Male"/>
    <n v="4"/>
    <n v="82.7"/>
    <n v="5.8"/>
    <s v="Bachelors"/>
    <s v="No"/>
    <s v="Yes"/>
    <s v="Yes"/>
    <n v="56.4"/>
    <n v="75"/>
    <x v="5"/>
    <s v="C"/>
    <m/>
  </r>
  <r>
    <n v="170"/>
    <s v="Female"/>
    <n v="2.9"/>
    <n v="88.7"/>
    <n v="7.4"/>
    <s v="Bachelors"/>
    <s v="No"/>
    <s v="Yes"/>
    <s v="Yes"/>
    <n v="60.1"/>
    <n v="78"/>
    <x v="5"/>
    <s v="C"/>
    <m/>
  </r>
  <r>
    <n v="171"/>
    <s v="Female"/>
    <n v="2.8"/>
    <n v="94.1"/>
    <n v="3.6"/>
    <s v="Bachelors"/>
    <s v="Yes"/>
    <s v="Yes"/>
    <s v="No"/>
    <n v="84.3"/>
    <n v="93"/>
    <x v="6"/>
    <s v="A"/>
    <m/>
  </r>
  <r>
    <n v="172"/>
    <s v="Male"/>
    <n v="2.9"/>
    <n v="77"/>
    <n v="6.8"/>
    <s v="Bachelors"/>
    <s v="Yes"/>
    <s v="No"/>
    <s v="No"/>
    <n v="68.2"/>
    <n v="72"/>
    <x v="3"/>
    <s v="C"/>
    <m/>
  </r>
  <r>
    <n v="173"/>
    <s v="Male"/>
    <n v="4.0999999999999996"/>
    <n v="99.9"/>
    <n v="7.2"/>
    <s v="None"/>
    <s v="Yes"/>
    <s v="No"/>
    <s v="No"/>
    <n v="43.4"/>
    <n v="79"/>
    <x v="5"/>
    <s v="C"/>
    <m/>
  </r>
  <r>
    <n v="174"/>
    <s v="Female"/>
    <n v="2.9"/>
    <n v="82.3"/>
    <n v="7.9"/>
    <s v="High School"/>
    <s v="Yes"/>
    <s v="Yes"/>
    <s v="No"/>
    <n v="53.2"/>
    <n v="83"/>
    <x v="1"/>
    <s v="B"/>
    <m/>
  </r>
  <r>
    <n v="175"/>
    <s v="Female"/>
    <n v="3.9"/>
    <n v="84.8"/>
    <n v="5.6"/>
    <s v="Masters"/>
    <s v="Yes"/>
    <s v="No"/>
    <s v="No"/>
    <n v="67"/>
    <n v="79"/>
    <x v="5"/>
    <s v="C"/>
    <m/>
  </r>
  <r>
    <n v="176"/>
    <s v="Female"/>
    <n v="6.6"/>
    <n v="77.5"/>
    <n v="6.9"/>
    <s v="Bachelors"/>
    <s v="Yes"/>
    <s v="Yes"/>
    <s v="No"/>
    <n v="56"/>
    <n v="90"/>
    <x v="6"/>
    <s v="B"/>
    <m/>
  </r>
  <r>
    <n v="177"/>
    <s v="Male"/>
    <n v="4.8"/>
    <n v="60.8"/>
    <n v="5.7"/>
    <s v="High School"/>
    <s v="Yes"/>
    <s v="Yes"/>
    <s v="No"/>
    <n v="65"/>
    <n v="89"/>
    <x v="4"/>
    <s v="B"/>
    <m/>
  </r>
  <r>
    <n v="178"/>
    <s v="Male"/>
    <n v="3"/>
    <n v="93.8"/>
    <n v="7.1"/>
    <s v="High School"/>
    <s v="No"/>
    <s v="Yes"/>
    <s v="No"/>
    <n v="70.400000000000006"/>
    <n v="82"/>
    <x v="1"/>
    <s v="B"/>
    <m/>
  </r>
  <r>
    <n v="179"/>
    <s v="Male"/>
    <n v="5.3"/>
    <n v="92.4"/>
    <n v="5.7"/>
    <s v="None"/>
    <s v="Yes"/>
    <s v="No"/>
    <s v="No"/>
    <n v="87.5"/>
    <n v="97"/>
    <x v="0"/>
    <s v="A"/>
    <m/>
  </r>
  <r>
    <n v="180"/>
    <s v="Male"/>
    <n v="2.9"/>
    <n v="82.2"/>
    <n v="6.3"/>
    <s v="PhD"/>
    <s v="Yes"/>
    <s v="No"/>
    <s v="No"/>
    <n v="66.5"/>
    <n v="74"/>
    <x v="3"/>
    <s v="C"/>
    <m/>
  </r>
  <r>
    <n v="181"/>
    <s v="Male"/>
    <n v="0.5"/>
    <n v="85.7"/>
    <n v="5.6"/>
    <s v="None"/>
    <s v="Yes"/>
    <s v="No"/>
    <s v="No"/>
    <n v="82.9"/>
    <n v="77"/>
    <x v="5"/>
    <s v="C"/>
    <m/>
  </r>
  <r>
    <n v="182"/>
    <s v="Male"/>
    <n v="2"/>
    <n v="90.2"/>
    <n v="7.6"/>
    <s v="None"/>
    <s v="Yes"/>
    <s v="No"/>
    <s v="Yes"/>
    <n v="87.1"/>
    <n v="77"/>
    <x v="5"/>
    <s v="C"/>
    <m/>
  </r>
  <r>
    <n v="183"/>
    <s v="Female"/>
    <n v="0.7"/>
    <n v="69.400000000000006"/>
    <n v="7.8"/>
    <s v="High School"/>
    <s v="Yes"/>
    <s v="No"/>
    <s v="No"/>
    <n v="87.2"/>
    <n v="73"/>
    <x v="3"/>
    <s v="C"/>
    <m/>
  </r>
  <r>
    <n v="184"/>
    <s v="Male"/>
    <n v="3"/>
    <n v="79.7"/>
    <n v="6.5"/>
    <s v="Bachelors"/>
    <s v="Yes"/>
    <s v="No"/>
    <s v="No"/>
    <n v="73.400000000000006"/>
    <n v="84"/>
    <x v="1"/>
    <s v="B"/>
    <m/>
  </r>
  <r>
    <n v="185"/>
    <s v="Male"/>
    <n v="3.5"/>
    <n v="92.9"/>
    <n v="6.8"/>
    <s v="Masters"/>
    <s v="Yes"/>
    <s v="No"/>
    <s v="No"/>
    <n v="46.4"/>
    <n v="86"/>
    <x v="4"/>
    <s v="B"/>
    <m/>
  </r>
  <r>
    <n v="186"/>
    <s v="Male"/>
    <n v="6"/>
    <n v="72.5"/>
    <n v="5.0999999999999996"/>
    <s v="Bachelors"/>
    <s v="Yes"/>
    <s v="No"/>
    <s v="No"/>
    <n v="75.5"/>
    <n v="96"/>
    <x v="0"/>
    <s v="A"/>
    <m/>
  </r>
  <r>
    <n v="187"/>
    <s v="Female"/>
    <n v="4"/>
    <n v="87.9"/>
    <n v="6.4"/>
    <s v="Bachelors"/>
    <s v="Yes"/>
    <s v="Yes"/>
    <s v="No"/>
    <n v="82.6"/>
    <n v="89"/>
    <x v="4"/>
    <s v="B"/>
    <m/>
  </r>
  <r>
    <n v="188"/>
    <s v="Male"/>
    <n v="3.2"/>
    <n v="71.400000000000006"/>
    <n v="6.7"/>
    <s v="Bachelors"/>
    <s v="Yes"/>
    <s v="Yes"/>
    <s v="Yes"/>
    <n v="69"/>
    <n v="83"/>
    <x v="1"/>
    <s v="B"/>
    <m/>
  </r>
  <r>
    <n v="189"/>
    <s v="Male"/>
    <n v="4.7"/>
    <n v="89.7"/>
    <n v="9.9"/>
    <s v="Bachelors"/>
    <s v="Yes"/>
    <s v="Yes"/>
    <s v="No"/>
    <n v="90.9"/>
    <n v="100"/>
    <x v="0"/>
    <s v="A"/>
    <m/>
  </r>
  <r>
    <n v="190"/>
    <s v="Female"/>
    <n v="0.5"/>
    <n v="84.6"/>
    <n v="5.5"/>
    <s v="Bachelors"/>
    <s v="Yes"/>
    <s v="Yes"/>
    <s v="No"/>
    <n v="80.3"/>
    <n v="67"/>
    <x v="2"/>
    <s v="D"/>
    <m/>
  </r>
  <r>
    <n v="191"/>
    <s v="Male"/>
    <n v="3.9"/>
    <n v="68.8"/>
    <n v="8.6"/>
    <s v="High School"/>
    <s v="Yes"/>
    <s v="No"/>
    <s v="No"/>
    <n v="76.8"/>
    <n v="85"/>
    <x v="4"/>
    <s v="B"/>
    <m/>
  </r>
  <r>
    <n v="192"/>
    <s v="Male"/>
    <n v="4.7"/>
    <n v="96.6"/>
    <n v="8"/>
    <s v="Bachelors"/>
    <s v="Yes"/>
    <s v="Yes"/>
    <s v="Yes"/>
    <n v="83"/>
    <n v="100"/>
    <x v="0"/>
    <s v="A"/>
    <m/>
  </r>
  <r>
    <n v="193"/>
    <s v="Male"/>
    <n v="1.3"/>
    <n v="77.7"/>
    <n v="7.1"/>
    <s v="Bachelors"/>
    <s v="Yes"/>
    <s v="No"/>
    <s v="No"/>
    <n v="74"/>
    <n v="75"/>
    <x v="5"/>
    <s v="C"/>
    <m/>
  </r>
  <r>
    <n v="194"/>
    <s v="Male"/>
    <n v="5.2"/>
    <n v="76.900000000000006"/>
    <n v="8.9"/>
    <s v="Bachelors"/>
    <s v="Yes"/>
    <s v="Yes"/>
    <s v="No"/>
    <n v="40.1"/>
    <n v="81"/>
    <x v="1"/>
    <s v="B"/>
    <m/>
  </r>
  <r>
    <n v="195"/>
    <s v="Male"/>
    <n v="4"/>
    <n v="87"/>
    <n v="7.2"/>
    <s v="High School"/>
    <s v="Yes"/>
    <s v="Yes"/>
    <s v="No"/>
    <n v="64"/>
    <n v="97"/>
    <x v="0"/>
    <s v="A"/>
    <m/>
  </r>
  <r>
    <n v="196"/>
    <s v="Female"/>
    <n v="2.9"/>
    <n v="96.5"/>
    <n v="7.3"/>
    <s v="Masters"/>
    <s v="No"/>
    <s v="Yes"/>
    <s v="No"/>
    <n v="84.4"/>
    <n v="80"/>
    <x v="1"/>
    <s v="C"/>
    <m/>
  </r>
  <r>
    <n v="197"/>
    <s v="Female"/>
    <n v="4.4000000000000004"/>
    <n v="74.8"/>
    <n v="6.7"/>
    <s v="High School"/>
    <s v="Yes"/>
    <s v="No"/>
    <s v="No"/>
    <n v="60.3"/>
    <n v="73"/>
    <x v="3"/>
    <s v="C"/>
    <m/>
  </r>
  <r>
    <n v="198"/>
    <s v="Female"/>
    <n v="6.9"/>
    <n v="85.6"/>
    <n v="8.3000000000000007"/>
    <s v="Bachelors"/>
    <s v="Yes"/>
    <s v="Yes"/>
    <s v="No"/>
    <n v="67.3"/>
    <n v="92"/>
    <x v="6"/>
    <s v="A"/>
    <m/>
  </r>
  <r>
    <n v="199"/>
    <s v="Male"/>
    <n v="3.8"/>
    <n v="89.3"/>
    <n v="8.1"/>
    <s v="Masters"/>
    <s v="Yes"/>
    <s v="Yes"/>
    <s v="No"/>
    <n v="57.5"/>
    <n v="87"/>
    <x v="4"/>
    <s v="B"/>
    <m/>
  </r>
  <r>
    <n v="200"/>
    <s v="Male"/>
    <n v="3.9"/>
    <n v="91.9"/>
    <n v="6"/>
    <s v="Bachelors"/>
    <s v="No"/>
    <s v="No"/>
    <s v="No"/>
    <n v="91.4"/>
    <n v="93"/>
    <x v="6"/>
    <s v="A"/>
    <m/>
  </r>
  <r>
    <n v="201"/>
    <s v="Male"/>
    <n v="2.8"/>
    <n v="86.8"/>
    <n v="5.2"/>
    <s v="High School"/>
    <s v="Yes"/>
    <s v="No"/>
    <s v="Yes"/>
    <n v="90.2"/>
    <n v="95"/>
    <x v="0"/>
    <s v="A"/>
    <m/>
  </r>
  <r>
    <n v="202"/>
    <s v="Female"/>
    <n v="2.2000000000000002"/>
    <n v="81.3"/>
    <n v="6.6"/>
    <s v="Masters"/>
    <s v="Yes"/>
    <s v="Yes"/>
    <s v="No"/>
    <n v="59.4"/>
    <n v="76"/>
    <x v="5"/>
    <s v="C"/>
    <m/>
  </r>
  <r>
    <n v="203"/>
    <s v="Male"/>
    <n v="4.7"/>
    <n v="76.7"/>
    <n v="5.8"/>
    <s v="Bachelors"/>
    <s v="Yes"/>
    <s v="Yes"/>
    <s v="No"/>
    <n v="71.8"/>
    <n v="85"/>
    <x v="4"/>
    <s v="B"/>
    <m/>
  </r>
  <r>
    <n v="204"/>
    <s v="Male"/>
    <n v="2.2000000000000002"/>
    <n v="85.9"/>
    <n v="6.7"/>
    <s v="Masters"/>
    <s v="Yes"/>
    <s v="Yes"/>
    <s v="No"/>
    <n v="61.8"/>
    <n v="77"/>
    <x v="5"/>
    <s v="C"/>
    <m/>
  </r>
  <r>
    <n v="205"/>
    <s v="Female"/>
    <n v="3.6"/>
    <n v="74.3"/>
    <n v="8.3000000000000007"/>
    <s v="Masters"/>
    <s v="Yes"/>
    <s v="No"/>
    <s v="No"/>
    <n v="77.400000000000006"/>
    <n v="87"/>
    <x v="4"/>
    <s v="B"/>
    <m/>
  </r>
  <r>
    <n v="206"/>
    <s v="Male"/>
    <n v="2.8"/>
    <n v="55.8"/>
    <n v="6.3"/>
    <s v="Bachelors"/>
    <s v="Yes"/>
    <s v="Yes"/>
    <s v="Yes"/>
    <n v="76.099999999999994"/>
    <n v="61"/>
    <x v="7"/>
    <s v="D"/>
    <m/>
  </r>
  <r>
    <n v="207"/>
    <s v="Female"/>
    <n v="4.2"/>
    <n v="89.4"/>
    <n v="6.7"/>
    <s v="Bachelors"/>
    <s v="Yes"/>
    <s v="Yes"/>
    <s v="Yes"/>
    <n v="79.7"/>
    <n v="100"/>
    <x v="0"/>
    <s v="A"/>
    <m/>
  </r>
  <r>
    <n v="208"/>
    <s v="Female"/>
    <n v="4"/>
    <n v="94"/>
    <n v="6.9"/>
    <s v="High School"/>
    <s v="No"/>
    <s v="Yes"/>
    <s v="No"/>
    <n v="74"/>
    <n v="91"/>
    <x v="6"/>
    <s v="A"/>
    <m/>
  </r>
  <r>
    <n v="209"/>
    <s v="Female"/>
    <n v="5.0999999999999996"/>
    <n v="61.4"/>
    <n v="7.8"/>
    <s v="High School"/>
    <s v="Yes"/>
    <s v="Yes"/>
    <s v="Yes"/>
    <n v="100"/>
    <n v="96"/>
    <x v="0"/>
    <s v="A"/>
    <m/>
  </r>
  <r>
    <n v="210"/>
    <s v="Male"/>
    <n v="2.7"/>
    <n v="74.900000000000006"/>
    <n v="4.0999999999999996"/>
    <s v="Bachelors"/>
    <s v="Yes"/>
    <s v="No"/>
    <s v="No"/>
    <n v="57.7"/>
    <n v="73"/>
    <x v="3"/>
    <s v="C"/>
    <m/>
  </r>
  <r>
    <n v="211"/>
    <s v="Male"/>
    <n v="3.1"/>
    <n v="91.2"/>
    <n v="6.1"/>
    <s v="Bachelors"/>
    <s v="Yes"/>
    <s v="Yes"/>
    <s v="No"/>
    <n v="49.5"/>
    <n v="81"/>
    <x v="1"/>
    <s v="B"/>
    <m/>
  </r>
  <r>
    <n v="212"/>
    <s v="Male"/>
    <n v="2"/>
    <n v="100"/>
    <n v="7.1"/>
    <s v="Bachelors"/>
    <s v="Yes"/>
    <s v="Yes"/>
    <s v="No"/>
    <n v="65.3"/>
    <n v="82"/>
    <x v="1"/>
    <s v="B"/>
    <m/>
  </r>
  <r>
    <n v="213"/>
    <s v="Male"/>
    <n v="2.8"/>
    <n v="85.2"/>
    <n v="8.1999999999999993"/>
    <s v="High School"/>
    <s v="Yes"/>
    <s v="Yes"/>
    <s v="Yes"/>
    <n v="51.2"/>
    <n v="70"/>
    <x v="3"/>
    <s v="C"/>
    <m/>
  </r>
  <r>
    <n v="214"/>
    <s v="Male"/>
    <n v="4.0999999999999996"/>
    <n v="77.7"/>
    <n v="6.2"/>
    <s v="High School"/>
    <s v="Yes"/>
    <s v="Yes"/>
    <s v="Yes"/>
    <n v="52.1"/>
    <n v="79"/>
    <x v="5"/>
    <s v="C"/>
    <m/>
  </r>
  <r>
    <n v="215"/>
    <s v="Male"/>
    <n v="4.5999999999999996"/>
    <n v="83.2"/>
    <n v="4.5"/>
    <s v="Bachelors"/>
    <s v="Yes"/>
    <s v="Yes"/>
    <s v="No"/>
    <n v="58"/>
    <n v="85"/>
    <x v="4"/>
    <s v="B"/>
    <m/>
  </r>
  <r>
    <n v="216"/>
    <s v="Male"/>
    <n v="2.1"/>
    <n v="98.7"/>
    <n v="7.5"/>
    <s v="High School"/>
    <s v="Yes"/>
    <s v="No"/>
    <s v="No"/>
    <n v="58.9"/>
    <n v="75"/>
    <x v="5"/>
    <s v="C"/>
    <m/>
  </r>
  <r>
    <n v="217"/>
    <s v="Female"/>
    <n v="4.8"/>
    <n v="78.5"/>
    <n v="6"/>
    <s v="Masters"/>
    <s v="Yes"/>
    <s v="No"/>
    <s v="No"/>
    <n v="58.5"/>
    <n v="91"/>
    <x v="6"/>
    <s v="A"/>
    <m/>
  </r>
  <r>
    <n v="218"/>
    <s v="Male"/>
    <n v="5.5"/>
    <n v="77"/>
    <n v="5.4"/>
    <s v="High School"/>
    <s v="Yes"/>
    <s v="No"/>
    <s v="No"/>
    <n v="76.2"/>
    <n v="93"/>
    <x v="6"/>
    <s v="A"/>
    <m/>
  </r>
  <r>
    <n v="219"/>
    <s v="Female"/>
    <n v="4.0999999999999996"/>
    <n v="80.2"/>
    <n v="6.1"/>
    <s v="Bachelors"/>
    <s v="Yes"/>
    <s v="No"/>
    <s v="No"/>
    <n v="63.9"/>
    <n v="87"/>
    <x v="4"/>
    <s v="B"/>
    <m/>
  </r>
  <r>
    <n v="220"/>
    <s v="Male"/>
    <n v="6.3"/>
    <n v="75.5"/>
    <n v="6.6"/>
    <s v="None"/>
    <s v="Yes"/>
    <s v="No"/>
    <s v="No"/>
    <n v="67.8"/>
    <n v="100"/>
    <x v="0"/>
    <s v="A"/>
    <m/>
  </r>
  <r>
    <n v="221"/>
    <s v="Male"/>
    <n v="2.2999999999999998"/>
    <n v="86.2"/>
    <n v="6.1"/>
    <s v="High School"/>
    <s v="Yes"/>
    <s v="Yes"/>
    <s v="No"/>
    <n v="80.7"/>
    <n v="84"/>
    <x v="1"/>
    <s v="B"/>
    <m/>
  </r>
  <r>
    <n v="222"/>
    <s v="Male"/>
    <n v="1.6"/>
    <n v="100"/>
    <n v="4.2"/>
    <s v="Bachelors"/>
    <s v="No"/>
    <s v="No"/>
    <s v="No"/>
    <n v="60.8"/>
    <n v="72"/>
    <x v="3"/>
    <s v="C"/>
    <m/>
  </r>
  <r>
    <n v="223"/>
    <s v="Female"/>
    <n v="0.8"/>
    <n v="88.2"/>
    <n v="7.9"/>
    <s v="High School"/>
    <s v="No"/>
    <s v="No"/>
    <s v="Yes"/>
    <n v="66.8"/>
    <n v="71"/>
    <x v="3"/>
    <s v="C"/>
    <m/>
  </r>
  <r>
    <n v="224"/>
    <s v="Female"/>
    <n v="5.7"/>
    <n v="82.5"/>
    <n v="8.3000000000000007"/>
    <s v="Bachelors"/>
    <s v="Yes"/>
    <s v="No"/>
    <s v="Yes"/>
    <n v="74.400000000000006"/>
    <n v="90"/>
    <x v="6"/>
    <s v="B"/>
    <m/>
  </r>
  <r>
    <n v="225"/>
    <s v="Female"/>
    <n v="4.5"/>
    <n v="82.1"/>
    <n v="7.6"/>
    <s v="Bachelors"/>
    <s v="Yes"/>
    <s v="Yes"/>
    <s v="No"/>
    <n v="46.7"/>
    <n v="81"/>
    <x v="1"/>
    <s v="B"/>
    <m/>
  </r>
  <r>
    <n v="226"/>
    <s v="Female"/>
    <n v="3.4"/>
    <n v="69.400000000000006"/>
    <n v="5.4"/>
    <s v="Bachelors"/>
    <s v="Yes"/>
    <s v="Yes"/>
    <s v="No"/>
    <n v="41.4"/>
    <n v="67"/>
    <x v="2"/>
    <s v="D"/>
    <m/>
  </r>
  <r>
    <n v="227"/>
    <s v="Male"/>
    <n v="3.9"/>
    <n v="93.8"/>
    <n v="6.6"/>
    <s v="Bachelors"/>
    <s v="Yes"/>
    <s v="No"/>
    <s v="Yes"/>
    <n v="74.2"/>
    <n v="82"/>
    <x v="1"/>
    <s v="B"/>
    <m/>
  </r>
  <r>
    <n v="228"/>
    <s v="Female"/>
    <n v="1.8"/>
    <n v="84.2"/>
    <n v="6.8"/>
    <s v="PhD"/>
    <s v="Yes"/>
    <s v="No"/>
    <s v="Yes"/>
    <n v="75.900000000000006"/>
    <n v="90"/>
    <x v="6"/>
    <s v="A"/>
    <m/>
  </r>
  <r>
    <n v="229"/>
    <s v="Male"/>
    <n v="7.2"/>
    <n v="83.2"/>
    <n v="7.5"/>
    <s v="High School"/>
    <s v="Yes"/>
    <s v="No"/>
    <s v="No"/>
    <n v="94.8"/>
    <n v="100"/>
    <x v="0"/>
    <s v="A"/>
    <m/>
  </r>
  <r>
    <n v="230"/>
    <s v="Male"/>
    <n v="3.7"/>
    <n v="100"/>
    <n v="7.6"/>
    <s v="High School"/>
    <s v="Yes"/>
    <s v="Yes"/>
    <s v="Yes"/>
    <n v="71.900000000000006"/>
    <n v="83"/>
    <x v="1"/>
    <s v="B"/>
    <m/>
  </r>
  <r>
    <n v="231"/>
    <s v="Female"/>
    <n v="3.7"/>
    <n v="88"/>
    <n v="5.9"/>
    <s v="PhD"/>
    <s v="Yes"/>
    <s v="Yes"/>
    <s v="No"/>
    <n v="79.8"/>
    <n v="98"/>
    <x v="0"/>
    <s v="A"/>
    <m/>
  </r>
  <r>
    <n v="232"/>
    <s v="Female"/>
    <n v="4.5999999999999996"/>
    <n v="77.5"/>
    <n v="6.9"/>
    <s v="Bachelors"/>
    <s v="Yes"/>
    <s v="Yes"/>
    <s v="No"/>
    <n v="67.7"/>
    <n v="92"/>
    <x v="6"/>
    <s v="A"/>
    <m/>
  </r>
  <r>
    <n v="233"/>
    <s v="Female"/>
    <n v="4.2"/>
    <n v="80.7"/>
    <n v="7.3"/>
    <s v="PhD"/>
    <s v="Yes"/>
    <s v="No"/>
    <s v="No"/>
    <n v="73.599999999999994"/>
    <n v="82"/>
    <x v="1"/>
    <s v="B"/>
    <m/>
  </r>
  <r>
    <n v="234"/>
    <s v="Female"/>
    <n v="3.8"/>
    <n v="96.5"/>
    <n v="8.5"/>
    <s v="Bachelors"/>
    <s v="Yes"/>
    <s v="Yes"/>
    <s v="No"/>
    <n v="90"/>
    <n v="100"/>
    <x v="0"/>
    <s v="A"/>
    <m/>
  </r>
  <r>
    <n v="235"/>
    <s v="Female"/>
    <n v="2.2999999999999998"/>
    <n v="86.1"/>
    <n v="7.6"/>
    <s v="Masters"/>
    <s v="Yes"/>
    <s v="Yes"/>
    <s v="No"/>
    <n v="44.5"/>
    <n v="80"/>
    <x v="1"/>
    <s v="B"/>
    <m/>
  </r>
  <r>
    <n v="236"/>
    <s v="Female"/>
    <n v="4.2"/>
    <n v="70.599999999999994"/>
    <n v="7.7"/>
    <s v="Bachelors"/>
    <s v="Yes"/>
    <s v="No"/>
    <s v="No"/>
    <n v="75"/>
    <n v="86"/>
    <x v="4"/>
    <s v="B"/>
    <m/>
  </r>
  <r>
    <n v="237"/>
    <s v="Female"/>
    <n v="6.3"/>
    <n v="94.2"/>
    <n v="6.9"/>
    <s v="Masters"/>
    <s v="Yes"/>
    <s v="Yes"/>
    <s v="No"/>
    <n v="95.6"/>
    <n v="100"/>
    <x v="0"/>
    <s v="A"/>
    <m/>
  </r>
  <r>
    <n v="238"/>
    <s v="Female"/>
    <n v="5.5"/>
    <n v="78.3"/>
    <n v="8.5"/>
    <s v="None"/>
    <s v="Yes"/>
    <s v="No"/>
    <s v="No"/>
    <n v="73.400000000000006"/>
    <n v="84"/>
    <x v="1"/>
    <s v="B"/>
    <m/>
  </r>
  <r>
    <n v="239"/>
    <s v="Male"/>
    <n v="5.9"/>
    <n v="100"/>
    <n v="7.3"/>
    <s v="Bachelors"/>
    <s v="Yes"/>
    <s v="Yes"/>
    <s v="No"/>
    <n v="89.8"/>
    <n v="100"/>
    <x v="0"/>
    <s v="A"/>
    <m/>
  </r>
  <r>
    <n v="240"/>
    <s v="Female"/>
    <n v="2.7"/>
    <n v="95.8"/>
    <n v="5.8"/>
    <s v="High School"/>
    <s v="Yes"/>
    <s v="No"/>
    <s v="Yes"/>
    <n v="62.4"/>
    <n v="85"/>
    <x v="4"/>
    <s v="B"/>
    <m/>
  </r>
  <r>
    <n v="241"/>
    <s v="Female"/>
    <n v="2"/>
    <n v="80.5"/>
    <n v="8.5"/>
    <s v="High School"/>
    <s v="Yes"/>
    <s v="No"/>
    <s v="Yes"/>
    <n v="69.599999999999994"/>
    <n v="81"/>
    <x v="1"/>
    <s v="B"/>
    <m/>
  </r>
  <r>
    <n v="242"/>
    <s v="Male"/>
    <n v="3.3"/>
    <n v="97.8"/>
    <n v="7.6"/>
    <s v="High School"/>
    <s v="Yes"/>
    <s v="No"/>
    <s v="Yes"/>
    <n v="70.400000000000006"/>
    <n v="85"/>
    <x v="4"/>
    <s v="B"/>
    <m/>
  </r>
  <r>
    <n v="243"/>
    <s v="Female"/>
    <n v="3.6"/>
    <n v="85.7"/>
    <n v="6.3"/>
    <s v="High School"/>
    <s v="Yes"/>
    <s v="No"/>
    <s v="Yes"/>
    <n v="43.4"/>
    <n v="69"/>
    <x v="2"/>
    <s v="D"/>
    <m/>
  </r>
  <r>
    <n v="244"/>
    <s v="Male"/>
    <n v="5.0999999999999996"/>
    <n v="93.5"/>
    <n v="6.2"/>
    <s v="High School"/>
    <s v="Yes"/>
    <s v="Yes"/>
    <s v="No"/>
    <n v="56"/>
    <n v="92"/>
    <x v="6"/>
    <s v="A"/>
    <m/>
  </r>
  <r>
    <n v="245"/>
    <s v="Male"/>
    <n v="1"/>
    <n v="89.8"/>
    <n v="7.2"/>
    <s v="Bachelors"/>
    <s v="Yes"/>
    <s v="Yes"/>
    <s v="No"/>
    <n v="56.8"/>
    <n v="76"/>
    <x v="5"/>
    <s v="C"/>
    <m/>
  </r>
  <r>
    <n v="246"/>
    <s v="Female"/>
    <n v="5.8"/>
    <n v="76.5"/>
    <n v="7.4"/>
    <s v="Bachelors"/>
    <s v="Yes"/>
    <s v="Yes"/>
    <s v="No"/>
    <n v="79.900000000000006"/>
    <n v="100"/>
    <x v="0"/>
    <s v="A"/>
    <m/>
  </r>
  <r>
    <n v="247"/>
    <s v="Male"/>
    <n v="3.3"/>
    <n v="78.599999999999994"/>
    <n v="7"/>
    <s v="Bachelors"/>
    <s v="Yes"/>
    <s v="No"/>
    <s v="No"/>
    <n v="80.5"/>
    <n v="92"/>
    <x v="6"/>
    <s v="A"/>
    <m/>
  </r>
  <r>
    <n v="248"/>
    <s v="Male"/>
    <n v="2.9"/>
    <n v="95.3"/>
    <n v="7.2"/>
    <s v="Bachelors"/>
    <s v="No"/>
    <s v="No"/>
    <s v="No"/>
    <n v="73.900000000000006"/>
    <n v="77"/>
    <x v="5"/>
    <s v="C"/>
    <m/>
  </r>
  <r>
    <n v="249"/>
    <s v="Male"/>
    <n v="2"/>
    <n v="81.7"/>
    <n v="8.8000000000000007"/>
    <s v="High School"/>
    <s v="Yes"/>
    <s v="Yes"/>
    <s v="No"/>
    <n v="79.900000000000006"/>
    <n v="83"/>
    <x v="1"/>
    <s v="B"/>
    <m/>
  </r>
  <r>
    <n v="250"/>
    <s v="Male"/>
    <n v="1"/>
    <n v="81"/>
    <n v="8.1"/>
    <s v="High School"/>
    <s v="Yes"/>
    <s v="No"/>
    <s v="No"/>
    <n v="68"/>
    <n v="67"/>
    <x v="2"/>
    <s v="D"/>
    <m/>
  </r>
  <r>
    <n v="251"/>
    <s v="Female"/>
    <n v="4.7"/>
    <n v="75.400000000000006"/>
    <n v="7"/>
    <s v="High School"/>
    <s v="Yes"/>
    <s v="Yes"/>
    <s v="Yes"/>
    <n v="84.4"/>
    <n v="88"/>
    <x v="4"/>
    <s v="B"/>
    <m/>
  </r>
  <r>
    <n v="252"/>
    <s v="Male"/>
    <n v="3.6"/>
    <n v="89.2"/>
    <n v="7.9"/>
    <s v="Bachelors"/>
    <s v="Yes"/>
    <s v="No"/>
    <s v="Yes"/>
    <n v="70.099999999999994"/>
    <n v="91"/>
    <x v="6"/>
    <s v="A"/>
    <m/>
  </r>
  <r>
    <n v="253"/>
    <s v="Female"/>
    <n v="1.6"/>
    <n v="100"/>
    <n v="5.6"/>
    <s v="High School"/>
    <s v="No"/>
    <s v="No"/>
    <s v="No"/>
    <n v="70.7"/>
    <n v="76"/>
    <x v="5"/>
    <s v="C"/>
    <m/>
  </r>
  <r>
    <n v="254"/>
    <s v="Male"/>
    <n v="1.6"/>
    <n v="74.3"/>
    <n v="7.3"/>
    <s v="High School"/>
    <s v="Yes"/>
    <s v="Yes"/>
    <s v="No"/>
    <n v="66.8"/>
    <n v="88"/>
    <x v="4"/>
    <s v="B"/>
    <m/>
  </r>
  <r>
    <n v="255"/>
    <s v="Male"/>
    <n v="3"/>
    <n v="85.2"/>
    <n v="9"/>
    <s v="Bachelors"/>
    <s v="Yes"/>
    <s v="Yes"/>
    <s v="Yes"/>
    <n v="78.2"/>
    <n v="88"/>
    <x v="4"/>
    <s v="B"/>
    <m/>
  </r>
  <r>
    <n v="256"/>
    <s v="Male"/>
    <n v="6"/>
    <n v="99.1"/>
    <n v="6.5"/>
    <s v="Masters"/>
    <s v="Yes"/>
    <s v="Yes"/>
    <s v="Yes"/>
    <n v="64.900000000000006"/>
    <n v="97"/>
    <x v="0"/>
    <s v="A"/>
    <m/>
  </r>
  <r>
    <n v="257"/>
    <s v="Male"/>
    <n v="3.1"/>
    <n v="84.2"/>
    <n v="5.8"/>
    <s v="High School"/>
    <s v="Yes"/>
    <s v="No"/>
    <s v="No"/>
    <n v="81.7"/>
    <n v="87"/>
    <x v="4"/>
    <s v="B"/>
    <m/>
  </r>
  <r>
    <n v="258"/>
    <s v="Female"/>
    <n v="1.2"/>
    <n v="89.5"/>
    <n v="6"/>
    <s v="Bachelors"/>
    <s v="Yes"/>
    <s v="Yes"/>
    <s v="Yes"/>
    <n v="56.4"/>
    <n v="64"/>
    <x v="7"/>
    <s v="D"/>
    <m/>
  </r>
  <r>
    <n v="259"/>
    <s v="Female"/>
    <n v="3.1"/>
    <n v="74.400000000000006"/>
    <n v="5.5"/>
    <s v="Masters"/>
    <s v="Yes"/>
    <s v="Yes"/>
    <s v="No"/>
    <n v="56.8"/>
    <n v="73"/>
    <x v="3"/>
    <s v="C"/>
    <m/>
  </r>
  <r>
    <n v="260"/>
    <s v="Male"/>
    <n v="3.1"/>
    <n v="89.3"/>
    <n v="5.9"/>
    <s v="Masters"/>
    <s v="Yes"/>
    <s v="Yes"/>
    <s v="No"/>
    <n v="78.2"/>
    <n v="94"/>
    <x v="6"/>
    <s v="A"/>
    <m/>
  </r>
  <r>
    <n v="261"/>
    <s v="Male"/>
    <n v="0.5"/>
    <n v="83.1"/>
    <n v="6.4"/>
    <s v="None"/>
    <s v="Yes"/>
    <s v="Yes"/>
    <s v="No"/>
    <n v="68.900000000000006"/>
    <n v="71"/>
    <x v="3"/>
    <s v="C"/>
    <m/>
  </r>
  <r>
    <n v="262"/>
    <s v="Female"/>
    <n v="3.4"/>
    <n v="94.9"/>
    <n v="5.0999999999999996"/>
    <s v="High School"/>
    <s v="Yes"/>
    <s v="Yes"/>
    <s v="No"/>
    <n v="64.599999999999994"/>
    <n v="80"/>
    <x v="1"/>
    <s v="C"/>
    <m/>
  </r>
  <r>
    <n v="263"/>
    <s v="Male"/>
    <n v="3.2"/>
    <n v="96.9"/>
    <n v="6.8"/>
    <s v="High School"/>
    <s v="No"/>
    <s v="No"/>
    <s v="No"/>
    <n v="80.7"/>
    <n v="81"/>
    <x v="1"/>
    <s v="B"/>
    <m/>
  </r>
  <r>
    <n v="264"/>
    <s v="Male"/>
    <n v="4.5"/>
    <n v="100"/>
    <n v="7.9"/>
    <s v="PhD"/>
    <s v="Yes"/>
    <s v="Yes"/>
    <s v="No"/>
    <n v="62.7"/>
    <n v="91"/>
    <x v="6"/>
    <s v="A"/>
    <m/>
  </r>
  <r>
    <n v="265"/>
    <s v="Male"/>
    <n v="6.3"/>
    <n v="90.8"/>
    <n v="5.7"/>
    <s v="Bachelors"/>
    <s v="Yes"/>
    <s v="No"/>
    <s v="No"/>
    <n v="67.599999999999994"/>
    <n v="98"/>
    <x v="0"/>
    <s v="A"/>
    <m/>
  </r>
  <r>
    <n v="266"/>
    <s v="Female"/>
    <n v="5.2"/>
    <n v="88.3"/>
    <n v="8.6"/>
    <s v="Bachelors"/>
    <s v="Yes"/>
    <s v="No"/>
    <s v="No"/>
    <n v="86.8"/>
    <n v="100"/>
    <x v="0"/>
    <s v="A"/>
    <m/>
  </r>
  <r>
    <n v="267"/>
    <s v="Female"/>
    <n v="3.1"/>
    <n v="86.9"/>
    <n v="7.4"/>
    <s v="Masters"/>
    <s v="Yes"/>
    <s v="Yes"/>
    <s v="Yes"/>
    <n v="88.5"/>
    <n v="82"/>
    <x v="1"/>
    <s v="B"/>
    <m/>
  </r>
  <r>
    <n v="268"/>
    <s v="Female"/>
    <n v="1.8"/>
    <n v="81.5"/>
    <n v="8"/>
    <s v="Masters"/>
    <s v="Yes"/>
    <s v="Yes"/>
    <s v="No"/>
    <n v="88.9"/>
    <n v="84"/>
    <x v="1"/>
    <s v="B"/>
    <m/>
  </r>
  <r>
    <n v="269"/>
    <s v="Male"/>
    <n v="7.4"/>
    <n v="88.4"/>
    <n v="6"/>
    <s v="None"/>
    <s v="Yes"/>
    <s v="No"/>
    <s v="No"/>
    <n v="66.599999999999994"/>
    <n v="100"/>
    <x v="0"/>
    <s v="A"/>
    <m/>
  </r>
  <r>
    <n v="270"/>
    <s v="Male"/>
    <n v="3.6"/>
    <n v="82"/>
    <n v="7.8"/>
    <s v="None"/>
    <s v="Yes"/>
    <s v="No"/>
    <s v="No"/>
    <n v="84.8"/>
    <n v="80"/>
    <x v="1"/>
    <s v="B"/>
    <m/>
  </r>
  <r>
    <n v="271"/>
    <s v="Female"/>
    <n v="3.5"/>
    <n v="86.7"/>
    <n v="5.5"/>
    <s v="Masters"/>
    <s v="Yes"/>
    <s v="Yes"/>
    <s v="No"/>
    <n v="58.6"/>
    <n v="75"/>
    <x v="5"/>
    <s v="C"/>
    <m/>
  </r>
  <r>
    <n v="272"/>
    <s v="Female"/>
    <n v="3.5"/>
    <n v="98.2"/>
    <n v="7.9"/>
    <s v="High School"/>
    <s v="No"/>
    <s v="Yes"/>
    <s v="No"/>
    <n v="59.1"/>
    <n v="78"/>
    <x v="5"/>
    <s v="C"/>
    <m/>
  </r>
  <r>
    <n v="273"/>
    <s v="Female"/>
    <n v="3.8"/>
    <n v="74.900000000000006"/>
    <n v="7"/>
    <s v="PhD"/>
    <s v="Yes"/>
    <s v="Yes"/>
    <s v="Yes"/>
    <n v="41.8"/>
    <n v="65"/>
    <x v="2"/>
    <s v="D"/>
    <m/>
  </r>
  <r>
    <n v="274"/>
    <s v="Female"/>
    <n v="3.3"/>
    <n v="96.4"/>
    <n v="7.5"/>
    <s v="High School"/>
    <s v="Yes"/>
    <s v="No"/>
    <s v="No"/>
    <n v="90.1"/>
    <n v="98"/>
    <x v="0"/>
    <s v="A"/>
    <m/>
  </r>
  <r>
    <n v="275"/>
    <s v="Male"/>
    <n v="2.6"/>
    <n v="98.2"/>
    <n v="5.4"/>
    <s v="High School"/>
    <s v="No"/>
    <s v="Yes"/>
    <s v="No"/>
    <n v="59.6"/>
    <n v="74"/>
    <x v="3"/>
    <s v="C"/>
    <m/>
  </r>
  <r>
    <n v="276"/>
    <s v="Female"/>
    <n v="2.7"/>
    <n v="83.8"/>
    <n v="5.7"/>
    <s v="PhD"/>
    <s v="Yes"/>
    <s v="Yes"/>
    <s v="No"/>
    <n v="68.5"/>
    <n v="76"/>
    <x v="5"/>
    <s v="C"/>
    <m/>
  </r>
  <r>
    <n v="277"/>
    <s v="Male"/>
    <n v="3.5"/>
    <n v="63.8"/>
    <n v="7.5"/>
    <s v="High School"/>
    <s v="Yes"/>
    <s v="No"/>
    <s v="No"/>
    <n v="59.1"/>
    <n v="76"/>
    <x v="5"/>
    <s v="C"/>
    <m/>
  </r>
  <r>
    <n v="278"/>
    <s v="Female"/>
    <n v="2.7"/>
    <n v="78.900000000000006"/>
    <n v="5.7"/>
    <s v="High School"/>
    <s v="Yes"/>
    <s v="No"/>
    <s v="Yes"/>
    <n v="78.3"/>
    <n v="88"/>
    <x v="4"/>
    <s v="B"/>
    <m/>
  </r>
  <r>
    <n v="279"/>
    <s v="Male"/>
    <n v="2.4"/>
    <n v="98"/>
    <n v="7.4"/>
    <s v="High School"/>
    <s v="Yes"/>
    <s v="Yes"/>
    <s v="No"/>
    <n v="65.5"/>
    <n v="94"/>
    <x v="6"/>
    <s v="A"/>
    <m/>
  </r>
  <r>
    <n v="280"/>
    <s v="Female"/>
    <n v="3.7"/>
    <n v="84.8"/>
    <n v="5.2"/>
    <s v="PhD"/>
    <s v="No"/>
    <s v="Yes"/>
    <s v="Yes"/>
    <n v="54.3"/>
    <n v="59"/>
    <x v="8"/>
    <s v="F"/>
    <m/>
  </r>
  <r>
    <n v="281"/>
    <s v="Female"/>
    <n v="3.1"/>
    <n v="75"/>
    <n v="7.8"/>
    <s v="Bachelors"/>
    <s v="No"/>
    <s v="No"/>
    <s v="No"/>
    <n v="75.3"/>
    <n v="81"/>
    <x v="1"/>
    <s v="B"/>
    <m/>
  </r>
  <r>
    <n v="282"/>
    <s v="Female"/>
    <n v="5.8"/>
    <n v="80"/>
    <n v="5.3"/>
    <s v="Masters"/>
    <s v="Yes"/>
    <s v="Yes"/>
    <s v="No"/>
    <n v="52.8"/>
    <n v="85"/>
    <x v="4"/>
    <s v="B"/>
    <m/>
  </r>
  <r>
    <n v="283"/>
    <s v="Female"/>
    <n v="0.5"/>
    <n v="93.4"/>
    <n v="7.5"/>
    <s v="High School"/>
    <s v="Yes"/>
    <s v="Yes"/>
    <s v="Yes"/>
    <n v="60"/>
    <n v="70"/>
    <x v="3"/>
    <s v="D"/>
    <m/>
  </r>
  <r>
    <n v="284"/>
    <s v="Male"/>
    <n v="5.0999999999999996"/>
    <n v="90.5"/>
    <n v="7.6"/>
    <s v="Masters"/>
    <s v="Yes"/>
    <s v="No"/>
    <s v="No"/>
    <n v="44.7"/>
    <n v="82"/>
    <x v="1"/>
    <s v="B"/>
    <m/>
  </r>
  <r>
    <n v="285"/>
    <s v="Female"/>
    <n v="5.4"/>
    <n v="82.6"/>
    <n v="6"/>
    <s v="Masters"/>
    <s v="Yes"/>
    <s v="Yes"/>
    <s v="Yes"/>
    <n v="52.9"/>
    <n v="83"/>
    <x v="1"/>
    <s v="B"/>
    <m/>
  </r>
  <r>
    <n v="286"/>
    <s v="Male"/>
    <n v="0.5"/>
    <n v="81.3"/>
    <n v="7.5"/>
    <s v="High School"/>
    <s v="Yes"/>
    <s v="No"/>
    <s v="Yes"/>
    <n v="72.099999999999994"/>
    <n v="70"/>
    <x v="3"/>
    <s v="D"/>
    <m/>
  </r>
  <r>
    <n v="287"/>
    <s v="Male"/>
    <n v="3"/>
    <n v="81.099999999999994"/>
    <n v="7.1"/>
    <s v="Bachelors"/>
    <s v="Yes"/>
    <s v="No"/>
    <s v="No"/>
    <n v="46.4"/>
    <n v="69"/>
    <x v="2"/>
    <s v="D"/>
    <m/>
  </r>
  <r>
    <n v="288"/>
    <s v="Male"/>
    <n v="2.9"/>
    <n v="75.8"/>
    <n v="6.2"/>
    <s v="High School"/>
    <s v="No"/>
    <s v="Yes"/>
    <s v="No"/>
    <n v="52.2"/>
    <n v="62"/>
    <x v="7"/>
    <s v="D"/>
    <m/>
  </r>
  <r>
    <n v="289"/>
    <s v="Male"/>
    <n v="1.4"/>
    <n v="100"/>
    <n v="5.6"/>
    <s v="None"/>
    <s v="No"/>
    <s v="Yes"/>
    <s v="No"/>
    <n v="70"/>
    <n v="72"/>
    <x v="3"/>
    <s v="C"/>
    <m/>
  </r>
  <r>
    <n v="290"/>
    <s v="Female"/>
    <n v="2.2999999999999998"/>
    <n v="81.8"/>
    <n v="4.4000000000000004"/>
    <s v="Bachelors"/>
    <s v="Yes"/>
    <s v="No"/>
    <s v="No"/>
    <n v="63.5"/>
    <n v="74"/>
    <x v="3"/>
    <s v="C"/>
    <m/>
  </r>
  <r>
    <n v="291"/>
    <s v="Male"/>
    <n v="1.8"/>
    <n v="97.2"/>
    <n v="7.2"/>
    <s v="None"/>
    <s v="Yes"/>
    <s v="No"/>
    <s v="No"/>
    <n v="93.9"/>
    <n v="95"/>
    <x v="0"/>
    <s v="A"/>
    <m/>
  </r>
  <r>
    <n v="292"/>
    <s v="Male"/>
    <n v="6.1"/>
    <n v="100"/>
    <n v="4.9000000000000004"/>
    <s v="High School"/>
    <s v="Yes"/>
    <s v="No"/>
    <s v="No"/>
    <n v="92"/>
    <n v="100"/>
    <x v="0"/>
    <s v="A"/>
    <m/>
  </r>
  <r>
    <n v="293"/>
    <s v="Male"/>
    <n v="4.9000000000000004"/>
    <n v="95"/>
    <n v="6.9"/>
    <s v="Masters"/>
    <s v="Yes"/>
    <s v="No"/>
    <s v="Yes"/>
    <n v="59.6"/>
    <n v="85"/>
    <x v="4"/>
    <s v="B"/>
    <m/>
  </r>
  <r>
    <n v="294"/>
    <s v="Female"/>
    <n v="5.4"/>
    <n v="80.7"/>
    <n v="6.5"/>
    <s v="Masters"/>
    <s v="Yes"/>
    <s v="Yes"/>
    <s v="Yes"/>
    <n v="76.7"/>
    <n v="94"/>
    <x v="6"/>
    <s v="A"/>
    <m/>
  </r>
  <r>
    <n v="295"/>
    <s v="Female"/>
    <n v="4.5999999999999996"/>
    <n v="89"/>
    <n v="7.6"/>
    <s v="Masters"/>
    <s v="Yes"/>
    <s v="No"/>
    <s v="No"/>
    <n v="79"/>
    <n v="100"/>
    <x v="0"/>
    <s v="A"/>
    <m/>
  </r>
  <r>
    <n v="296"/>
    <s v="Female"/>
    <n v="1.8"/>
    <n v="84.8"/>
    <n v="6.4"/>
    <s v="None"/>
    <s v="Yes"/>
    <s v="Yes"/>
    <s v="No"/>
    <n v="62.8"/>
    <n v="82"/>
    <x v="1"/>
    <s v="B"/>
    <m/>
  </r>
  <r>
    <n v="297"/>
    <s v="Female"/>
    <n v="2.7"/>
    <n v="76"/>
    <n v="6.4"/>
    <s v="Bachelors"/>
    <s v="Yes"/>
    <s v="Yes"/>
    <s v="No"/>
    <n v="52.1"/>
    <n v="71"/>
    <x v="3"/>
    <s v="C"/>
    <m/>
  </r>
  <r>
    <n v="298"/>
    <s v="Male"/>
    <n v="4.2"/>
    <n v="88.2"/>
    <n v="7.7"/>
    <s v="High School"/>
    <s v="Yes"/>
    <s v="Yes"/>
    <s v="No"/>
    <n v="69.900000000000006"/>
    <n v="90"/>
    <x v="6"/>
    <s v="B"/>
    <m/>
  </r>
  <r>
    <n v="299"/>
    <s v="Male"/>
    <n v="1.7"/>
    <n v="73.2"/>
    <n v="7.2"/>
    <s v="Masters"/>
    <s v="No"/>
    <s v="Yes"/>
    <s v="No"/>
    <n v="67.900000000000006"/>
    <n v="69"/>
    <x v="2"/>
    <s v="D"/>
    <m/>
  </r>
  <r>
    <n v="300"/>
    <s v="Female"/>
    <n v="4.5999999999999996"/>
    <n v="96.9"/>
    <n v="7.2"/>
    <s v="Masters"/>
    <s v="Yes"/>
    <s v="No"/>
    <s v="Yes"/>
    <n v="64.8"/>
    <n v="82"/>
    <x v="1"/>
    <s v="B"/>
    <m/>
  </r>
  <r>
    <n v="301"/>
    <s v="Male"/>
    <n v="3.1"/>
    <n v="80.400000000000006"/>
    <n v="7.4"/>
    <s v="Bachelors"/>
    <s v="Yes"/>
    <s v="Yes"/>
    <s v="Yes"/>
    <n v="75.3"/>
    <n v="81"/>
    <x v="1"/>
    <s v="B"/>
    <m/>
  </r>
  <r>
    <n v="302"/>
    <s v="Male"/>
    <n v="2.9"/>
    <n v="87"/>
    <n v="5"/>
    <s v="High School"/>
    <s v="Yes"/>
    <s v="Yes"/>
    <s v="No"/>
    <n v="61"/>
    <n v="82"/>
    <x v="1"/>
    <s v="B"/>
    <m/>
  </r>
  <r>
    <n v="303"/>
    <s v="Male"/>
    <n v="4.5999999999999996"/>
    <n v="87.8"/>
    <n v="7.7"/>
    <s v="Bachelors"/>
    <s v="Yes"/>
    <s v="Yes"/>
    <s v="No"/>
    <n v="56.2"/>
    <n v="91"/>
    <x v="6"/>
    <s v="A"/>
    <m/>
  </r>
  <r>
    <n v="304"/>
    <s v="Female"/>
    <n v="4.2"/>
    <n v="82.4"/>
    <n v="7.5"/>
    <s v="High School"/>
    <s v="No"/>
    <s v="No"/>
    <s v="No"/>
    <n v="71.3"/>
    <n v="82"/>
    <x v="1"/>
    <s v="B"/>
    <m/>
  </r>
  <r>
    <n v="305"/>
    <s v="Female"/>
    <n v="3"/>
    <n v="90.9"/>
    <n v="5.6"/>
    <s v="Bachelors"/>
    <s v="Yes"/>
    <s v="No"/>
    <s v="Yes"/>
    <n v="74.599999999999994"/>
    <n v="83"/>
    <x v="1"/>
    <s v="B"/>
    <m/>
  </r>
  <r>
    <n v="306"/>
    <s v="Male"/>
    <n v="5.2"/>
    <n v="80.3"/>
    <n v="6.5"/>
    <s v="Bachelors"/>
    <s v="Yes"/>
    <s v="Yes"/>
    <s v="No"/>
    <n v="55.9"/>
    <n v="81"/>
    <x v="1"/>
    <s v="B"/>
    <m/>
  </r>
  <r>
    <n v="307"/>
    <s v="Female"/>
    <n v="1.9"/>
    <n v="93.7"/>
    <n v="6.8"/>
    <s v="Masters"/>
    <s v="Yes"/>
    <s v="Yes"/>
    <s v="Yes"/>
    <n v="81.099999999999994"/>
    <n v="87"/>
    <x v="4"/>
    <s v="B"/>
    <m/>
  </r>
  <r>
    <n v="308"/>
    <s v="Female"/>
    <n v="4.4000000000000004"/>
    <n v="71.5"/>
    <n v="6.6"/>
    <s v="High School"/>
    <s v="Yes"/>
    <s v="Yes"/>
    <s v="Yes"/>
    <n v="48.8"/>
    <n v="73"/>
    <x v="3"/>
    <s v="C"/>
    <m/>
  </r>
  <r>
    <n v="309"/>
    <s v="Female"/>
    <n v="4.4000000000000004"/>
    <n v="86.3"/>
    <n v="7.2"/>
    <s v="Bachelors"/>
    <s v="Yes"/>
    <s v="No"/>
    <s v="No"/>
    <n v="63.1"/>
    <n v="85"/>
    <x v="4"/>
    <s v="B"/>
    <m/>
  </r>
  <r>
    <n v="310"/>
    <s v="Female"/>
    <n v="3"/>
    <n v="100"/>
    <n v="8.5"/>
    <s v="High School"/>
    <s v="Yes"/>
    <s v="No"/>
    <s v="Yes"/>
    <n v="66.900000000000006"/>
    <n v="83"/>
    <x v="1"/>
    <s v="B"/>
    <m/>
  </r>
  <r>
    <n v="311"/>
    <s v="Female"/>
    <n v="4"/>
    <n v="75"/>
    <n v="8.1"/>
    <s v="High School"/>
    <s v="Yes"/>
    <s v="Yes"/>
    <s v="No"/>
    <n v="62.4"/>
    <n v="83"/>
    <x v="1"/>
    <s v="B"/>
    <m/>
  </r>
  <r>
    <n v="312"/>
    <s v="Male"/>
    <n v="1.6"/>
    <n v="78.2"/>
    <n v="5.2"/>
    <s v="Masters"/>
    <s v="Yes"/>
    <s v="No"/>
    <s v="Yes"/>
    <n v="63.2"/>
    <n v="63"/>
    <x v="7"/>
    <s v="D"/>
    <m/>
  </r>
  <r>
    <n v="313"/>
    <s v="Female"/>
    <n v="4.9000000000000004"/>
    <n v="90.1"/>
    <n v="7.5"/>
    <s v="None"/>
    <s v="Yes"/>
    <s v="Yes"/>
    <s v="No"/>
    <n v="92.5"/>
    <n v="100"/>
    <x v="0"/>
    <s v="A"/>
    <m/>
  </r>
  <r>
    <n v="314"/>
    <s v="Male"/>
    <n v="3.2"/>
    <n v="86.8"/>
    <n v="8.4"/>
    <s v="Bachelors"/>
    <s v="Yes"/>
    <s v="No"/>
    <s v="No"/>
    <n v="59.8"/>
    <n v="79"/>
    <x v="5"/>
    <s v="C"/>
    <m/>
  </r>
  <r>
    <n v="315"/>
    <s v="Male"/>
    <n v="2.7"/>
    <n v="88.5"/>
    <n v="7.3"/>
    <s v="Masters"/>
    <s v="Yes"/>
    <s v="Yes"/>
    <s v="No"/>
    <n v="99.3"/>
    <n v="100"/>
    <x v="0"/>
    <s v="A"/>
    <m/>
  </r>
  <r>
    <n v="316"/>
    <s v="Female"/>
    <n v="5.0999999999999996"/>
    <n v="89.9"/>
    <n v="8.1"/>
    <s v="PhD"/>
    <s v="Yes"/>
    <s v="Yes"/>
    <s v="No"/>
    <n v="75.2"/>
    <n v="100"/>
    <x v="0"/>
    <s v="A"/>
    <m/>
  </r>
  <r>
    <n v="317"/>
    <s v="Male"/>
    <n v="2.4"/>
    <n v="91.3"/>
    <n v="9.1999999999999993"/>
    <s v="Masters"/>
    <s v="No"/>
    <s v="Yes"/>
    <s v="Yes"/>
    <n v="71.099999999999994"/>
    <n v="73"/>
    <x v="3"/>
    <s v="C"/>
    <m/>
  </r>
  <r>
    <n v="318"/>
    <s v="Male"/>
    <n v="1.4"/>
    <n v="96.1"/>
    <n v="8"/>
    <s v="High School"/>
    <s v="No"/>
    <s v="Yes"/>
    <s v="No"/>
    <n v="75.7"/>
    <n v="79"/>
    <x v="5"/>
    <s v="C"/>
    <m/>
  </r>
  <r>
    <n v="319"/>
    <s v="Male"/>
    <n v="1.2"/>
    <n v="89.1"/>
    <n v="7.1"/>
    <s v="None"/>
    <s v="Yes"/>
    <s v="No"/>
    <s v="No"/>
    <n v="100"/>
    <n v="84"/>
    <x v="1"/>
    <s v="B"/>
    <m/>
  </r>
  <r>
    <n v="320"/>
    <s v="Female"/>
    <n v="4.4000000000000004"/>
    <n v="82.6"/>
    <n v="8.1"/>
    <s v="Bachelors"/>
    <s v="Yes"/>
    <s v="Yes"/>
    <s v="Yes"/>
    <n v="58.1"/>
    <n v="81"/>
    <x v="1"/>
    <s v="B"/>
    <m/>
  </r>
  <r>
    <n v="321"/>
    <s v="Female"/>
    <n v="1.6"/>
    <n v="91.7"/>
    <n v="7"/>
    <s v="High School"/>
    <s v="Yes"/>
    <s v="No"/>
    <s v="No"/>
    <n v="56.6"/>
    <n v="85"/>
    <x v="4"/>
    <s v="B"/>
    <m/>
  </r>
  <r>
    <n v="322"/>
    <s v="Male"/>
    <n v="6.1"/>
    <n v="100"/>
    <n v="6.8"/>
    <s v="High School"/>
    <s v="Yes"/>
    <s v="No"/>
    <s v="Yes"/>
    <n v="60.9"/>
    <n v="93"/>
    <x v="6"/>
    <s v="A"/>
    <m/>
  </r>
  <r>
    <n v="323"/>
    <s v="Female"/>
    <n v="0.5"/>
    <n v="83.7"/>
    <n v="6.4"/>
    <s v="Bachelors"/>
    <s v="Yes"/>
    <s v="Yes"/>
    <s v="No"/>
    <n v="70.400000000000006"/>
    <n v="74"/>
    <x v="3"/>
    <s v="C"/>
    <m/>
  </r>
  <r>
    <n v="324"/>
    <s v="Female"/>
    <n v="6"/>
    <n v="75.3"/>
    <n v="8.6999999999999993"/>
    <s v="High School"/>
    <s v="Yes"/>
    <s v="Yes"/>
    <s v="No"/>
    <n v="49.3"/>
    <n v="91"/>
    <x v="6"/>
    <s v="A"/>
    <m/>
  </r>
  <r>
    <n v="325"/>
    <s v="Female"/>
    <n v="3.8"/>
    <n v="96.1"/>
    <n v="5.8"/>
    <s v="High School"/>
    <s v="Yes"/>
    <s v="Yes"/>
    <s v="Yes"/>
    <n v="70.3"/>
    <n v="81"/>
    <x v="1"/>
    <s v="B"/>
    <m/>
  </r>
  <r>
    <n v="326"/>
    <s v="Female"/>
    <n v="3.4"/>
    <n v="83.8"/>
    <n v="8.6"/>
    <s v="High School"/>
    <s v="Yes"/>
    <s v="No"/>
    <s v="No"/>
    <n v="90.3"/>
    <n v="89"/>
    <x v="4"/>
    <s v="B"/>
    <m/>
  </r>
  <r>
    <n v="327"/>
    <s v="Male"/>
    <n v="2.7"/>
    <n v="63.3"/>
    <n v="7.4"/>
    <s v="Masters"/>
    <s v="No"/>
    <s v="Yes"/>
    <s v="No"/>
    <n v="71.8"/>
    <n v="64"/>
    <x v="7"/>
    <s v="D"/>
    <m/>
  </r>
  <r>
    <n v="328"/>
    <s v="Male"/>
    <n v="4.0999999999999996"/>
    <n v="93.5"/>
    <n v="5.0999999999999996"/>
    <s v="PhD"/>
    <s v="Yes"/>
    <s v="Yes"/>
    <s v="No"/>
    <n v="66.5"/>
    <n v="83"/>
    <x v="1"/>
    <s v="B"/>
    <m/>
  </r>
  <r>
    <n v="329"/>
    <s v="Female"/>
    <n v="3.4"/>
    <n v="79.599999999999994"/>
    <n v="7.2"/>
    <s v="High School"/>
    <s v="Yes"/>
    <s v="Yes"/>
    <s v="No"/>
    <n v="62.6"/>
    <n v="64"/>
    <x v="7"/>
    <s v="D"/>
    <m/>
  </r>
  <r>
    <n v="330"/>
    <s v="Female"/>
    <n v="5.2"/>
    <n v="84.1"/>
    <n v="4.3"/>
    <s v="PhD"/>
    <s v="Yes"/>
    <s v="No"/>
    <s v="No"/>
    <n v="80.8"/>
    <n v="97"/>
    <x v="0"/>
    <s v="A"/>
    <m/>
  </r>
  <r>
    <n v="331"/>
    <s v="Male"/>
    <n v="3.7"/>
    <n v="88.3"/>
    <n v="7.6"/>
    <s v="PhD"/>
    <s v="Yes"/>
    <s v="Yes"/>
    <s v="No"/>
    <n v="60.1"/>
    <n v="97"/>
    <x v="0"/>
    <s v="A"/>
    <m/>
  </r>
  <r>
    <n v="332"/>
    <s v="Male"/>
    <n v="3.7"/>
    <n v="86.9"/>
    <n v="7.9"/>
    <s v="Masters"/>
    <s v="No"/>
    <s v="Yes"/>
    <s v="No"/>
    <n v="92.2"/>
    <n v="93"/>
    <x v="6"/>
    <s v="A"/>
    <m/>
  </r>
  <r>
    <n v="333"/>
    <s v="Female"/>
    <n v="3"/>
    <n v="92.1"/>
    <n v="6.1"/>
    <s v="High School"/>
    <s v="Yes"/>
    <s v="Yes"/>
    <s v="Yes"/>
    <n v="93.2"/>
    <n v="83"/>
    <x v="1"/>
    <s v="B"/>
    <m/>
  </r>
  <r>
    <n v="334"/>
    <s v="Male"/>
    <n v="3.4"/>
    <n v="80.599999999999994"/>
    <n v="6.9"/>
    <s v="Masters"/>
    <s v="Yes"/>
    <s v="Yes"/>
    <s v="No"/>
    <n v="73.099999999999994"/>
    <n v="81"/>
    <x v="1"/>
    <s v="B"/>
    <m/>
  </r>
  <r>
    <n v="335"/>
    <s v="Female"/>
    <n v="4"/>
    <n v="90.1"/>
    <n v="9.1"/>
    <s v="None"/>
    <s v="Yes"/>
    <s v="No"/>
    <s v="No"/>
    <n v="69.900000000000006"/>
    <n v="89"/>
    <x v="4"/>
    <s v="B"/>
    <m/>
  </r>
  <r>
    <n v="336"/>
    <s v="Female"/>
    <n v="0.9"/>
    <n v="82.4"/>
    <n v="6.2"/>
    <s v="Masters"/>
    <s v="Yes"/>
    <s v="Yes"/>
    <s v="No"/>
    <n v="82.4"/>
    <n v="71"/>
    <x v="3"/>
    <s v="C"/>
    <m/>
  </r>
  <r>
    <n v="337"/>
    <s v="Male"/>
    <n v="1.5"/>
    <n v="92.4"/>
    <n v="5.5"/>
    <s v="High School"/>
    <s v="Yes"/>
    <s v="No"/>
    <s v="No"/>
    <n v="83.1"/>
    <n v="87"/>
    <x v="4"/>
    <s v="B"/>
    <m/>
  </r>
  <r>
    <n v="338"/>
    <s v="Male"/>
    <n v="4.5999999999999996"/>
    <n v="91.2"/>
    <n v="8.6"/>
    <s v="Bachelors"/>
    <s v="Yes"/>
    <s v="No"/>
    <s v="No"/>
    <n v="60.3"/>
    <n v="95"/>
    <x v="0"/>
    <s v="A"/>
    <m/>
  </r>
  <r>
    <n v="339"/>
    <s v="Female"/>
    <n v="3.8"/>
    <n v="75.599999999999994"/>
    <n v="9.1999999999999993"/>
    <s v="Bachelors"/>
    <s v="Yes"/>
    <s v="No"/>
    <s v="No"/>
    <n v="63.7"/>
    <n v="76"/>
    <x v="5"/>
    <s v="C"/>
    <m/>
  </r>
  <r>
    <n v="340"/>
    <s v="Female"/>
    <n v="3.2"/>
    <n v="95.9"/>
    <n v="6.8"/>
    <s v="Bachelors"/>
    <s v="Yes"/>
    <s v="No"/>
    <s v="No"/>
    <n v="54.1"/>
    <n v="85"/>
    <x v="4"/>
    <s v="B"/>
    <m/>
  </r>
  <r>
    <n v="341"/>
    <s v="Male"/>
    <n v="3.5"/>
    <n v="79.599999999999994"/>
    <n v="8"/>
    <s v="High School"/>
    <s v="Yes"/>
    <s v="Yes"/>
    <s v="No"/>
    <n v="74.900000000000006"/>
    <n v="96"/>
    <x v="0"/>
    <s v="A"/>
    <m/>
  </r>
  <r>
    <n v="342"/>
    <s v="Female"/>
    <n v="4"/>
    <n v="93.1"/>
    <n v="8.4"/>
    <s v="High School"/>
    <s v="Yes"/>
    <s v="Yes"/>
    <s v="No"/>
    <n v="78"/>
    <n v="100"/>
    <x v="0"/>
    <s v="A"/>
    <m/>
  </r>
  <r>
    <n v="343"/>
    <s v="Male"/>
    <n v="2.7"/>
    <n v="88.7"/>
    <n v="5.9"/>
    <s v="Masters"/>
    <s v="Yes"/>
    <s v="No"/>
    <s v="No"/>
    <n v="53.8"/>
    <n v="92"/>
    <x v="6"/>
    <s v="A"/>
    <m/>
  </r>
  <r>
    <n v="344"/>
    <s v="Female"/>
    <n v="2.2999999999999998"/>
    <n v="100"/>
    <n v="6.2"/>
    <s v="PhD"/>
    <s v="Yes"/>
    <s v="Yes"/>
    <s v="No"/>
    <n v="64.5"/>
    <n v="77"/>
    <x v="5"/>
    <s v="C"/>
    <m/>
  </r>
  <r>
    <n v="345"/>
    <s v="Male"/>
    <n v="3.8"/>
    <n v="82.8"/>
    <n v="8.3000000000000007"/>
    <s v="High School"/>
    <s v="Yes"/>
    <s v="No"/>
    <s v="No"/>
    <n v="53.8"/>
    <n v="98"/>
    <x v="0"/>
    <s v="A"/>
    <m/>
  </r>
  <r>
    <n v="346"/>
    <s v="Male"/>
    <n v="2"/>
    <n v="81.5"/>
    <n v="8.8000000000000007"/>
    <s v="None"/>
    <s v="Yes"/>
    <s v="Yes"/>
    <s v="Yes"/>
    <n v="59.2"/>
    <n v="71"/>
    <x v="3"/>
    <s v="C"/>
    <m/>
  </r>
  <r>
    <n v="347"/>
    <s v="Male"/>
    <n v="4.0999999999999996"/>
    <n v="84.8"/>
    <n v="7.5"/>
    <s v="High School"/>
    <s v="Yes"/>
    <s v="No"/>
    <s v="No"/>
    <n v="76.599999999999994"/>
    <n v="87"/>
    <x v="4"/>
    <s v="B"/>
    <m/>
  </r>
  <r>
    <n v="348"/>
    <s v="Female"/>
    <n v="0.9"/>
    <n v="82"/>
    <n v="5.7"/>
    <s v="Masters"/>
    <s v="Yes"/>
    <s v="No"/>
    <s v="No"/>
    <n v="61.2"/>
    <n v="69"/>
    <x v="2"/>
    <s v="D"/>
    <m/>
  </r>
  <r>
    <n v="349"/>
    <s v="Female"/>
    <n v="5"/>
    <n v="93"/>
    <n v="9.1999999999999993"/>
    <s v="Masters"/>
    <s v="Yes"/>
    <s v="Yes"/>
    <s v="Yes"/>
    <n v="66.400000000000006"/>
    <n v="90"/>
    <x v="6"/>
    <s v="A"/>
    <m/>
  </r>
  <r>
    <n v="350"/>
    <s v="Male"/>
    <n v="4.2"/>
    <n v="68.8"/>
    <n v="6.2"/>
    <s v="Masters"/>
    <s v="Yes"/>
    <s v="Yes"/>
    <s v="Yes"/>
    <n v="50.5"/>
    <n v="74"/>
    <x v="3"/>
    <s v="C"/>
    <m/>
  </r>
  <r>
    <n v="351"/>
    <s v="Female"/>
    <n v="3.9"/>
    <n v="74.5"/>
    <n v="6.4"/>
    <s v="None"/>
    <s v="Yes"/>
    <s v="No"/>
    <s v="No"/>
    <n v="72.2"/>
    <n v="75"/>
    <x v="5"/>
    <s v="C"/>
    <m/>
  </r>
  <r>
    <n v="352"/>
    <s v="Male"/>
    <n v="5"/>
    <n v="74.3"/>
    <n v="7.2"/>
    <s v="High School"/>
    <s v="Yes"/>
    <s v="No"/>
    <s v="No"/>
    <n v="69.5"/>
    <n v="87"/>
    <x v="4"/>
    <s v="B"/>
    <m/>
  </r>
  <r>
    <n v="353"/>
    <s v="Male"/>
    <n v="6"/>
    <n v="94.5"/>
    <n v="8.6999999999999993"/>
    <s v="PhD"/>
    <s v="Yes"/>
    <s v="Yes"/>
    <s v="No"/>
    <n v="61.3"/>
    <n v="100"/>
    <x v="0"/>
    <s v="A"/>
    <m/>
  </r>
  <r>
    <n v="354"/>
    <s v="Female"/>
    <n v="5"/>
    <n v="100"/>
    <n v="7.8"/>
    <s v="High School"/>
    <s v="Yes"/>
    <s v="No"/>
    <s v="Yes"/>
    <n v="67.7"/>
    <n v="94"/>
    <x v="6"/>
    <s v="A"/>
    <m/>
  </r>
  <r>
    <n v="355"/>
    <s v="Female"/>
    <n v="0.7"/>
    <n v="84"/>
    <n v="7.3"/>
    <s v="Masters"/>
    <s v="Yes"/>
    <s v="Yes"/>
    <s v="Yes"/>
    <n v="72.2"/>
    <n v="72"/>
    <x v="3"/>
    <s v="C"/>
    <m/>
  </r>
  <r>
    <n v="356"/>
    <s v="Male"/>
    <n v="1.6"/>
    <n v="83.3"/>
    <n v="7.4"/>
    <s v="Masters"/>
    <s v="Yes"/>
    <s v="Yes"/>
    <s v="No"/>
    <n v="60.2"/>
    <n v="76"/>
    <x v="5"/>
    <s v="C"/>
    <m/>
  </r>
  <r>
    <n v="357"/>
    <s v="Female"/>
    <n v="2.6"/>
    <n v="85.7"/>
    <n v="6.9"/>
    <s v="Masters"/>
    <s v="Yes"/>
    <s v="No"/>
    <s v="No"/>
    <n v="52.3"/>
    <n v="81"/>
    <x v="1"/>
    <s v="B"/>
    <m/>
  </r>
  <r>
    <n v="358"/>
    <s v="Female"/>
    <n v="3.5"/>
    <n v="96.6"/>
    <n v="7.5"/>
    <s v="High School"/>
    <s v="Yes"/>
    <s v="No"/>
    <s v="Yes"/>
    <n v="91.7"/>
    <n v="85"/>
    <x v="4"/>
    <s v="B"/>
    <m/>
  </r>
  <r>
    <n v="359"/>
    <s v="Male"/>
    <n v="4.3"/>
    <n v="75.7"/>
    <n v="3.8"/>
    <s v="PhD"/>
    <s v="Yes"/>
    <s v="No"/>
    <s v="No"/>
    <n v="62.4"/>
    <n v="82"/>
    <x v="1"/>
    <s v="B"/>
    <m/>
  </r>
  <r>
    <n v="360"/>
    <s v="Male"/>
    <n v="2.4"/>
    <n v="87.4"/>
    <n v="6.4"/>
    <s v="High School"/>
    <s v="Yes"/>
    <s v="No"/>
    <s v="No"/>
    <n v="68.8"/>
    <n v="78"/>
    <x v="5"/>
    <s v="C"/>
    <m/>
  </r>
  <r>
    <n v="361"/>
    <s v="Female"/>
    <n v="3.8"/>
    <n v="94.8"/>
    <n v="7.1"/>
    <s v="High School"/>
    <s v="Yes"/>
    <s v="Yes"/>
    <s v="Yes"/>
    <n v="82.1"/>
    <n v="94"/>
    <x v="6"/>
    <s v="A"/>
    <m/>
  </r>
  <r>
    <n v="362"/>
    <s v="Male"/>
    <n v="2.4"/>
    <n v="90"/>
    <n v="5.4"/>
    <s v="Masters"/>
    <s v="Yes"/>
    <s v="No"/>
    <s v="Yes"/>
    <n v="100"/>
    <n v="95"/>
    <x v="0"/>
    <s v="A"/>
    <m/>
  </r>
  <r>
    <n v="363"/>
    <s v="Male"/>
    <n v="2.6"/>
    <n v="86.9"/>
    <n v="7.3"/>
    <s v="Bachelors"/>
    <s v="Yes"/>
    <s v="Yes"/>
    <s v="Yes"/>
    <n v="55.1"/>
    <n v="67"/>
    <x v="2"/>
    <s v="D"/>
    <m/>
  </r>
  <r>
    <n v="364"/>
    <s v="Female"/>
    <n v="1.4"/>
    <n v="95"/>
    <n v="6.6"/>
    <s v="Masters"/>
    <s v="Yes"/>
    <s v="Yes"/>
    <s v="No"/>
    <n v="75.400000000000006"/>
    <n v="76"/>
    <x v="5"/>
    <s v="C"/>
    <m/>
  </r>
  <r>
    <n v="365"/>
    <s v="Male"/>
    <n v="2.1"/>
    <n v="58"/>
    <n v="8.9"/>
    <s v="Bachelors"/>
    <s v="Yes"/>
    <s v="Yes"/>
    <s v="No"/>
    <n v="61.5"/>
    <n v="57"/>
    <x v="8"/>
    <s v="F"/>
    <m/>
  </r>
  <r>
    <n v="366"/>
    <s v="Male"/>
    <n v="1.5"/>
    <n v="91.8"/>
    <n v="8.6999999999999993"/>
    <s v="High School"/>
    <s v="Yes"/>
    <s v="Yes"/>
    <s v="No"/>
    <n v="63.5"/>
    <n v="75"/>
    <x v="5"/>
    <s v="C"/>
    <m/>
  </r>
  <r>
    <n v="367"/>
    <s v="Female"/>
    <n v="2"/>
    <n v="78.5"/>
    <n v="6.2"/>
    <s v="Masters"/>
    <s v="Yes"/>
    <s v="Yes"/>
    <s v="No"/>
    <n v="61.4"/>
    <n v="81"/>
    <x v="1"/>
    <s v="B"/>
    <m/>
  </r>
  <r>
    <n v="368"/>
    <s v="Female"/>
    <n v="5.0999999999999996"/>
    <n v="66.7"/>
    <n v="6.6"/>
    <s v="Bachelors"/>
    <s v="No"/>
    <s v="Yes"/>
    <s v="No"/>
    <n v="56.5"/>
    <n v="75"/>
    <x v="5"/>
    <s v="C"/>
    <m/>
  </r>
  <r>
    <n v="369"/>
    <s v="Male"/>
    <n v="2.1"/>
    <n v="90.1"/>
    <n v="6.7"/>
    <s v="High School"/>
    <s v="No"/>
    <s v="Yes"/>
    <s v="No"/>
    <n v="69.5"/>
    <n v="68"/>
    <x v="2"/>
    <s v="D"/>
    <m/>
  </r>
  <r>
    <n v="370"/>
    <s v="Male"/>
    <n v="7.4"/>
    <n v="98.7"/>
    <n v="6.3"/>
    <s v="Masters"/>
    <s v="Yes"/>
    <s v="Yes"/>
    <s v="No"/>
    <n v="52.3"/>
    <n v="97"/>
    <x v="0"/>
    <s v="A"/>
    <m/>
  </r>
  <r>
    <n v="371"/>
    <s v="Female"/>
    <n v="4.2"/>
    <n v="83.6"/>
    <n v="7"/>
    <s v="Bachelors"/>
    <s v="Yes"/>
    <s v="No"/>
    <s v="Yes"/>
    <n v="81.400000000000006"/>
    <n v="80"/>
    <x v="1"/>
    <s v="B"/>
    <m/>
  </r>
  <r>
    <n v="372"/>
    <s v="Female"/>
    <n v="3.8"/>
    <n v="94.5"/>
    <n v="5.9"/>
    <s v="Bachelors"/>
    <s v="Yes"/>
    <s v="Yes"/>
    <s v="No"/>
    <n v="70.7"/>
    <n v="83"/>
    <x v="1"/>
    <s v="B"/>
    <m/>
  </r>
  <r>
    <n v="373"/>
    <s v="Female"/>
    <n v="2.2000000000000002"/>
    <n v="100"/>
    <n v="5.4"/>
    <s v="Bachelors"/>
    <s v="Yes"/>
    <s v="Yes"/>
    <s v="No"/>
    <n v="75.099999999999994"/>
    <n v="88"/>
    <x v="4"/>
    <s v="B"/>
    <m/>
  </r>
  <r>
    <n v="374"/>
    <s v="Female"/>
    <n v="4.5999999999999996"/>
    <n v="98.1"/>
    <n v="7.5"/>
    <s v="Masters"/>
    <s v="Yes"/>
    <s v="No"/>
    <s v="No"/>
    <n v="64.400000000000006"/>
    <n v="86"/>
    <x v="4"/>
    <s v="B"/>
    <m/>
  </r>
  <r>
    <n v="375"/>
    <s v="Male"/>
    <n v="2.6"/>
    <n v="100"/>
    <n v="7.6"/>
    <s v="Masters"/>
    <s v="Yes"/>
    <s v="No"/>
    <s v="No"/>
    <n v="65.599999999999994"/>
    <n v="92"/>
    <x v="6"/>
    <s v="A"/>
    <m/>
  </r>
  <r>
    <n v="376"/>
    <s v="Female"/>
    <n v="3.7"/>
    <n v="92.4"/>
    <n v="5.8"/>
    <s v="Masters"/>
    <s v="Yes"/>
    <s v="No"/>
    <s v="Yes"/>
    <n v="73.5"/>
    <n v="85"/>
    <x v="4"/>
    <s v="B"/>
    <m/>
  </r>
  <r>
    <n v="377"/>
    <s v="Female"/>
    <n v="7.3"/>
    <n v="85.8"/>
    <n v="7.9"/>
    <s v="High School"/>
    <s v="Yes"/>
    <s v="Yes"/>
    <s v="No"/>
    <n v="56"/>
    <n v="99"/>
    <x v="0"/>
    <s v="A"/>
    <m/>
  </r>
  <r>
    <n v="378"/>
    <s v="Male"/>
    <n v="3.4"/>
    <n v="69"/>
    <n v="6"/>
    <s v="Masters"/>
    <s v="Yes"/>
    <s v="No"/>
    <s v="No"/>
    <n v="65.7"/>
    <n v="74"/>
    <x v="3"/>
    <s v="C"/>
    <m/>
  </r>
  <r>
    <n v="379"/>
    <s v="Female"/>
    <n v="5.2"/>
    <n v="82.5"/>
    <n v="7.1"/>
    <s v="Masters"/>
    <s v="Yes"/>
    <s v="Yes"/>
    <s v="No"/>
    <n v="59.7"/>
    <n v="93"/>
    <x v="6"/>
    <s v="A"/>
    <m/>
  </r>
  <r>
    <n v="380"/>
    <s v="Male"/>
    <n v="2.4"/>
    <n v="76.599999999999994"/>
    <n v="7.8"/>
    <s v="Masters"/>
    <s v="Yes"/>
    <s v="Yes"/>
    <s v="No"/>
    <n v="59.3"/>
    <n v="79"/>
    <x v="5"/>
    <s v="C"/>
    <m/>
  </r>
  <r>
    <n v="381"/>
    <s v="Female"/>
    <n v="3.4"/>
    <n v="100"/>
    <n v="6.8"/>
    <s v="Bachelors"/>
    <s v="No"/>
    <s v="Yes"/>
    <s v="No"/>
    <n v="44.7"/>
    <n v="77"/>
    <x v="5"/>
    <s v="C"/>
    <m/>
  </r>
  <r>
    <n v="382"/>
    <s v="Female"/>
    <n v="6.2"/>
    <n v="83.2"/>
    <n v="7.3"/>
    <s v="PhD"/>
    <s v="Yes"/>
    <s v="No"/>
    <s v="No"/>
    <n v="86.1"/>
    <n v="100"/>
    <x v="0"/>
    <s v="A"/>
    <m/>
  </r>
  <r>
    <n v="383"/>
    <s v="Female"/>
    <n v="2.6"/>
    <n v="86.2"/>
    <n v="6.2"/>
    <s v="Masters"/>
    <s v="Yes"/>
    <s v="Yes"/>
    <s v="No"/>
    <n v="61.8"/>
    <n v="77"/>
    <x v="5"/>
    <s v="C"/>
    <m/>
  </r>
  <r>
    <n v="384"/>
    <s v="Male"/>
    <n v="6.2"/>
    <n v="90.5"/>
    <n v="6.6"/>
    <s v="High School"/>
    <s v="Yes"/>
    <s v="Yes"/>
    <s v="No"/>
    <n v="84"/>
    <n v="100"/>
    <x v="0"/>
    <s v="A"/>
    <m/>
  </r>
  <r>
    <n v="385"/>
    <s v="Male"/>
    <n v="4.5999999999999996"/>
    <n v="85.4"/>
    <n v="6.6"/>
    <s v="Bachelors"/>
    <s v="No"/>
    <s v="Yes"/>
    <s v="No"/>
    <n v="82.8"/>
    <n v="89"/>
    <x v="4"/>
    <s v="B"/>
    <m/>
  </r>
  <r>
    <n v="386"/>
    <s v="Female"/>
    <n v="2.7"/>
    <n v="100"/>
    <n v="5.9"/>
    <s v="PhD"/>
    <s v="Yes"/>
    <s v="No"/>
    <s v="No"/>
    <n v="54.6"/>
    <n v="79"/>
    <x v="5"/>
    <s v="C"/>
    <m/>
  </r>
  <r>
    <n v="387"/>
    <s v="Male"/>
    <n v="4.4000000000000004"/>
    <n v="78.8"/>
    <n v="6.6"/>
    <s v="High School"/>
    <s v="Yes"/>
    <s v="No"/>
    <s v="No"/>
    <n v="56.9"/>
    <n v="79"/>
    <x v="5"/>
    <s v="C"/>
    <m/>
  </r>
  <r>
    <n v="388"/>
    <s v="Male"/>
    <n v="5"/>
    <n v="86.9"/>
    <n v="4.9000000000000004"/>
    <s v="None"/>
    <s v="Yes"/>
    <s v="Yes"/>
    <s v="No"/>
    <n v="100"/>
    <n v="100"/>
    <x v="0"/>
    <s v="A"/>
    <m/>
  </r>
  <r>
    <n v="389"/>
    <s v="Male"/>
    <n v="4.4000000000000004"/>
    <n v="77.599999999999994"/>
    <n v="6.2"/>
    <s v="Masters"/>
    <s v="Yes"/>
    <s v="No"/>
    <s v="Yes"/>
    <n v="91"/>
    <n v="87"/>
    <x v="4"/>
    <s v="B"/>
    <m/>
  </r>
  <r>
    <n v="390"/>
    <s v="Male"/>
    <n v="1.1000000000000001"/>
    <n v="71.8"/>
    <n v="6.5"/>
    <s v="Bachelors"/>
    <s v="Yes"/>
    <s v="Yes"/>
    <s v="Yes"/>
    <n v="69.599999999999994"/>
    <n v="70"/>
    <x v="3"/>
    <s v="D"/>
    <m/>
  </r>
  <r>
    <n v="391"/>
    <s v="Male"/>
    <n v="2.4"/>
    <n v="78.900000000000006"/>
    <n v="6.5"/>
    <s v="High School"/>
    <s v="Yes"/>
    <s v="No"/>
    <s v="No"/>
    <n v="73.099999999999994"/>
    <n v="86"/>
    <x v="4"/>
    <s v="B"/>
    <m/>
  </r>
  <r>
    <n v="392"/>
    <s v="Male"/>
    <n v="3.1"/>
    <n v="84.6"/>
    <n v="6.5"/>
    <s v="High School"/>
    <s v="Yes"/>
    <s v="Yes"/>
    <s v="No"/>
    <n v="62.4"/>
    <n v="87"/>
    <x v="4"/>
    <s v="B"/>
    <m/>
  </r>
  <r>
    <n v="393"/>
    <s v="Female"/>
    <n v="3.4"/>
    <n v="80.7"/>
    <n v="6.7"/>
    <s v="None"/>
    <s v="No"/>
    <s v="No"/>
    <s v="No"/>
    <n v="75.2"/>
    <n v="72"/>
    <x v="3"/>
    <s v="C"/>
    <m/>
  </r>
  <r>
    <n v="394"/>
    <s v="Female"/>
    <n v="4.4000000000000004"/>
    <n v="78.099999999999994"/>
    <n v="7.4"/>
    <s v="High School"/>
    <s v="Yes"/>
    <s v="Yes"/>
    <s v="No"/>
    <n v="61.4"/>
    <n v="92"/>
    <x v="6"/>
    <s v="A"/>
    <m/>
  </r>
  <r>
    <n v="395"/>
    <s v="Male"/>
    <n v="3.8"/>
    <n v="70.900000000000006"/>
    <n v="7.8"/>
    <s v="Masters"/>
    <s v="Yes"/>
    <s v="No"/>
    <s v="Yes"/>
    <n v="45.6"/>
    <n v="68"/>
    <x v="2"/>
    <s v="D"/>
    <m/>
  </r>
  <r>
    <n v="396"/>
    <s v="Female"/>
    <n v="1.5"/>
    <n v="84.2"/>
    <n v="6"/>
    <s v="Bachelors"/>
    <s v="Yes"/>
    <s v="Yes"/>
    <s v="No"/>
    <n v="54.1"/>
    <n v="73"/>
    <x v="3"/>
    <s v="C"/>
    <m/>
  </r>
  <r>
    <n v="397"/>
    <s v="Female"/>
    <n v="4.0999999999999996"/>
    <n v="70"/>
    <n v="5.4"/>
    <s v="High School"/>
    <s v="Yes"/>
    <s v="Yes"/>
    <s v="No"/>
    <n v="70.3"/>
    <n v="76"/>
    <x v="5"/>
    <s v="C"/>
    <m/>
  </r>
  <r>
    <n v="398"/>
    <s v="Female"/>
    <n v="4.4000000000000004"/>
    <n v="92.6"/>
    <n v="5.5"/>
    <s v="High School"/>
    <s v="No"/>
    <s v="Yes"/>
    <s v="No"/>
    <n v="56.4"/>
    <n v="81"/>
    <x v="1"/>
    <s v="B"/>
    <m/>
  </r>
  <r>
    <n v="399"/>
    <s v="Female"/>
    <n v="4.3"/>
    <n v="85.8"/>
    <n v="6.2"/>
    <s v="Bachelors"/>
    <s v="Yes"/>
    <s v="Yes"/>
    <s v="No"/>
    <n v="69.2"/>
    <n v="90"/>
    <x v="6"/>
    <s v="A"/>
    <m/>
  </r>
  <r>
    <n v="400"/>
    <s v="Male"/>
    <n v="5.0999999999999996"/>
    <n v="70.400000000000006"/>
    <n v="6.4"/>
    <s v="None"/>
    <s v="Yes"/>
    <s v="Yes"/>
    <s v="No"/>
    <n v="57.1"/>
    <n v="73"/>
    <x v="3"/>
    <s v="C"/>
    <m/>
  </r>
  <r>
    <n v="401"/>
    <s v="Female"/>
    <n v="4.8"/>
    <n v="81.900000000000006"/>
    <n v="5.9"/>
    <s v="Bachelors"/>
    <s v="Yes"/>
    <s v="No"/>
    <s v="Yes"/>
    <n v="60.6"/>
    <n v="85"/>
    <x v="4"/>
    <s v="B"/>
    <m/>
  </r>
  <r>
    <n v="402"/>
    <s v="Female"/>
    <n v="4.2"/>
    <n v="77.5"/>
    <n v="5.2"/>
    <s v="Bachelors"/>
    <s v="Yes"/>
    <s v="Yes"/>
    <s v="No"/>
    <n v="80.2"/>
    <n v="96"/>
    <x v="0"/>
    <s v="A"/>
    <m/>
  </r>
  <r>
    <n v="403"/>
    <s v="Male"/>
    <n v="3.4"/>
    <n v="88.2"/>
    <n v="6.3"/>
    <s v="High School"/>
    <s v="Yes"/>
    <s v="No"/>
    <s v="Yes"/>
    <n v="73"/>
    <n v="82"/>
    <x v="1"/>
    <s v="B"/>
    <m/>
  </r>
  <r>
    <n v="404"/>
    <s v="Male"/>
    <n v="1"/>
    <n v="98.4"/>
    <n v="7"/>
    <s v="Bachelors"/>
    <s v="Yes"/>
    <s v="No"/>
    <s v="No"/>
    <n v="69.900000000000006"/>
    <n v="87"/>
    <x v="4"/>
    <s v="B"/>
    <m/>
  </r>
  <r>
    <n v="405"/>
    <s v="Female"/>
    <n v="4.0999999999999996"/>
    <n v="66.2"/>
    <n v="7.5"/>
    <s v="Bachelors"/>
    <s v="Yes"/>
    <s v="No"/>
    <s v="No"/>
    <n v="80.5"/>
    <n v="85"/>
    <x v="4"/>
    <s v="B"/>
    <m/>
  </r>
  <r>
    <n v="406"/>
    <s v="Female"/>
    <n v="3.8"/>
    <n v="86.2"/>
    <n v="6.1"/>
    <s v="PhD"/>
    <s v="Yes"/>
    <s v="No"/>
    <s v="No"/>
    <n v="75.8"/>
    <n v="93"/>
    <x v="6"/>
    <s v="A"/>
    <m/>
  </r>
  <r>
    <n v="407"/>
    <s v="Female"/>
    <n v="3.9"/>
    <n v="83.4"/>
    <n v="6.3"/>
    <s v="Bachelors"/>
    <s v="Yes"/>
    <s v="No"/>
    <s v="No"/>
    <n v="87.4"/>
    <n v="79"/>
    <x v="5"/>
    <s v="C"/>
    <m/>
  </r>
  <r>
    <n v="408"/>
    <s v="Female"/>
    <n v="1.6"/>
    <n v="91.7"/>
    <n v="5.7"/>
    <s v="Bachelors"/>
    <s v="Yes"/>
    <s v="Yes"/>
    <s v="No"/>
    <n v="64.5"/>
    <n v="90"/>
    <x v="6"/>
    <s v="A"/>
    <m/>
  </r>
  <r>
    <n v="409"/>
    <s v="Female"/>
    <n v="1.9"/>
    <n v="87.1"/>
    <n v="6.8"/>
    <s v="High School"/>
    <s v="No"/>
    <s v="No"/>
    <s v="No"/>
    <n v="64.8"/>
    <n v="80"/>
    <x v="1"/>
    <s v="B"/>
    <m/>
  </r>
  <r>
    <n v="410"/>
    <s v="Female"/>
    <n v="5.0999999999999996"/>
    <n v="77.5"/>
    <n v="5.8"/>
    <s v="None"/>
    <s v="Yes"/>
    <s v="Yes"/>
    <s v="Yes"/>
    <n v="54.4"/>
    <n v="78"/>
    <x v="5"/>
    <s v="C"/>
    <m/>
  </r>
  <r>
    <n v="411"/>
    <s v="Male"/>
    <n v="3.4"/>
    <n v="81.8"/>
    <n v="7.5"/>
    <s v="High School"/>
    <s v="Yes"/>
    <s v="No"/>
    <s v="No"/>
    <n v="64.900000000000006"/>
    <n v="70"/>
    <x v="3"/>
    <s v="C"/>
    <m/>
  </r>
  <r>
    <n v="412"/>
    <s v="Female"/>
    <n v="4.5"/>
    <n v="77"/>
    <n v="4.7"/>
    <s v="High School"/>
    <s v="Yes"/>
    <s v="No"/>
    <s v="No"/>
    <n v="81.599999999999994"/>
    <n v="90"/>
    <x v="6"/>
    <s v="A"/>
    <m/>
  </r>
  <r>
    <n v="413"/>
    <s v="Female"/>
    <n v="3.5"/>
    <n v="95.8"/>
    <n v="6.4"/>
    <s v="Masters"/>
    <s v="Yes"/>
    <s v="Yes"/>
    <s v="No"/>
    <n v="85.6"/>
    <n v="87"/>
    <x v="4"/>
    <s v="B"/>
    <m/>
  </r>
  <r>
    <n v="414"/>
    <s v="Male"/>
    <n v="3.5"/>
    <n v="85.2"/>
    <n v="7.2"/>
    <s v="Bachelors"/>
    <s v="Yes"/>
    <s v="Yes"/>
    <s v="No"/>
    <n v="81.5"/>
    <n v="94"/>
    <x v="6"/>
    <s v="A"/>
    <m/>
  </r>
  <r>
    <n v="415"/>
    <s v="Male"/>
    <n v="4.9000000000000004"/>
    <n v="100"/>
    <n v="7"/>
    <s v="Bachelors"/>
    <s v="No"/>
    <s v="Yes"/>
    <s v="Yes"/>
    <n v="48.5"/>
    <n v="83"/>
    <x v="1"/>
    <s v="B"/>
    <m/>
  </r>
  <r>
    <n v="416"/>
    <s v="Male"/>
    <n v="2.7"/>
    <n v="84.4"/>
    <n v="10"/>
    <s v="Bachelors"/>
    <s v="Yes"/>
    <s v="No"/>
    <s v="Yes"/>
    <n v="83"/>
    <n v="81"/>
    <x v="1"/>
    <s v="B"/>
    <m/>
  </r>
  <r>
    <n v="417"/>
    <s v="Male"/>
    <n v="3.6"/>
    <n v="77.900000000000006"/>
    <n v="7.2"/>
    <s v="Masters"/>
    <s v="No"/>
    <s v="No"/>
    <s v="No"/>
    <n v="47.9"/>
    <n v="76"/>
    <x v="5"/>
    <s v="C"/>
    <m/>
  </r>
  <r>
    <n v="418"/>
    <s v="Female"/>
    <n v="2.8"/>
    <n v="69.900000000000006"/>
    <n v="5.6"/>
    <s v="High School"/>
    <s v="Yes"/>
    <s v="Yes"/>
    <s v="No"/>
    <n v="80.8"/>
    <n v="85"/>
    <x v="4"/>
    <s v="B"/>
    <m/>
  </r>
  <r>
    <n v="419"/>
    <s v="Female"/>
    <n v="2.8"/>
    <n v="67"/>
    <n v="6.7"/>
    <s v="Masters"/>
    <s v="Yes"/>
    <s v="No"/>
    <s v="No"/>
    <n v="65.599999999999994"/>
    <n v="79"/>
    <x v="5"/>
    <s v="C"/>
    <m/>
  </r>
  <r>
    <n v="420"/>
    <s v="Female"/>
    <n v="3"/>
    <n v="69.2"/>
    <n v="4.7"/>
    <s v="Bachelors"/>
    <s v="No"/>
    <s v="No"/>
    <s v="No"/>
    <n v="78.400000000000006"/>
    <n v="73"/>
    <x v="3"/>
    <s v="C"/>
    <m/>
  </r>
  <r>
    <n v="421"/>
    <s v="Female"/>
    <n v="3.8"/>
    <n v="87.7"/>
    <n v="6.7"/>
    <s v="Bachelors"/>
    <s v="Yes"/>
    <s v="Yes"/>
    <s v="Yes"/>
    <n v="54"/>
    <n v="70"/>
    <x v="3"/>
    <s v="D"/>
    <m/>
  </r>
  <r>
    <n v="422"/>
    <s v="Female"/>
    <n v="2.8"/>
    <n v="90.1"/>
    <n v="5.8"/>
    <s v="Bachelors"/>
    <s v="No"/>
    <s v="Yes"/>
    <s v="No"/>
    <n v="84.1"/>
    <n v="90"/>
    <x v="6"/>
    <s v="B"/>
    <m/>
  </r>
  <r>
    <n v="423"/>
    <s v="Female"/>
    <n v="5.4"/>
    <n v="69.2"/>
    <n v="7.9"/>
    <s v="High School"/>
    <s v="Yes"/>
    <s v="No"/>
    <s v="Yes"/>
    <n v="52.4"/>
    <n v="77"/>
    <x v="5"/>
    <s v="C"/>
    <m/>
  </r>
  <r>
    <n v="424"/>
    <s v="Male"/>
    <n v="2.2000000000000002"/>
    <n v="94"/>
    <n v="6.1"/>
    <s v="Masters"/>
    <s v="No"/>
    <s v="No"/>
    <s v="No"/>
    <n v="62"/>
    <n v="65"/>
    <x v="2"/>
    <s v="D"/>
    <m/>
  </r>
  <r>
    <n v="425"/>
    <s v="Female"/>
    <n v="3.2"/>
    <n v="80.2"/>
    <n v="6.7"/>
    <s v="Bachelors"/>
    <s v="Yes"/>
    <s v="No"/>
    <s v="Yes"/>
    <n v="58"/>
    <n v="82"/>
    <x v="1"/>
    <s v="B"/>
    <m/>
  </r>
  <r>
    <n v="426"/>
    <s v="Male"/>
    <n v="2.8"/>
    <n v="86.5"/>
    <n v="6"/>
    <s v="High School"/>
    <s v="Yes"/>
    <s v="Yes"/>
    <s v="No"/>
    <n v="48.9"/>
    <n v="86"/>
    <x v="4"/>
    <s v="B"/>
    <m/>
  </r>
  <r>
    <n v="427"/>
    <s v="Male"/>
    <n v="5.7"/>
    <n v="100"/>
    <n v="8.9"/>
    <s v="Bachelors"/>
    <s v="Yes"/>
    <s v="Yes"/>
    <s v="Yes"/>
    <n v="71.099999999999994"/>
    <n v="100"/>
    <x v="0"/>
    <s v="A"/>
    <m/>
  </r>
  <r>
    <n v="428"/>
    <s v="Female"/>
    <n v="3.8"/>
    <n v="94"/>
    <n v="6.4"/>
    <s v="None"/>
    <s v="Yes"/>
    <s v="Yes"/>
    <s v="No"/>
    <n v="91.7"/>
    <n v="100"/>
    <x v="0"/>
    <s v="A"/>
    <m/>
  </r>
  <r>
    <n v="429"/>
    <s v="Male"/>
    <n v="5"/>
    <n v="82.3"/>
    <n v="9"/>
    <s v="Bachelors"/>
    <s v="Yes"/>
    <s v="Yes"/>
    <s v="No"/>
    <n v="100"/>
    <n v="100"/>
    <x v="0"/>
    <s v="A"/>
    <m/>
  </r>
  <r>
    <n v="430"/>
    <s v="Female"/>
    <n v="1.3"/>
    <n v="76.099999999999994"/>
    <n v="7.8"/>
    <s v="None"/>
    <s v="Yes"/>
    <s v="Yes"/>
    <s v="No"/>
    <n v="71.2"/>
    <n v="72"/>
    <x v="3"/>
    <s v="C"/>
    <m/>
  </r>
  <r>
    <n v="431"/>
    <s v="Male"/>
    <n v="3.9"/>
    <n v="63.5"/>
    <n v="7.4"/>
    <s v="High School"/>
    <s v="Yes"/>
    <s v="No"/>
    <s v="No"/>
    <n v="83.4"/>
    <n v="81"/>
    <x v="1"/>
    <s v="B"/>
    <m/>
  </r>
  <r>
    <n v="432"/>
    <s v="Female"/>
    <n v="4.8"/>
    <n v="77.8"/>
    <n v="7.2"/>
    <s v="High School"/>
    <s v="Yes"/>
    <s v="Yes"/>
    <s v="No"/>
    <n v="72.8"/>
    <n v="100"/>
    <x v="0"/>
    <s v="A"/>
    <m/>
  </r>
  <r>
    <n v="433"/>
    <s v="Male"/>
    <n v="3.6"/>
    <n v="82.9"/>
    <n v="7.3"/>
    <s v="High School"/>
    <s v="Yes"/>
    <s v="No"/>
    <s v="Yes"/>
    <n v="76"/>
    <n v="80"/>
    <x v="1"/>
    <s v="C"/>
    <m/>
  </r>
  <r>
    <n v="434"/>
    <s v="Female"/>
    <n v="5.0999999999999996"/>
    <n v="75.099999999999994"/>
    <n v="4.5"/>
    <s v="Bachelors"/>
    <s v="Yes"/>
    <s v="Yes"/>
    <s v="No"/>
    <n v="65.900000000000006"/>
    <n v="89"/>
    <x v="4"/>
    <s v="B"/>
    <m/>
  </r>
  <r>
    <n v="435"/>
    <s v="Female"/>
    <n v="2.7"/>
    <n v="83.7"/>
    <n v="6.5"/>
    <s v="High School"/>
    <s v="Yes"/>
    <s v="No"/>
    <s v="No"/>
    <n v="72.3"/>
    <n v="78"/>
    <x v="5"/>
    <s v="C"/>
    <m/>
  </r>
  <r>
    <n v="436"/>
    <s v="Female"/>
    <n v="5.6"/>
    <n v="85.8"/>
    <n v="7.8"/>
    <s v="High School"/>
    <s v="Yes"/>
    <s v="Yes"/>
    <s v="Yes"/>
    <n v="76.400000000000006"/>
    <n v="93"/>
    <x v="6"/>
    <s v="A"/>
    <m/>
  </r>
  <r>
    <n v="437"/>
    <s v="Female"/>
    <n v="6.9"/>
    <n v="82.8"/>
    <n v="6.7"/>
    <s v="None"/>
    <s v="Yes"/>
    <s v="Yes"/>
    <s v="Yes"/>
    <n v="63.1"/>
    <n v="100"/>
    <x v="0"/>
    <s v="A"/>
    <m/>
  </r>
  <r>
    <n v="438"/>
    <s v="Female"/>
    <n v="3"/>
    <n v="78.5"/>
    <n v="5.0999999999999996"/>
    <s v="Masters"/>
    <s v="Yes"/>
    <s v="Yes"/>
    <s v="No"/>
    <n v="69.099999999999994"/>
    <n v="77"/>
    <x v="5"/>
    <s v="C"/>
    <m/>
  </r>
  <r>
    <n v="439"/>
    <s v="Male"/>
    <n v="2.8"/>
    <n v="86.7"/>
    <n v="6.7"/>
    <s v="Masters"/>
    <s v="Yes"/>
    <s v="No"/>
    <s v="No"/>
    <n v="69.3"/>
    <n v="79"/>
    <x v="5"/>
    <s v="C"/>
    <m/>
  </r>
  <r>
    <n v="440"/>
    <s v="Male"/>
    <n v="5.7"/>
    <n v="89.4"/>
    <n v="8.8000000000000007"/>
    <s v="High School"/>
    <s v="No"/>
    <s v="No"/>
    <s v="No"/>
    <n v="79.900000000000006"/>
    <n v="100"/>
    <x v="0"/>
    <s v="A"/>
    <m/>
  </r>
  <r>
    <n v="441"/>
    <s v="Male"/>
    <n v="5.9"/>
    <n v="74.099999999999994"/>
    <n v="8.3000000000000007"/>
    <s v="High School"/>
    <s v="Yes"/>
    <s v="Yes"/>
    <s v="No"/>
    <n v="57.2"/>
    <n v="99"/>
    <x v="0"/>
    <s v="A"/>
    <m/>
  </r>
  <r>
    <n v="442"/>
    <s v="Female"/>
    <n v="2.7"/>
    <n v="99.1"/>
    <n v="6.7"/>
    <s v="High School"/>
    <s v="Yes"/>
    <s v="Yes"/>
    <s v="Yes"/>
    <n v="69.400000000000006"/>
    <n v="88"/>
    <x v="4"/>
    <s v="B"/>
    <m/>
  </r>
  <r>
    <n v="443"/>
    <s v="Male"/>
    <n v="2.9"/>
    <n v="84"/>
    <n v="7.9"/>
    <s v="Masters"/>
    <s v="Yes"/>
    <s v="No"/>
    <s v="Yes"/>
    <n v="92.9"/>
    <n v="85"/>
    <x v="4"/>
    <s v="B"/>
    <m/>
  </r>
  <r>
    <n v="444"/>
    <s v="Female"/>
    <n v="3.1"/>
    <n v="85.2"/>
    <n v="6.4"/>
    <s v="None"/>
    <s v="Yes"/>
    <s v="Yes"/>
    <s v="No"/>
    <n v="84"/>
    <n v="86"/>
    <x v="4"/>
    <s v="B"/>
    <m/>
  </r>
  <r>
    <n v="445"/>
    <s v="Female"/>
    <n v="1.5"/>
    <n v="92.1"/>
    <n v="4.8"/>
    <s v="Bachelors"/>
    <s v="Yes"/>
    <s v="Yes"/>
    <s v="Yes"/>
    <n v="86.2"/>
    <n v="81"/>
    <x v="1"/>
    <s v="B"/>
    <m/>
  </r>
  <r>
    <n v="446"/>
    <s v="Male"/>
    <n v="2.1"/>
    <n v="87.3"/>
    <n v="5.7"/>
    <s v="High School"/>
    <s v="Yes"/>
    <s v="No"/>
    <s v="No"/>
    <n v="70.3"/>
    <n v="80"/>
    <x v="1"/>
    <s v="C"/>
    <m/>
  </r>
  <r>
    <n v="447"/>
    <s v="Male"/>
    <n v="2"/>
    <n v="94.5"/>
    <n v="8.6999999999999993"/>
    <s v="Bachelors"/>
    <s v="Yes"/>
    <s v="No"/>
    <s v="No"/>
    <n v="73.900000000000006"/>
    <n v="79"/>
    <x v="5"/>
    <s v="C"/>
    <m/>
  </r>
  <r>
    <n v="448"/>
    <s v="Female"/>
    <n v="2.2999999999999998"/>
    <n v="87.9"/>
    <n v="6.5"/>
    <s v="High School"/>
    <s v="Yes"/>
    <s v="Yes"/>
    <s v="Yes"/>
    <n v="82"/>
    <n v="87"/>
    <x v="4"/>
    <s v="B"/>
    <m/>
  </r>
  <r>
    <n v="449"/>
    <s v="Male"/>
    <n v="3.4"/>
    <n v="78.900000000000006"/>
    <n v="6.5"/>
    <s v="Bachelors"/>
    <s v="Yes"/>
    <s v="Yes"/>
    <s v="No"/>
    <n v="88.7"/>
    <n v="91"/>
    <x v="6"/>
    <s v="A"/>
    <m/>
  </r>
  <r>
    <n v="450"/>
    <s v="Female"/>
    <n v="3.9"/>
    <n v="88.6"/>
    <n v="6.4"/>
    <s v="Bachelors"/>
    <s v="Yes"/>
    <s v="No"/>
    <s v="Yes"/>
    <n v="46.6"/>
    <n v="65"/>
    <x v="2"/>
    <s v="D"/>
    <m/>
  </r>
  <r>
    <n v="451"/>
    <s v="Female"/>
    <n v="5.8"/>
    <n v="73.599999999999994"/>
    <n v="9.1"/>
    <s v="Masters"/>
    <s v="No"/>
    <s v="Yes"/>
    <s v="No"/>
    <n v="54.2"/>
    <n v="78"/>
    <x v="5"/>
    <s v="C"/>
    <m/>
  </r>
  <r>
    <n v="452"/>
    <s v="Female"/>
    <n v="2"/>
    <n v="86.1"/>
    <n v="8.8000000000000007"/>
    <s v="High School"/>
    <s v="Yes"/>
    <s v="Yes"/>
    <s v="Yes"/>
    <n v="85.7"/>
    <n v="82"/>
    <x v="1"/>
    <s v="B"/>
    <m/>
  </r>
  <r>
    <n v="453"/>
    <s v="Female"/>
    <n v="5"/>
    <n v="84.7"/>
    <n v="9.5"/>
    <s v="High School"/>
    <s v="Yes"/>
    <s v="No"/>
    <s v="No"/>
    <n v="66.7"/>
    <n v="93"/>
    <x v="6"/>
    <s v="A"/>
    <m/>
  </r>
  <r>
    <n v="454"/>
    <s v="Female"/>
    <n v="3.2"/>
    <n v="82.9"/>
    <n v="6.6"/>
    <s v="None"/>
    <s v="No"/>
    <s v="No"/>
    <s v="No"/>
    <n v="61.9"/>
    <n v="85"/>
    <x v="4"/>
    <s v="B"/>
    <m/>
  </r>
  <r>
    <n v="455"/>
    <s v="Male"/>
    <n v="3.4"/>
    <n v="83.7"/>
    <n v="7.2"/>
    <s v="High School"/>
    <s v="Yes"/>
    <s v="Yes"/>
    <s v="No"/>
    <n v="55"/>
    <n v="81"/>
    <x v="1"/>
    <s v="B"/>
    <m/>
  </r>
  <r>
    <n v="456"/>
    <s v="Male"/>
    <n v="4.5"/>
    <n v="66.2"/>
    <n v="5"/>
    <s v="High School"/>
    <s v="Yes"/>
    <s v="No"/>
    <s v="No"/>
    <n v="63.3"/>
    <n v="73"/>
    <x v="3"/>
    <s v="C"/>
    <m/>
  </r>
  <r>
    <n v="457"/>
    <s v="Female"/>
    <n v="1.8"/>
    <n v="79.5"/>
    <n v="8.6"/>
    <s v="High School"/>
    <s v="Yes"/>
    <s v="No"/>
    <s v="Yes"/>
    <n v="53.2"/>
    <n v="69"/>
    <x v="2"/>
    <s v="D"/>
    <m/>
  </r>
  <r>
    <n v="458"/>
    <s v="Female"/>
    <n v="4.0999999999999996"/>
    <n v="85.9"/>
    <n v="5.4"/>
    <s v="High School"/>
    <s v="No"/>
    <s v="Yes"/>
    <s v="No"/>
    <n v="95.1"/>
    <n v="90"/>
    <x v="6"/>
    <s v="B"/>
    <m/>
  </r>
  <r>
    <n v="459"/>
    <s v="Male"/>
    <n v="3.7"/>
    <n v="86.6"/>
    <n v="7.1"/>
    <s v="Bachelors"/>
    <s v="No"/>
    <s v="No"/>
    <s v="No"/>
    <n v="69.7"/>
    <n v="83"/>
    <x v="1"/>
    <s v="B"/>
    <m/>
  </r>
  <r>
    <n v="460"/>
    <s v="Male"/>
    <n v="4.2"/>
    <n v="74.7"/>
    <n v="5.5"/>
    <s v="Masters"/>
    <s v="Yes"/>
    <s v="Yes"/>
    <s v="No"/>
    <n v="69.3"/>
    <n v="87"/>
    <x v="4"/>
    <s v="B"/>
    <m/>
  </r>
  <r>
    <n v="461"/>
    <s v="Female"/>
    <n v="3.9"/>
    <n v="97.7"/>
    <n v="6.1"/>
    <s v="High School"/>
    <s v="Yes"/>
    <s v="Yes"/>
    <s v="Yes"/>
    <n v="77.099999999999994"/>
    <n v="98"/>
    <x v="0"/>
    <s v="A"/>
    <m/>
  </r>
  <r>
    <n v="462"/>
    <s v="Male"/>
    <n v="7.2"/>
    <n v="76.3"/>
    <n v="5.8"/>
    <s v="Bachelors"/>
    <s v="Yes"/>
    <s v="No"/>
    <s v="No"/>
    <n v="81.5"/>
    <n v="100"/>
    <x v="0"/>
    <s v="A"/>
    <m/>
  </r>
  <r>
    <n v="463"/>
    <s v="Female"/>
    <n v="2.5"/>
    <n v="94.7"/>
    <n v="6.1"/>
    <s v="Masters"/>
    <s v="Yes"/>
    <s v="Yes"/>
    <s v="Yes"/>
    <n v="81.400000000000006"/>
    <n v="95"/>
    <x v="0"/>
    <s v="A"/>
    <m/>
  </r>
  <r>
    <n v="464"/>
    <s v="Male"/>
    <n v="2.7"/>
    <n v="89.3"/>
    <n v="6.2"/>
    <s v="Bachelors"/>
    <s v="Yes"/>
    <s v="Yes"/>
    <s v="No"/>
    <n v="82.9"/>
    <n v="94"/>
    <x v="6"/>
    <s v="A"/>
    <m/>
  </r>
  <r>
    <n v="465"/>
    <s v="Female"/>
    <n v="2.6"/>
    <n v="78.5"/>
    <n v="6.1"/>
    <s v="PhD"/>
    <s v="No"/>
    <s v="Yes"/>
    <s v="Yes"/>
    <n v="62.4"/>
    <n v="63"/>
    <x v="7"/>
    <s v="D"/>
    <m/>
  </r>
  <r>
    <n v="466"/>
    <s v="Male"/>
    <n v="2.7"/>
    <n v="100"/>
    <n v="7.8"/>
    <s v="PhD"/>
    <s v="Yes"/>
    <s v="Yes"/>
    <s v="No"/>
    <n v="66.400000000000006"/>
    <n v="100"/>
    <x v="0"/>
    <s v="A"/>
    <m/>
  </r>
  <r>
    <n v="467"/>
    <s v="Female"/>
    <n v="2.5"/>
    <n v="73.099999999999994"/>
    <n v="5.5"/>
    <s v="High School"/>
    <s v="Yes"/>
    <s v="No"/>
    <s v="Yes"/>
    <n v="79.2"/>
    <n v="77"/>
    <x v="5"/>
    <s v="C"/>
    <m/>
  </r>
  <r>
    <n v="468"/>
    <s v="Male"/>
    <n v="5.3"/>
    <n v="94.2"/>
    <n v="7.1"/>
    <s v="Masters"/>
    <s v="Yes"/>
    <s v="No"/>
    <s v="No"/>
    <n v="63.7"/>
    <n v="89"/>
    <x v="4"/>
    <s v="B"/>
    <m/>
  </r>
  <r>
    <n v="469"/>
    <s v="Male"/>
    <n v="5.6"/>
    <n v="95"/>
    <n v="8.3000000000000007"/>
    <s v="Bachelors"/>
    <s v="Yes"/>
    <s v="No"/>
    <s v="No"/>
    <n v="69.900000000000006"/>
    <n v="100"/>
    <x v="0"/>
    <s v="A"/>
    <m/>
  </r>
  <r>
    <n v="470"/>
    <s v="Female"/>
    <n v="2.6"/>
    <n v="78.3"/>
    <n v="6.2"/>
    <s v="None"/>
    <s v="Yes"/>
    <s v="Yes"/>
    <s v="Yes"/>
    <n v="74.8"/>
    <n v="90"/>
    <x v="6"/>
    <s v="B"/>
    <m/>
  </r>
  <r>
    <n v="471"/>
    <s v="Male"/>
    <n v="2.2999999999999998"/>
    <n v="98.9"/>
    <n v="5.9"/>
    <s v="Bachelors"/>
    <s v="Yes"/>
    <s v="Yes"/>
    <s v="No"/>
    <n v="79.400000000000006"/>
    <n v="88"/>
    <x v="4"/>
    <s v="B"/>
    <m/>
  </r>
  <r>
    <n v="472"/>
    <s v="Female"/>
    <n v="4.2"/>
    <n v="82.5"/>
    <n v="6.5"/>
    <s v="None"/>
    <s v="No"/>
    <s v="Yes"/>
    <s v="Yes"/>
    <n v="48.7"/>
    <n v="68"/>
    <x v="2"/>
    <s v="D"/>
    <m/>
  </r>
  <r>
    <n v="473"/>
    <s v="Male"/>
    <n v="2.7"/>
    <n v="87.9"/>
    <n v="8.1999999999999993"/>
    <s v="Masters"/>
    <s v="No"/>
    <s v="Yes"/>
    <s v="No"/>
    <n v="78.599999999999994"/>
    <n v="82"/>
    <x v="1"/>
    <s v="B"/>
    <m/>
  </r>
  <r>
    <n v="474"/>
    <s v="Female"/>
    <n v="4.4000000000000004"/>
    <n v="87.6"/>
    <n v="7"/>
    <s v="High School"/>
    <s v="Yes"/>
    <s v="Yes"/>
    <s v="No"/>
    <n v="67.2"/>
    <n v="94"/>
    <x v="6"/>
    <s v="A"/>
    <m/>
  </r>
  <r>
    <n v="475"/>
    <s v="Male"/>
    <n v="3.8"/>
    <n v="83.7"/>
    <n v="6.2"/>
    <s v="Bachelors"/>
    <s v="No"/>
    <s v="No"/>
    <s v="No"/>
    <n v="78.5"/>
    <n v="91"/>
    <x v="6"/>
    <s v="A"/>
    <m/>
  </r>
  <r>
    <n v="476"/>
    <s v="Female"/>
    <n v="1.2"/>
    <n v="93.1"/>
    <n v="7.4"/>
    <s v="None"/>
    <s v="Yes"/>
    <s v="No"/>
    <s v="No"/>
    <n v="79.3"/>
    <n v="85"/>
    <x v="4"/>
    <s v="B"/>
    <m/>
  </r>
  <r>
    <n v="477"/>
    <s v="Male"/>
    <n v="5.8"/>
    <n v="92.9"/>
    <n v="5.5"/>
    <s v="PhD"/>
    <s v="Yes"/>
    <s v="No"/>
    <s v="Yes"/>
    <n v="89.3"/>
    <n v="100"/>
    <x v="0"/>
    <s v="A"/>
    <m/>
  </r>
  <r>
    <n v="478"/>
    <s v="Female"/>
    <n v="6.2"/>
    <n v="67.5"/>
    <n v="7.6"/>
    <s v="High School"/>
    <s v="Yes"/>
    <s v="Yes"/>
    <s v="No"/>
    <n v="86.2"/>
    <n v="100"/>
    <x v="0"/>
    <s v="A"/>
    <m/>
  </r>
  <r>
    <n v="479"/>
    <s v="Male"/>
    <n v="2.6"/>
    <n v="98"/>
    <n v="7.3"/>
    <s v="Masters"/>
    <s v="Yes"/>
    <s v="No"/>
    <s v="Yes"/>
    <n v="86.2"/>
    <n v="87"/>
    <x v="4"/>
    <s v="B"/>
    <m/>
  </r>
  <r>
    <n v="480"/>
    <s v="Female"/>
    <n v="2.9"/>
    <n v="68.400000000000006"/>
    <n v="6.4"/>
    <s v="High School"/>
    <s v="No"/>
    <s v="Yes"/>
    <s v="No"/>
    <n v="87.3"/>
    <n v="85"/>
    <x v="4"/>
    <s v="B"/>
    <m/>
  </r>
  <r>
    <n v="481"/>
    <s v="Female"/>
    <n v="3.9"/>
    <n v="95.3"/>
    <n v="5.8"/>
    <s v="High School"/>
    <s v="Yes"/>
    <s v="Yes"/>
    <s v="No"/>
    <n v="73.5"/>
    <n v="90"/>
    <x v="6"/>
    <s v="B"/>
    <m/>
  </r>
  <r>
    <n v="482"/>
    <s v="Female"/>
    <n v="4"/>
    <n v="96.3"/>
    <n v="5.7"/>
    <s v="Bachelors"/>
    <s v="Yes"/>
    <s v="No"/>
    <s v="No"/>
    <n v="70.400000000000006"/>
    <n v="92"/>
    <x v="6"/>
    <s v="A"/>
    <m/>
  </r>
  <r>
    <n v="483"/>
    <s v="Male"/>
    <n v="4.5"/>
    <n v="74.099999999999994"/>
    <n v="7.4"/>
    <s v="High School"/>
    <s v="Yes"/>
    <s v="No"/>
    <s v="Yes"/>
    <n v="80.5"/>
    <n v="87"/>
    <x v="4"/>
    <s v="B"/>
    <m/>
  </r>
  <r>
    <n v="484"/>
    <s v="Female"/>
    <n v="6.5"/>
    <n v="80.900000000000006"/>
    <n v="8.3000000000000007"/>
    <s v="Masters"/>
    <s v="Yes"/>
    <s v="Yes"/>
    <s v="No"/>
    <n v="78.8"/>
    <n v="100"/>
    <x v="0"/>
    <s v="A"/>
    <m/>
  </r>
  <r>
    <n v="485"/>
    <s v="Male"/>
    <n v="3.2"/>
    <n v="73.900000000000006"/>
    <n v="6"/>
    <s v="High School"/>
    <s v="Yes"/>
    <s v="Yes"/>
    <s v="No"/>
    <n v="66.3"/>
    <n v="76"/>
    <x v="5"/>
    <s v="C"/>
    <m/>
  </r>
  <r>
    <n v="486"/>
    <s v="Female"/>
    <n v="2.2999999999999998"/>
    <n v="82.9"/>
    <n v="7.4"/>
    <s v="Masters"/>
    <s v="Yes"/>
    <s v="Yes"/>
    <s v="Yes"/>
    <n v="74.900000000000006"/>
    <n v="87"/>
    <x v="4"/>
    <s v="B"/>
    <m/>
  </r>
  <r>
    <n v="487"/>
    <s v="Male"/>
    <n v="1.4"/>
    <n v="81.900000000000006"/>
    <n v="4.3"/>
    <s v="High School"/>
    <s v="Yes"/>
    <s v="No"/>
    <s v="No"/>
    <n v="69.599999999999994"/>
    <n v="67"/>
    <x v="2"/>
    <s v="D"/>
    <m/>
  </r>
  <r>
    <n v="488"/>
    <s v="Female"/>
    <n v="2.4"/>
    <n v="92.8"/>
    <n v="6.1"/>
    <s v="High School"/>
    <s v="Yes"/>
    <s v="Yes"/>
    <s v="No"/>
    <n v="59.8"/>
    <n v="74"/>
    <x v="3"/>
    <s v="C"/>
    <m/>
  </r>
  <r>
    <n v="489"/>
    <s v="Male"/>
    <n v="3.5"/>
    <n v="98.1"/>
    <n v="6.8"/>
    <s v="High School"/>
    <s v="Yes"/>
    <s v="No"/>
    <s v="No"/>
    <n v="85.5"/>
    <n v="100"/>
    <x v="0"/>
    <s v="A"/>
    <m/>
  </r>
  <r>
    <n v="490"/>
    <s v="Male"/>
    <n v="6.2"/>
    <n v="99"/>
    <n v="5.7"/>
    <s v="High School"/>
    <s v="Yes"/>
    <s v="Yes"/>
    <s v="No"/>
    <n v="70.7"/>
    <n v="100"/>
    <x v="0"/>
    <s v="A"/>
    <m/>
  </r>
  <r>
    <n v="491"/>
    <s v="Female"/>
    <n v="2.7"/>
    <n v="79.400000000000006"/>
    <n v="5.7"/>
    <s v="High School"/>
    <s v="Yes"/>
    <s v="Yes"/>
    <s v="No"/>
    <n v="94.6"/>
    <n v="74"/>
    <x v="3"/>
    <s v="C"/>
    <m/>
  </r>
  <r>
    <n v="492"/>
    <s v="Male"/>
    <n v="3.8"/>
    <n v="82.9"/>
    <n v="6"/>
    <s v="High School"/>
    <s v="Yes"/>
    <s v="Yes"/>
    <s v="Yes"/>
    <n v="50.5"/>
    <n v="71"/>
    <x v="3"/>
    <s v="C"/>
    <m/>
  </r>
  <r>
    <n v="493"/>
    <s v="Male"/>
    <n v="3.5"/>
    <n v="68.2"/>
    <n v="7.2"/>
    <s v="Bachelors"/>
    <s v="Yes"/>
    <s v="Yes"/>
    <s v="No"/>
    <n v="63.3"/>
    <n v="67"/>
    <x v="2"/>
    <s v="D"/>
    <m/>
  </r>
  <r>
    <n v="494"/>
    <s v="Female"/>
    <n v="5.3"/>
    <n v="76.900000000000006"/>
    <n v="6.6"/>
    <s v="High School"/>
    <s v="Yes"/>
    <s v="Yes"/>
    <s v="Yes"/>
    <n v="70.400000000000006"/>
    <n v="82"/>
    <x v="1"/>
    <s v="B"/>
    <m/>
  </r>
  <r>
    <n v="495"/>
    <s v="Male"/>
    <n v="7.3"/>
    <n v="94.6"/>
    <n v="4.0999999999999996"/>
    <s v="Bachelors"/>
    <s v="Yes"/>
    <s v="No"/>
    <s v="No"/>
    <n v="83.6"/>
    <n v="89"/>
    <x v="4"/>
    <s v="B"/>
    <m/>
  </r>
  <r>
    <n v="496"/>
    <s v="Male"/>
    <n v="2.7"/>
    <n v="100"/>
    <n v="4.3"/>
    <s v="Bachelors"/>
    <s v="No"/>
    <s v="No"/>
    <s v="No"/>
    <n v="74.8"/>
    <n v="79"/>
    <x v="5"/>
    <s v="C"/>
    <m/>
  </r>
  <r>
    <n v="497"/>
    <s v="Male"/>
    <n v="2.8"/>
    <n v="72.7"/>
    <n v="6.1"/>
    <s v="PhD"/>
    <s v="Yes"/>
    <s v="No"/>
    <s v="No"/>
    <n v="73.7"/>
    <n v="71"/>
    <x v="3"/>
    <s v="C"/>
    <m/>
  </r>
  <r>
    <n v="498"/>
    <s v="Female"/>
    <n v="5.0999999999999996"/>
    <n v="79.099999999999994"/>
    <n v="7.3"/>
    <s v="None"/>
    <s v="Yes"/>
    <s v="No"/>
    <s v="No"/>
    <n v="56.5"/>
    <n v="85"/>
    <x v="4"/>
    <s v="B"/>
    <m/>
  </r>
  <r>
    <n v="499"/>
    <s v="Male"/>
    <n v="4.5"/>
    <n v="84.7"/>
    <n v="3.5"/>
    <s v="Bachelors"/>
    <s v="No"/>
    <s v="No"/>
    <s v="Yes"/>
    <n v="56.1"/>
    <n v="62"/>
    <x v="7"/>
    <s v="D"/>
    <m/>
  </r>
  <r>
    <n v="500"/>
    <s v="Female"/>
    <n v="6.3"/>
    <n v="87.8"/>
    <n v="6.2"/>
    <s v="High School"/>
    <s v="Yes"/>
    <s v="No"/>
    <s v="No"/>
    <n v="73.900000000000006"/>
    <n v="100"/>
    <x v="0"/>
    <s v="A"/>
    <m/>
  </r>
  <r>
    <n v="501"/>
    <s v="Male"/>
    <n v="4.4000000000000004"/>
    <n v="76.900000000000006"/>
    <n v="6.2"/>
    <s v="High School"/>
    <s v="Yes"/>
    <s v="No"/>
    <s v="No"/>
    <n v="53.6"/>
    <n v="76"/>
    <x v="5"/>
    <s v="C"/>
    <m/>
  </r>
  <r>
    <n v="502"/>
    <s v="Male"/>
    <n v="3"/>
    <n v="89.2"/>
    <n v="8.5"/>
    <s v="None"/>
    <s v="Yes"/>
    <s v="Yes"/>
    <s v="Yes"/>
    <n v="63.6"/>
    <n v="90"/>
    <x v="6"/>
    <s v="A"/>
    <m/>
  </r>
  <r>
    <n v="503"/>
    <s v="Male"/>
    <n v="4.4000000000000004"/>
    <n v="80.3"/>
    <n v="6.3"/>
    <s v="High School"/>
    <s v="No"/>
    <s v="Yes"/>
    <s v="No"/>
    <n v="76"/>
    <n v="93"/>
    <x v="6"/>
    <s v="A"/>
    <m/>
  </r>
  <r>
    <n v="504"/>
    <s v="Female"/>
    <n v="5.2"/>
    <n v="84.9"/>
    <n v="7.3"/>
    <s v="High School"/>
    <s v="No"/>
    <s v="Yes"/>
    <s v="No"/>
    <n v="58.2"/>
    <n v="89"/>
    <x v="4"/>
    <s v="B"/>
    <m/>
  </r>
  <r>
    <n v="505"/>
    <s v="Male"/>
    <n v="4.7"/>
    <n v="90.5"/>
    <n v="7"/>
    <s v="High School"/>
    <s v="Yes"/>
    <s v="Yes"/>
    <s v="No"/>
    <n v="89.3"/>
    <n v="99"/>
    <x v="0"/>
    <s v="A"/>
    <m/>
  </r>
  <r>
    <n v="506"/>
    <s v="Male"/>
    <n v="4.3"/>
    <n v="85.1"/>
    <n v="4.2"/>
    <s v="High School"/>
    <s v="Yes"/>
    <s v="Yes"/>
    <s v="Yes"/>
    <n v="84.7"/>
    <n v="100"/>
    <x v="0"/>
    <s v="A"/>
    <m/>
  </r>
  <r>
    <n v="507"/>
    <s v="Female"/>
    <n v="5.0999999999999996"/>
    <n v="80.599999999999994"/>
    <n v="7.7"/>
    <s v="High School"/>
    <s v="Yes"/>
    <s v="No"/>
    <s v="No"/>
    <n v="51.1"/>
    <n v="75"/>
    <x v="5"/>
    <s v="C"/>
    <m/>
  </r>
  <r>
    <n v="508"/>
    <s v="Male"/>
    <n v="5.3"/>
    <n v="83.9"/>
    <n v="7.1"/>
    <s v="Masters"/>
    <s v="No"/>
    <s v="Yes"/>
    <s v="Yes"/>
    <n v="58.8"/>
    <n v="73"/>
    <x v="3"/>
    <s v="C"/>
    <m/>
  </r>
  <r>
    <n v="509"/>
    <s v="Female"/>
    <n v="5.6"/>
    <n v="84.1"/>
    <n v="7.4"/>
    <s v="High School"/>
    <s v="No"/>
    <s v="Yes"/>
    <s v="Yes"/>
    <n v="42.6"/>
    <n v="76"/>
    <x v="5"/>
    <s v="C"/>
    <m/>
  </r>
  <r>
    <n v="510"/>
    <s v="Female"/>
    <n v="4.5"/>
    <n v="81.3"/>
    <n v="10"/>
    <s v="Bachelors"/>
    <s v="Yes"/>
    <s v="Yes"/>
    <s v="Yes"/>
    <n v="60.6"/>
    <n v="100"/>
    <x v="0"/>
    <s v="A"/>
    <m/>
  </r>
  <r>
    <n v="511"/>
    <s v="Male"/>
    <n v="3.2"/>
    <n v="82.4"/>
    <n v="4.3"/>
    <s v="High School"/>
    <s v="Yes"/>
    <s v="Yes"/>
    <s v="Yes"/>
    <n v="79.2"/>
    <n v="80"/>
    <x v="1"/>
    <s v="C"/>
    <m/>
  </r>
  <r>
    <n v="512"/>
    <s v="Female"/>
    <n v="3.7"/>
    <n v="100"/>
    <n v="8.9"/>
    <s v="High School"/>
    <s v="Yes"/>
    <s v="Yes"/>
    <s v="Yes"/>
    <n v="65"/>
    <n v="88"/>
    <x v="4"/>
    <s v="B"/>
    <m/>
  </r>
  <r>
    <n v="513"/>
    <s v="Male"/>
    <n v="5.3"/>
    <n v="90.6"/>
    <n v="6.5"/>
    <s v="None"/>
    <s v="Yes"/>
    <s v="Yes"/>
    <s v="No"/>
    <n v="75.5"/>
    <n v="89"/>
    <x v="4"/>
    <s v="B"/>
    <m/>
  </r>
  <r>
    <n v="514"/>
    <s v="Female"/>
    <n v="2.2999999999999998"/>
    <n v="82"/>
    <n v="7.1"/>
    <s v="High School"/>
    <s v="Yes"/>
    <s v="Yes"/>
    <s v="No"/>
    <n v="51.7"/>
    <n v="78"/>
    <x v="5"/>
    <s v="C"/>
    <m/>
  </r>
  <r>
    <n v="515"/>
    <s v="Female"/>
    <n v="4.0999999999999996"/>
    <n v="92"/>
    <n v="6.7"/>
    <s v="Masters"/>
    <s v="Yes"/>
    <s v="Yes"/>
    <s v="Yes"/>
    <n v="79.599999999999994"/>
    <n v="97"/>
    <x v="0"/>
    <s v="A"/>
    <m/>
  </r>
  <r>
    <n v="516"/>
    <s v="Male"/>
    <n v="2.9"/>
    <n v="81.7"/>
    <n v="6.3"/>
    <s v="Bachelors"/>
    <s v="Yes"/>
    <s v="No"/>
    <s v="Yes"/>
    <n v="63.3"/>
    <n v="79"/>
    <x v="5"/>
    <s v="C"/>
    <m/>
  </r>
  <r>
    <n v="517"/>
    <s v="Female"/>
    <n v="3.5"/>
    <n v="96.7"/>
    <n v="6.1"/>
    <s v="High School"/>
    <s v="Yes"/>
    <s v="No"/>
    <s v="No"/>
    <n v="70.099999999999994"/>
    <n v="84"/>
    <x v="1"/>
    <s v="B"/>
    <m/>
  </r>
  <r>
    <n v="518"/>
    <s v="Female"/>
    <n v="5.4"/>
    <n v="88.7"/>
    <n v="7.2"/>
    <s v="None"/>
    <s v="No"/>
    <s v="Yes"/>
    <s v="No"/>
    <n v="68.900000000000006"/>
    <n v="86"/>
    <x v="4"/>
    <s v="B"/>
    <m/>
  </r>
  <r>
    <n v="519"/>
    <s v="Female"/>
    <n v="3.8"/>
    <n v="83.9"/>
    <n v="5"/>
    <s v="High School"/>
    <s v="Yes"/>
    <s v="Yes"/>
    <s v="Yes"/>
    <n v="54.7"/>
    <n v="68"/>
    <x v="2"/>
    <s v="D"/>
    <m/>
  </r>
  <r>
    <n v="520"/>
    <s v="Female"/>
    <n v="3.6"/>
    <n v="89.5"/>
    <n v="7.7"/>
    <s v="PhD"/>
    <s v="Yes"/>
    <s v="Yes"/>
    <s v="Yes"/>
    <n v="56.2"/>
    <n v="81"/>
    <x v="1"/>
    <s v="B"/>
    <m/>
  </r>
  <r>
    <n v="521"/>
    <s v="Female"/>
    <n v="1.5"/>
    <n v="69.3"/>
    <n v="6.3"/>
    <s v="High School"/>
    <s v="Yes"/>
    <s v="No"/>
    <s v="Yes"/>
    <n v="81.599999999999994"/>
    <n v="65"/>
    <x v="2"/>
    <s v="D"/>
    <m/>
  </r>
  <r>
    <n v="522"/>
    <s v="Male"/>
    <n v="4.5999999999999996"/>
    <n v="73.7"/>
    <n v="5.4"/>
    <s v="PhD"/>
    <s v="No"/>
    <s v="Yes"/>
    <s v="Yes"/>
    <n v="74.8"/>
    <n v="72"/>
    <x v="3"/>
    <s v="C"/>
    <m/>
  </r>
  <r>
    <n v="523"/>
    <s v="Female"/>
    <n v="4.5"/>
    <n v="73.099999999999994"/>
    <n v="6.3"/>
    <s v="High School"/>
    <s v="Yes"/>
    <s v="Yes"/>
    <s v="Yes"/>
    <n v="82.6"/>
    <n v="85"/>
    <x v="4"/>
    <s v="B"/>
    <m/>
  </r>
  <r>
    <n v="524"/>
    <s v="Male"/>
    <n v="6.7"/>
    <n v="86.4"/>
    <n v="8.3000000000000007"/>
    <s v="Bachelors"/>
    <s v="Yes"/>
    <s v="No"/>
    <s v="No"/>
    <n v="73.900000000000006"/>
    <n v="100"/>
    <x v="0"/>
    <s v="A"/>
    <m/>
  </r>
  <r>
    <n v="525"/>
    <s v="Female"/>
    <n v="3"/>
    <n v="100"/>
    <n v="6.2"/>
    <s v="Masters"/>
    <s v="Yes"/>
    <s v="Yes"/>
    <s v="Yes"/>
    <n v="71.7"/>
    <n v="82"/>
    <x v="1"/>
    <s v="B"/>
    <m/>
  </r>
  <r>
    <n v="526"/>
    <s v="Male"/>
    <n v="3.8"/>
    <n v="100"/>
    <n v="7.2"/>
    <s v="None"/>
    <s v="Yes"/>
    <s v="Yes"/>
    <s v="No"/>
    <n v="49.3"/>
    <n v="87"/>
    <x v="4"/>
    <s v="B"/>
    <m/>
  </r>
  <r>
    <n v="527"/>
    <s v="Male"/>
    <n v="3.9"/>
    <n v="91.4"/>
    <n v="5.9"/>
    <s v="None"/>
    <s v="Yes"/>
    <s v="Yes"/>
    <s v="Yes"/>
    <n v="66.8"/>
    <n v="85"/>
    <x v="4"/>
    <s v="B"/>
    <m/>
  </r>
  <r>
    <n v="528"/>
    <s v="Female"/>
    <n v="5.9"/>
    <n v="90"/>
    <n v="7.7"/>
    <s v="Masters"/>
    <s v="Yes"/>
    <s v="No"/>
    <s v="No"/>
    <n v="69.7"/>
    <n v="96"/>
    <x v="0"/>
    <s v="A"/>
    <m/>
  </r>
  <r>
    <n v="529"/>
    <s v="Female"/>
    <n v="3.4"/>
    <n v="67"/>
    <n v="7.6"/>
    <s v="PhD"/>
    <s v="No"/>
    <s v="No"/>
    <s v="No"/>
    <n v="93.4"/>
    <n v="84"/>
    <x v="1"/>
    <s v="B"/>
    <m/>
  </r>
  <r>
    <n v="530"/>
    <s v="Female"/>
    <n v="3.9"/>
    <n v="79.599999999999994"/>
    <n v="9"/>
    <s v="High School"/>
    <s v="Yes"/>
    <s v="No"/>
    <s v="No"/>
    <n v="78.2"/>
    <n v="85"/>
    <x v="4"/>
    <s v="B"/>
    <m/>
  </r>
  <r>
    <n v="531"/>
    <s v="Male"/>
    <n v="4.4000000000000004"/>
    <n v="77.099999999999994"/>
    <n v="6.6"/>
    <s v="High School"/>
    <s v="Yes"/>
    <s v="Yes"/>
    <s v="No"/>
    <n v="88.4"/>
    <n v="95"/>
    <x v="0"/>
    <s v="A"/>
    <m/>
  </r>
  <r>
    <n v="532"/>
    <s v="Female"/>
    <n v="3.8"/>
    <n v="78.8"/>
    <n v="7.6"/>
    <s v="High School"/>
    <s v="Yes"/>
    <s v="Yes"/>
    <s v="No"/>
    <n v="77.2"/>
    <n v="90"/>
    <x v="6"/>
    <s v="B"/>
    <m/>
  </r>
  <r>
    <n v="533"/>
    <s v="Male"/>
    <n v="2.8"/>
    <n v="83.3"/>
    <n v="6.9"/>
    <s v="Bachelors"/>
    <s v="Yes"/>
    <s v="No"/>
    <s v="No"/>
    <n v="61.5"/>
    <n v="69"/>
    <x v="2"/>
    <s v="D"/>
    <m/>
  </r>
  <r>
    <n v="534"/>
    <s v="Male"/>
    <n v="3.8"/>
    <n v="80.3"/>
    <n v="8.4"/>
    <s v="Bachelors"/>
    <s v="Yes"/>
    <s v="No"/>
    <s v="No"/>
    <n v="71.400000000000006"/>
    <n v="93"/>
    <x v="6"/>
    <s v="A"/>
    <m/>
  </r>
  <r>
    <n v="535"/>
    <s v="Male"/>
    <n v="5.0999999999999996"/>
    <n v="65.2"/>
    <n v="5.9"/>
    <s v="Bachelors"/>
    <s v="Yes"/>
    <s v="Yes"/>
    <s v="No"/>
    <n v="72.8"/>
    <n v="81"/>
    <x v="1"/>
    <s v="B"/>
    <m/>
  </r>
  <r>
    <n v="536"/>
    <s v="Female"/>
    <n v="2"/>
    <n v="92.5"/>
    <n v="7.7"/>
    <s v="High School"/>
    <s v="Yes"/>
    <s v="No"/>
    <s v="No"/>
    <n v="58.7"/>
    <n v="78"/>
    <x v="5"/>
    <s v="C"/>
    <m/>
  </r>
  <r>
    <n v="537"/>
    <s v="Female"/>
    <n v="3.7"/>
    <n v="74.3"/>
    <n v="6.6"/>
    <s v="Masters"/>
    <s v="Yes"/>
    <s v="Yes"/>
    <s v="No"/>
    <n v="65.400000000000006"/>
    <n v="88"/>
    <x v="4"/>
    <s v="B"/>
    <m/>
  </r>
  <r>
    <n v="538"/>
    <s v="Male"/>
    <n v="2.4"/>
    <n v="87.4"/>
    <n v="6.7"/>
    <s v="High School"/>
    <s v="Yes"/>
    <s v="Yes"/>
    <s v="No"/>
    <n v="67.5"/>
    <n v="86"/>
    <x v="4"/>
    <s v="B"/>
    <m/>
  </r>
  <r>
    <n v="539"/>
    <s v="Male"/>
    <n v="5.3"/>
    <n v="100"/>
    <n v="6.9"/>
    <s v="High School"/>
    <s v="Yes"/>
    <s v="No"/>
    <s v="No"/>
    <n v="89.3"/>
    <n v="100"/>
    <x v="0"/>
    <s v="A"/>
    <m/>
  </r>
  <r>
    <n v="540"/>
    <s v="Female"/>
    <n v="1.2"/>
    <n v="75.8"/>
    <n v="7.1"/>
    <s v="Bachelors"/>
    <s v="Yes"/>
    <s v="Yes"/>
    <s v="Yes"/>
    <n v="45"/>
    <n v="57"/>
    <x v="8"/>
    <s v="F"/>
    <m/>
  </r>
  <r>
    <n v="541"/>
    <s v="Male"/>
    <n v="2.7"/>
    <n v="59.7"/>
    <n v="6.7"/>
    <s v="Masters"/>
    <s v="No"/>
    <s v="No"/>
    <s v="Yes"/>
    <n v="84.5"/>
    <n v="76"/>
    <x v="5"/>
    <s v="C"/>
    <m/>
  </r>
  <r>
    <n v="542"/>
    <s v="Female"/>
    <n v="4.0999999999999996"/>
    <n v="82.1"/>
    <n v="7.1"/>
    <s v="Masters"/>
    <s v="Yes"/>
    <s v="Yes"/>
    <s v="No"/>
    <n v="58.8"/>
    <n v="87"/>
    <x v="4"/>
    <s v="B"/>
    <m/>
  </r>
  <r>
    <n v="543"/>
    <s v="Male"/>
    <n v="5.8"/>
    <n v="96"/>
    <n v="8.6999999999999993"/>
    <s v="Bachelors"/>
    <s v="Yes"/>
    <s v="Yes"/>
    <s v="Yes"/>
    <n v="53.5"/>
    <n v="89"/>
    <x v="4"/>
    <s v="B"/>
    <m/>
  </r>
  <r>
    <n v="544"/>
    <s v="Female"/>
    <n v="3.4"/>
    <n v="100"/>
    <n v="8"/>
    <s v="High School"/>
    <s v="Yes"/>
    <s v="No"/>
    <s v="No"/>
    <n v="84.2"/>
    <n v="92"/>
    <x v="6"/>
    <s v="A"/>
    <m/>
  </r>
  <r>
    <n v="545"/>
    <s v="Male"/>
    <n v="2.7"/>
    <n v="72.7"/>
    <n v="7.8"/>
    <s v="Bachelors"/>
    <s v="Yes"/>
    <s v="No"/>
    <s v="Yes"/>
    <n v="78.8"/>
    <n v="66"/>
    <x v="2"/>
    <s v="D"/>
    <m/>
  </r>
  <r>
    <n v="546"/>
    <s v="Female"/>
    <n v="6.3"/>
    <n v="90"/>
    <n v="6.3"/>
    <s v="High School"/>
    <s v="Yes"/>
    <s v="Yes"/>
    <s v="No"/>
    <n v="85.1"/>
    <n v="100"/>
    <x v="0"/>
    <s v="A"/>
    <m/>
  </r>
  <r>
    <n v="547"/>
    <s v="Male"/>
    <n v="1.3"/>
    <n v="80.3"/>
    <n v="5.7"/>
    <s v="Bachelors"/>
    <s v="No"/>
    <s v="Yes"/>
    <s v="No"/>
    <n v="79.599999999999994"/>
    <n v="71"/>
    <x v="3"/>
    <s v="C"/>
    <m/>
  </r>
  <r>
    <n v="548"/>
    <s v="Female"/>
    <n v="0.5"/>
    <n v="83.9"/>
    <n v="7.9"/>
    <s v="Bachelors"/>
    <s v="Yes"/>
    <s v="No"/>
    <s v="No"/>
    <n v="94.7"/>
    <n v="89"/>
    <x v="4"/>
    <s v="B"/>
    <m/>
  </r>
  <r>
    <n v="549"/>
    <s v="Female"/>
    <n v="4.2"/>
    <n v="100"/>
    <n v="7.9"/>
    <s v="High School"/>
    <s v="Yes"/>
    <s v="Yes"/>
    <s v="No"/>
    <n v="76.7"/>
    <n v="100"/>
    <x v="0"/>
    <s v="A"/>
    <m/>
  </r>
  <r>
    <n v="550"/>
    <s v="Male"/>
    <n v="2.7"/>
    <n v="70"/>
    <n v="8.6"/>
    <s v="High School"/>
    <s v="Yes"/>
    <s v="No"/>
    <s v="No"/>
    <n v="68.099999999999994"/>
    <n v="85"/>
    <x v="4"/>
    <s v="B"/>
    <m/>
  </r>
  <r>
    <n v="551"/>
    <s v="Male"/>
    <n v="2"/>
    <n v="87.5"/>
    <n v="6.1"/>
    <s v="None"/>
    <s v="Yes"/>
    <s v="No"/>
    <s v="No"/>
    <n v="74.099999999999994"/>
    <n v="75"/>
    <x v="5"/>
    <s v="C"/>
    <m/>
  </r>
  <r>
    <n v="552"/>
    <s v="Female"/>
    <n v="4.5999999999999996"/>
    <n v="89.7"/>
    <n v="6.5"/>
    <s v="None"/>
    <s v="Yes"/>
    <s v="Yes"/>
    <s v="No"/>
    <n v="84.9"/>
    <n v="100"/>
    <x v="0"/>
    <s v="A"/>
    <m/>
  </r>
  <r>
    <n v="553"/>
    <s v="Male"/>
    <n v="3.9"/>
    <n v="95.9"/>
    <n v="4.8"/>
    <s v="Bachelors"/>
    <s v="Yes"/>
    <s v="Yes"/>
    <s v="Yes"/>
    <n v="60.6"/>
    <n v="79"/>
    <x v="5"/>
    <s v="C"/>
    <m/>
  </r>
  <r>
    <n v="554"/>
    <s v="Female"/>
    <n v="2.7"/>
    <n v="86"/>
    <n v="6.3"/>
    <s v="High School"/>
    <s v="Yes"/>
    <s v="Yes"/>
    <s v="No"/>
    <n v="62.2"/>
    <n v="83"/>
    <x v="1"/>
    <s v="B"/>
    <m/>
  </r>
  <r>
    <n v="555"/>
    <s v="Male"/>
    <n v="1.6"/>
    <n v="88.1"/>
    <n v="8"/>
    <s v="High School"/>
    <s v="No"/>
    <s v="No"/>
    <s v="No"/>
    <n v="66.3"/>
    <n v="63"/>
    <x v="7"/>
    <s v="D"/>
    <m/>
  </r>
  <r>
    <n v="556"/>
    <s v="Female"/>
    <n v="4.8"/>
    <n v="81.099999999999994"/>
    <n v="6.2"/>
    <s v="Bachelors"/>
    <s v="Yes"/>
    <s v="Yes"/>
    <s v="No"/>
    <n v="44.7"/>
    <n v="81"/>
    <x v="1"/>
    <s v="B"/>
    <m/>
  </r>
  <r>
    <n v="557"/>
    <s v="Female"/>
    <n v="4.5"/>
    <n v="87.7"/>
    <n v="7.6"/>
    <s v="None"/>
    <s v="Yes"/>
    <s v="Yes"/>
    <s v="No"/>
    <n v="71.7"/>
    <n v="81"/>
    <x v="1"/>
    <s v="B"/>
    <m/>
  </r>
  <r>
    <n v="558"/>
    <s v="Female"/>
    <n v="3.4"/>
    <n v="81.599999999999994"/>
    <n v="6.6"/>
    <s v="High School"/>
    <s v="Yes"/>
    <s v="Yes"/>
    <s v="No"/>
    <n v="47.4"/>
    <n v="73"/>
    <x v="3"/>
    <s v="C"/>
    <m/>
  </r>
  <r>
    <n v="559"/>
    <s v="Female"/>
    <n v="6.3"/>
    <n v="91.2"/>
    <n v="7.2"/>
    <s v="Masters"/>
    <s v="Yes"/>
    <s v="No"/>
    <s v="Yes"/>
    <n v="70.599999999999994"/>
    <n v="100"/>
    <x v="0"/>
    <s v="A"/>
    <m/>
  </r>
  <r>
    <n v="560"/>
    <s v="Female"/>
    <n v="1.9"/>
    <n v="81.3"/>
    <n v="5.4"/>
    <s v="High School"/>
    <s v="Yes"/>
    <s v="Yes"/>
    <s v="Yes"/>
    <n v="80.400000000000006"/>
    <n v="74"/>
    <x v="3"/>
    <s v="C"/>
    <m/>
  </r>
  <r>
    <n v="561"/>
    <s v="Female"/>
    <n v="1.2"/>
    <n v="88.8"/>
    <n v="6.9"/>
    <s v="None"/>
    <s v="Yes"/>
    <s v="Yes"/>
    <s v="No"/>
    <n v="64.3"/>
    <n v="68"/>
    <x v="2"/>
    <s v="D"/>
    <m/>
  </r>
  <r>
    <n v="562"/>
    <s v="Male"/>
    <n v="2.5"/>
    <n v="84.7"/>
    <n v="3.2"/>
    <s v="Bachelors"/>
    <s v="No"/>
    <s v="No"/>
    <s v="No"/>
    <n v="90.1"/>
    <n v="84"/>
    <x v="1"/>
    <s v="B"/>
    <m/>
  </r>
  <r>
    <n v="563"/>
    <s v="Male"/>
    <n v="3.4"/>
    <n v="96.3"/>
    <n v="6.6"/>
    <s v="Masters"/>
    <s v="No"/>
    <s v="No"/>
    <s v="No"/>
    <n v="52.5"/>
    <n v="75"/>
    <x v="5"/>
    <s v="C"/>
    <m/>
  </r>
  <r>
    <n v="564"/>
    <s v="Male"/>
    <n v="3.9"/>
    <n v="84.5"/>
    <n v="4.8"/>
    <s v="High School"/>
    <s v="No"/>
    <s v="No"/>
    <s v="Yes"/>
    <n v="84.3"/>
    <n v="79"/>
    <x v="5"/>
    <s v="C"/>
    <m/>
  </r>
  <r>
    <n v="565"/>
    <s v="Female"/>
    <n v="3.1"/>
    <n v="67.3"/>
    <n v="8.1999999999999993"/>
    <s v="Bachelors"/>
    <s v="Yes"/>
    <s v="Yes"/>
    <s v="No"/>
    <n v="78.099999999999994"/>
    <n v="83"/>
    <x v="1"/>
    <s v="B"/>
    <m/>
  </r>
  <r>
    <n v="566"/>
    <s v="Female"/>
    <n v="4"/>
    <n v="97.6"/>
    <n v="7.7"/>
    <s v="High School"/>
    <s v="Yes"/>
    <s v="Yes"/>
    <s v="No"/>
    <n v="49.4"/>
    <n v="100"/>
    <x v="0"/>
    <s v="A"/>
    <m/>
  </r>
  <r>
    <n v="567"/>
    <s v="Female"/>
    <n v="1.6"/>
    <n v="75.900000000000006"/>
    <n v="7.4"/>
    <s v="High School"/>
    <s v="Yes"/>
    <s v="No"/>
    <s v="No"/>
    <n v="100"/>
    <n v="93"/>
    <x v="6"/>
    <s v="A"/>
    <m/>
  </r>
  <r>
    <n v="568"/>
    <s v="Female"/>
    <n v="5.7"/>
    <n v="78.5"/>
    <n v="8.6"/>
    <s v="None"/>
    <s v="Yes"/>
    <s v="Yes"/>
    <s v="Yes"/>
    <n v="69.2"/>
    <n v="99"/>
    <x v="0"/>
    <s v="A"/>
    <m/>
  </r>
  <r>
    <n v="569"/>
    <s v="Male"/>
    <n v="3.4"/>
    <n v="79"/>
    <n v="5.7"/>
    <s v="None"/>
    <s v="Yes"/>
    <s v="No"/>
    <s v="Yes"/>
    <n v="59.5"/>
    <n v="76"/>
    <x v="5"/>
    <s v="C"/>
    <m/>
  </r>
  <r>
    <n v="570"/>
    <s v="Male"/>
    <n v="5.2"/>
    <n v="98.7"/>
    <n v="8.9"/>
    <s v="PhD"/>
    <s v="Yes"/>
    <s v="No"/>
    <s v="Yes"/>
    <n v="53.1"/>
    <n v="91"/>
    <x v="6"/>
    <s v="A"/>
    <m/>
  </r>
  <r>
    <n v="571"/>
    <s v="Female"/>
    <n v="4"/>
    <n v="63.6"/>
    <n v="7.9"/>
    <s v="Bachelors"/>
    <s v="Yes"/>
    <s v="Yes"/>
    <s v="Yes"/>
    <n v="67.400000000000006"/>
    <n v="63"/>
    <x v="7"/>
    <s v="D"/>
    <m/>
  </r>
  <r>
    <n v="572"/>
    <s v="Male"/>
    <n v="4.2"/>
    <n v="100"/>
    <n v="6.5"/>
    <s v="Masters"/>
    <s v="Yes"/>
    <s v="No"/>
    <s v="Yes"/>
    <n v="68.5"/>
    <n v="85"/>
    <x v="4"/>
    <s v="B"/>
    <m/>
  </r>
  <r>
    <n v="573"/>
    <s v="Male"/>
    <n v="4.4000000000000004"/>
    <n v="95.6"/>
    <n v="8.1999999999999993"/>
    <s v="High School"/>
    <s v="Yes"/>
    <s v="No"/>
    <s v="Yes"/>
    <n v="71.2"/>
    <n v="89"/>
    <x v="4"/>
    <s v="B"/>
    <m/>
  </r>
  <r>
    <n v="574"/>
    <s v="Female"/>
    <n v="4.2"/>
    <n v="87.2"/>
    <n v="5.5"/>
    <s v="High School"/>
    <s v="Yes"/>
    <s v="Yes"/>
    <s v="No"/>
    <n v="66.400000000000006"/>
    <n v="75"/>
    <x v="5"/>
    <s v="C"/>
    <m/>
  </r>
  <r>
    <n v="575"/>
    <s v="Male"/>
    <n v="4.5"/>
    <n v="84.5"/>
    <n v="5.8"/>
    <s v="High School"/>
    <s v="Yes"/>
    <s v="Yes"/>
    <s v="No"/>
    <n v="77.599999999999994"/>
    <n v="85"/>
    <x v="4"/>
    <s v="B"/>
    <m/>
  </r>
  <r>
    <n v="576"/>
    <s v="Female"/>
    <n v="5.5"/>
    <n v="87.9"/>
    <n v="6.1"/>
    <s v="Bachelors"/>
    <s v="Yes"/>
    <s v="Yes"/>
    <s v="No"/>
    <n v="65.3"/>
    <n v="81"/>
    <x v="1"/>
    <s v="B"/>
    <m/>
  </r>
  <r>
    <n v="577"/>
    <s v="Male"/>
    <n v="3.8"/>
    <n v="90.2"/>
    <n v="6.2"/>
    <s v="Bachelors"/>
    <s v="Yes"/>
    <s v="Yes"/>
    <s v="Yes"/>
    <n v="46.8"/>
    <n v="76"/>
    <x v="5"/>
    <s v="C"/>
    <m/>
  </r>
  <r>
    <n v="578"/>
    <s v="Female"/>
    <n v="4.5999999999999996"/>
    <n v="91.5"/>
    <n v="5.5"/>
    <s v="High School"/>
    <s v="Yes"/>
    <s v="Yes"/>
    <s v="No"/>
    <n v="68.2"/>
    <n v="96"/>
    <x v="0"/>
    <s v="A"/>
    <m/>
  </r>
  <r>
    <n v="579"/>
    <s v="Female"/>
    <n v="3.4"/>
    <n v="90.6"/>
    <n v="8.3000000000000007"/>
    <s v="Bachelors"/>
    <s v="Yes"/>
    <s v="No"/>
    <s v="No"/>
    <n v="41.6"/>
    <n v="83"/>
    <x v="1"/>
    <s v="B"/>
    <m/>
  </r>
  <r>
    <n v="580"/>
    <s v="Female"/>
    <n v="5.7"/>
    <n v="85.9"/>
    <n v="6.5"/>
    <s v="Masters"/>
    <s v="Yes"/>
    <s v="No"/>
    <s v="Yes"/>
    <n v="74.2"/>
    <n v="96"/>
    <x v="0"/>
    <s v="A"/>
    <m/>
  </r>
  <r>
    <n v="581"/>
    <s v="Female"/>
    <n v="2.5"/>
    <n v="83"/>
    <n v="7.2"/>
    <s v="Bachelors"/>
    <s v="Yes"/>
    <s v="Yes"/>
    <s v="No"/>
    <n v="58.2"/>
    <n v="70"/>
    <x v="3"/>
    <s v="C"/>
    <m/>
  </r>
  <r>
    <n v="582"/>
    <s v="Male"/>
    <n v="6.2"/>
    <n v="83.5"/>
    <n v="6.1"/>
    <s v="High School"/>
    <s v="Yes"/>
    <s v="Yes"/>
    <s v="Yes"/>
    <n v="72"/>
    <n v="83"/>
    <x v="1"/>
    <s v="B"/>
    <m/>
  </r>
  <r>
    <n v="583"/>
    <s v="Female"/>
    <n v="3.4"/>
    <n v="83.1"/>
    <n v="4.5999999999999996"/>
    <s v="High School"/>
    <s v="Yes"/>
    <s v="No"/>
    <s v="No"/>
    <n v="85.8"/>
    <n v="77"/>
    <x v="5"/>
    <s v="C"/>
    <m/>
  </r>
  <r>
    <n v="584"/>
    <s v="Female"/>
    <n v="1.4"/>
    <n v="96.3"/>
    <n v="7.1"/>
    <s v="High School"/>
    <s v="Yes"/>
    <s v="Yes"/>
    <s v="No"/>
    <n v="58.6"/>
    <n v="68"/>
    <x v="2"/>
    <s v="D"/>
    <m/>
  </r>
  <r>
    <n v="585"/>
    <s v="Female"/>
    <n v="3.7"/>
    <n v="90.9"/>
    <n v="4.5"/>
    <s v="High School"/>
    <s v="Yes"/>
    <s v="No"/>
    <s v="No"/>
    <n v="82.7"/>
    <n v="85"/>
    <x v="4"/>
    <s v="B"/>
    <m/>
  </r>
  <r>
    <n v="586"/>
    <s v="Male"/>
    <n v="2.5"/>
    <n v="55.6"/>
    <n v="6.7"/>
    <s v="Bachelors"/>
    <s v="Yes"/>
    <s v="Yes"/>
    <s v="No"/>
    <n v="64.8"/>
    <n v="68"/>
    <x v="2"/>
    <s v="D"/>
    <m/>
  </r>
  <r>
    <n v="587"/>
    <s v="Female"/>
    <n v="4.8"/>
    <n v="91.6"/>
    <n v="5.2"/>
    <s v="Bachelors"/>
    <s v="No"/>
    <s v="Yes"/>
    <s v="No"/>
    <n v="91"/>
    <n v="89"/>
    <x v="4"/>
    <s v="B"/>
    <m/>
  </r>
  <r>
    <n v="588"/>
    <s v="Male"/>
    <n v="2.5"/>
    <n v="86.9"/>
    <n v="9.1999999999999993"/>
    <s v="Masters"/>
    <s v="Yes"/>
    <s v="Yes"/>
    <s v="No"/>
    <n v="65.599999999999994"/>
    <n v="85"/>
    <x v="4"/>
    <s v="B"/>
    <m/>
  </r>
  <r>
    <n v="589"/>
    <s v="Female"/>
    <n v="2.8"/>
    <n v="84.8"/>
    <n v="7.9"/>
    <s v="Bachelors"/>
    <s v="Yes"/>
    <s v="No"/>
    <s v="No"/>
    <n v="59.9"/>
    <n v="77"/>
    <x v="5"/>
    <s v="C"/>
    <m/>
  </r>
  <r>
    <n v="590"/>
    <s v="Male"/>
    <n v="0.7"/>
    <n v="81.099999999999994"/>
    <n v="6.9"/>
    <s v="Masters"/>
    <s v="Yes"/>
    <s v="Yes"/>
    <s v="Yes"/>
    <n v="78.2"/>
    <n v="72"/>
    <x v="3"/>
    <s v="C"/>
    <m/>
  </r>
  <r>
    <n v="591"/>
    <s v="Male"/>
    <n v="2.8"/>
    <n v="96.2"/>
    <n v="8.3000000000000007"/>
    <s v="High School"/>
    <s v="Yes"/>
    <s v="No"/>
    <s v="Yes"/>
    <n v="64.8"/>
    <n v="89"/>
    <x v="4"/>
    <s v="B"/>
    <m/>
  </r>
  <r>
    <n v="592"/>
    <s v="Female"/>
    <n v="0.5"/>
    <n v="94.5"/>
    <n v="5.8"/>
    <s v="Bachelors"/>
    <s v="Yes"/>
    <s v="Yes"/>
    <s v="No"/>
    <n v="59.9"/>
    <n v="63"/>
    <x v="7"/>
    <s v="D"/>
    <m/>
  </r>
  <r>
    <n v="593"/>
    <s v="Male"/>
    <n v="1.1000000000000001"/>
    <n v="77.3"/>
    <n v="7.5"/>
    <s v="Masters"/>
    <s v="Yes"/>
    <s v="Yes"/>
    <s v="No"/>
    <n v="64.3"/>
    <n v="73"/>
    <x v="3"/>
    <s v="C"/>
    <m/>
  </r>
  <r>
    <n v="594"/>
    <s v="Female"/>
    <n v="4.5999999999999996"/>
    <n v="89.1"/>
    <n v="7"/>
    <s v="High School"/>
    <s v="No"/>
    <s v="Yes"/>
    <s v="No"/>
    <n v="69.5"/>
    <n v="87"/>
    <x v="4"/>
    <s v="B"/>
    <m/>
  </r>
  <r>
    <n v="595"/>
    <s v="Female"/>
    <n v="4.7"/>
    <n v="75.3"/>
    <n v="7.1"/>
    <s v="High School"/>
    <s v="Yes"/>
    <s v="No"/>
    <s v="Yes"/>
    <n v="86.1"/>
    <n v="89"/>
    <x v="4"/>
    <s v="B"/>
    <m/>
  </r>
  <r>
    <n v="596"/>
    <s v="Female"/>
    <n v="4.0999999999999996"/>
    <n v="71.2"/>
    <n v="8.3000000000000007"/>
    <s v="PhD"/>
    <s v="Yes"/>
    <s v="No"/>
    <s v="No"/>
    <n v="46.8"/>
    <n v="80"/>
    <x v="1"/>
    <s v="B"/>
    <m/>
  </r>
  <r>
    <n v="597"/>
    <s v="Male"/>
    <n v="2"/>
    <n v="78.7"/>
    <n v="7.7"/>
    <s v="High School"/>
    <s v="Yes"/>
    <s v="Yes"/>
    <s v="Yes"/>
    <n v="70.3"/>
    <n v="80"/>
    <x v="1"/>
    <s v="B"/>
    <m/>
  </r>
  <r>
    <n v="598"/>
    <s v="Male"/>
    <n v="3.4"/>
    <n v="93.6"/>
    <n v="7.1"/>
    <s v="Masters"/>
    <s v="No"/>
    <s v="Yes"/>
    <s v="No"/>
    <n v="77.5"/>
    <n v="81"/>
    <x v="1"/>
    <s v="B"/>
    <m/>
  </r>
  <r>
    <n v="599"/>
    <s v="Female"/>
    <n v="3.5"/>
    <n v="94.5"/>
    <n v="4.8"/>
    <s v="High School"/>
    <s v="Yes"/>
    <s v="Yes"/>
    <s v="No"/>
    <n v="72.3"/>
    <n v="86"/>
    <x v="4"/>
    <s v="B"/>
    <m/>
  </r>
  <r>
    <n v="600"/>
    <s v="Female"/>
    <n v="1.8"/>
    <n v="90.1"/>
    <n v="5.6"/>
    <s v="Masters"/>
    <s v="Yes"/>
    <s v="Yes"/>
    <s v="No"/>
    <n v="85.7"/>
    <n v="86"/>
    <x v="4"/>
    <s v="B"/>
    <m/>
  </r>
  <r>
    <n v="601"/>
    <s v="Male"/>
    <n v="5.8"/>
    <n v="92.3"/>
    <n v="6.7"/>
    <s v="High School"/>
    <s v="Yes"/>
    <s v="Yes"/>
    <s v="Yes"/>
    <n v="69.099999999999994"/>
    <n v="93"/>
    <x v="6"/>
    <s v="A"/>
    <m/>
  </r>
  <r>
    <n v="602"/>
    <s v="Female"/>
    <n v="4.8"/>
    <n v="90.2"/>
    <n v="6.9"/>
    <s v="High School"/>
    <s v="Yes"/>
    <s v="No"/>
    <s v="No"/>
    <n v="67.8"/>
    <n v="95"/>
    <x v="0"/>
    <s v="A"/>
    <m/>
  </r>
  <r>
    <n v="603"/>
    <s v="Female"/>
    <n v="3.2"/>
    <n v="78.599999999999994"/>
    <n v="5.4"/>
    <s v="Bachelors"/>
    <s v="Yes"/>
    <s v="No"/>
    <s v="No"/>
    <n v="77.099999999999994"/>
    <n v="84"/>
    <x v="1"/>
    <s v="B"/>
    <m/>
  </r>
  <r>
    <n v="604"/>
    <s v="Female"/>
    <n v="3.5"/>
    <n v="89.3"/>
    <n v="9.6999999999999993"/>
    <s v="High School"/>
    <s v="Yes"/>
    <s v="Yes"/>
    <s v="No"/>
    <n v="71.2"/>
    <n v="100"/>
    <x v="0"/>
    <s v="A"/>
    <m/>
  </r>
  <r>
    <n v="605"/>
    <s v="Male"/>
    <n v="3.8"/>
    <n v="93"/>
    <n v="8.6"/>
    <s v="Bachelors"/>
    <s v="Yes"/>
    <s v="Yes"/>
    <s v="No"/>
    <n v="65.3"/>
    <n v="81"/>
    <x v="1"/>
    <s v="B"/>
    <m/>
  </r>
  <r>
    <n v="606"/>
    <s v="Male"/>
    <n v="0.5"/>
    <n v="92.5"/>
    <n v="7.5"/>
    <s v="High School"/>
    <s v="Yes"/>
    <s v="No"/>
    <s v="No"/>
    <n v="76.2"/>
    <n v="76"/>
    <x v="5"/>
    <s v="C"/>
    <m/>
  </r>
  <r>
    <n v="607"/>
    <s v="Male"/>
    <n v="3.1"/>
    <n v="96.9"/>
    <n v="6.9"/>
    <s v="High School"/>
    <s v="No"/>
    <s v="No"/>
    <s v="No"/>
    <n v="62.2"/>
    <n v="74"/>
    <x v="3"/>
    <s v="C"/>
    <m/>
  </r>
  <r>
    <n v="608"/>
    <s v="Female"/>
    <n v="2.5"/>
    <n v="92.1"/>
    <n v="6.5"/>
    <s v="High School"/>
    <s v="Yes"/>
    <s v="Yes"/>
    <s v="No"/>
    <n v="62.7"/>
    <n v="84"/>
    <x v="1"/>
    <s v="B"/>
    <m/>
  </r>
  <r>
    <n v="609"/>
    <s v="Female"/>
    <n v="2"/>
    <n v="88.5"/>
    <n v="5.7"/>
    <s v="High School"/>
    <s v="No"/>
    <s v="Yes"/>
    <s v="Yes"/>
    <n v="63.7"/>
    <n v="59"/>
    <x v="8"/>
    <s v="F"/>
    <m/>
  </r>
  <r>
    <n v="610"/>
    <s v="Female"/>
    <n v="3.1"/>
    <n v="95.7"/>
    <n v="6.9"/>
    <s v="None"/>
    <s v="Yes"/>
    <s v="Yes"/>
    <s v="No"/>
    <n v="86.2"/>
    <n v="96"/>
    <x v="0"/>
    <s v="A"/>
    <m/>
  </r>
  <r>
    <n v="611"/>
    <s v="Male"/>
    <n v="6.2"/>
    <n v="84.7"/>
    <n v="7.1"/>
    <s v="High School"/>
    <s v="Yes"/>
    <s v="Yes"/>
    <s v="No"/>
    <n v="31.3"/>
    <n v="79"/>
    <x v="5"/>
    <s v="C"/>
    <m/>
  </r>
  <r>
    <n v="612"/>
    <s v="Female"/>
    <n v="4.5"/>
    <n v="76.2"/>
    <n v="5.3"/>
    <s v="Bachelors"/>
    <s v="Yes"/>
    <s v="Yes"/>
    <s v="Yes"/>
    <n v="74.7"/>
    <n v="80"/>
    <x v="1"/>
    <s v="C"/>
    <m/>
  </r>
  <r>
    <n v="613"/>
    <s v="Female"/>
    <n v="2.6"/>
    <n v="83.4"/>
    <n v="7.2"/>
    <s v="High School"/>
    <s v="Yes"/>
    <s v="Yes"/>
    <s v="Yes"/>
    <n v="70.400000000000006"/>
    <n v="70"/>
    <x v="3"/>
    <s v="C"/>
    <m/>
  </r>
  <r>
    <n v="614"/>
    <s v="Female"/>
    <n v="4.4000000000000004"/>
    <n v="77.599999999999994"/>
    <n v="6.6"/>
    <s v="High School"/>
    <s v="Yes"/>
    <s v="No"/>
    <s v="No"/>
    <n v="49.8"/>
    <n v="75"/>
    <x v="5"/>
    <s v="C"/>
    <m/>
  </r>
  <r>
    <n v="615"/>
    <s v="Female"/>
    <n v="5.6"/>
    <n v="78.2"/>
    <n v="4.5"/>
    <s v="None"/>
    <s v="Yes"/>
    <s v="Yes"/>
    <s v="Yes"/>
    <n v="73.7"/>
    <n v="95"/>
    <x v="0"/>
    <s v="A"/>
    <m/>
  </r>
  <r>
    <n v="616"/>
    <s v="Male"/>
    <n v="4.9000000000000004"/>
    <n v="83.6"/>
    <n v="5.8"/>
    <s v="High School"/>
    <s v="Yes"/>
    <s v="Yes"/>
    <s v="No"/>
    <n v="75.7"/>
    <n v="92"/>
    <x v="6"/>
    <s v="A"/>
    <m/>
  </r>
  <r>
    <n v="617"/>
    <s v="Male"/>
    <n v="3.6"/>
    <n v="77.099999999999994"/>
    <n v="6.3"/>
    <s v="None"/>
    <s v="Yes"/>
    <s v="Yes"/>
    <s v="Yes"/>
    <n v="77.099999999999994"/>
    <n v="86"/>
    <x v="4"/>
    <s v="B"/>
    <m/>
  </r>
  <r>
    <n v="618"/>
    <s v="Female"/>
    <n v="2.5"/>
    <n v="81.900000000000006"/>
    <n v="9.1"/>
    <s v="High School"/>
    <s v="Yes"/>
    <s v="No"/>
    <s v="No"/>
    <n v="38.200000000000003"/>
    <n v="79"/>
    <x v="5"/>
    <s v="C"/>
    <m/>
  </r>
  <r>
    <n v="619"/>
    <s v="Male"/>
    <n v="4.5"/>
    <n v="66.099999999999994"/>
    <n v="7.5"/>
    <s v="Masters"/>
    <s v="Yes"/>
    <s v="No"/>
    <s v="No"/>
    <n v="86.4"/>
    <n v="92"/>
    <x v="6"/>
    <s v="A"/>
    <m/>
  </r>
  <r>
    <n v="620"/>
    <s v="Male"/>
    <n v="4.0999999999999996"/>
    <n v="87.1"/>
    <n v="5.2"/>
    <s v="Bachelors"/>
    <s v="Yes"/>
    <s v="Yes"/>
    <s v="No"/>
    <n v="61.1"/>
    <n v="80"/>
    <x v="1"/>
    <s v="B"/>
    <m/>
  </r>
  <r>
    <n v="621"/>
    <s v="Female"/>
    <n v="4.8"/>
    <n v="85"/>
    <n v="7.4"/>
    <s v="PhD"/>
    <s v="Yes"/>
    <s v="Yes"/>
    <s v="No"/>
    <n v="78.2"/>
    <n v="98"/>
    <x v="0"/>
    <s v="A"/>
    <m/>
  </r>
  <r>
    <n v="622"/>
    <s v="Female"/>
    <n v="4.5"/>
    <n v="76.8"/>
    <n v="4.9000000000000004"/>
    <s v="Bachelors"/>
    <s v="No"/>
    <s v="No"/>
    <s v="No"/>
    <n v="78.900000000000006"/>
    <n v="79"/>
    <x v="5"/>
    <s v="C"/>
    <m/>
  </r>
  <r>
    <n v="623"/>
    <s v="Male"/>
    <n v="5.0999999999999996"/>
    <n v="91.6"/>
    <n v="8.1"/>
    <s v="Bachelors"/>
    <s v="Yes"/>
    <s v="Yes"/>
    <s v="No"/>
    <n v="59.5"/>
    <n v="90"/>
    <x v="6"/>
    <s v="B"/>
    <m/>
  </r>
  <r>
    <n v="624"/>
    <s v="Female"/>
    <n v="2.7"/>
    <n v="94.4"/>
    <n v="6.2"/>
    <s v="High School"/>
    <s v="Yes"/>
    <s v="Yes"/>
    <s v="Yes"/>
    <n v="77.900000000000006"/>
    <n v="76"/>
    <x v="5"/>
    <s v="C"/>
    <m/>
  </r>
  <r>
    <n v="625"/>
    <s v="Male"/>
    <n v="5.5"/>
    <n v="68.900000000000006"/>
    <n v="6.7"/>
    <s v="High School"/>
    <s v="Yes"/>
    <s v="Yes"/>
    <s v="Yes"/>
    <n v="65.400000000000006"/>
    <n v="90"/>
    <x v="6"/>
    <s v="B"/>
    <m/>
  </r>
  <r>
    <n v="626"/>
    <s v="Female"/>
    <n v="3.8"/>
    <n v="77.400000000000006"/>
    <n v="8.4"/>
    <s v="None"/>
    <s v="Yes"/>
    <s v="Yes"/>
    <s v="Yes"/>
    <n v="45.1"/>
    <n v="71"/>
    <x v="3"/>
    <s v="C"/>
    <m/>
  </r>
  <r>
    <n v="627"/>
    <s v="Male"/>
    <n v="6.6"/>
    <n v="77.3"/>
    <n v="5.3"/>
    <s v="High School"/>
    <s v="No"/>
    <s v="Yes"/>
    <s v="No"/>
    <n v="84"/>
    <n v="97"/>
    <x v="0"/>
    <s v="A"/>
    <m/>
  </r>
  <r>
    <n v="628"/>
    <s v="Female"/>
    <n v="2.5"/>
    <n v="75.599999999999994"/>
    <n v="5.0999999999999996"/>
    <s v="Bachelors"/>
    <s v="Yes"/>
    <s v="No"/>
    <s v="Yes"/>
    <n v="60.7"/>
    <n v="62"/>
    <x v="7"/>
    <s v="D"/>
    <m/>
  </r>
  <r>
    <n v="629"/>
    <s v="Male"/>
    <n v="6.1"/>
    <n v="93.3"/>
    <n v="6.1"/>
    <s v="Masters"/>
    <s v="Yes"/>
    <s v="No"/>
    <s v="Yes"/>
    <n v="59.7"/>
    <n v="94"/>
    <x v="6"/>
    <s v="A"/>
    <m/>
  </r>
  <r>
    <n v="630"/>
    <s v="Male"/>
    <n v="3.8"/>
    <n v="83.1"/>
    <n v="8"/>
    <s v="High School"/>
    <s v="Yes"/>
    <s v="Yes"/>
    <s v="No"/>
    <n v="65.2"/>
    <n v="81"/>
    <x v="1"/>
    <s v="B"/>
    <m/>
  </r>
  <r>
    <n v="631"/>
    <s v="Male"/>
    <n v="2.5"/>
    <n v="82.4"/>
    <n v="5"/>
    <s v="None"/>
    <s v="Yes"/>
    <s v="No"/>
    <s v="No"/>
    <n v="73.3"/>
    <n v="78"/>
    <x v="5"/>
    <s v="C"/>
    <m/>
  </r>
  <r>
    <n v="632"/>
    <s v="Female"/>
    <n v="2.8"/>
    <n v="65"/>
    <n v="3.4"/>
    <s v="Masters"/>
    <s v="No"/>
    <s v="Yes"/>
    <s v="No"/>
    <n v="69.3"/>
    <n v="71"/>
    <x v="3"/>
    <s v="C"/>
    <m/>
  </r>
  <r>
    <n v="633"/>
    <s v="Male"/>
    <n v="3"/>
    <n v="91.4"/>
    <n v="6.3"/>
    <s v="Bachelors"/>
    <s v="Yes"/>
    <s v="Yes"/>
    <s v="Yes"/>
    <n v="76.599999999999994"/>
    <n v="89"/>
    <x v="4"/>
    <s v="B"/>
    <m/>
  </r>
  <r>
    <n v="634"/>
    <s v="Male"/>
    <n v="4.0999999999999996"/>
    <n v="72.599999999999994"/>
    <n v="7.5"/>
    <s v="PhD"/>
    <s v="Yes"/>
    <s v="No"/>
    <s v="Yes"/>
    <n v="53.9"/>
    <n v="74"/>
    <x v="3"/>
    <s v="C"/>
    <m/>
  </r>
  <r>
    <n v="635"/>
    <s v="Female"/>
    <n v="4.3"/>
    <n v="85.6"/>
    <n v="8.1999999999999993"/>
    <s v="High School"/>
    <s v="Yes"/>
    <s v="No"/>
    <s v="No"/>
    <n v="61.1"/>
    <n v="76"/>
    <x v="5"/>
    <s v="C"/>
    <m/>
  </r>
  <r>
    <n v="636"/>
    <s v="Female"/>
    <n v="2.6"/>
    <n v="87.8"/>
    <n v="6.2"/>
    <s v="High School"/>
    <s v="Yes"/>
    <s v="Yes"/>
    <s v="Yes"/>
    <n v="68.599999999999994"/>
    <n v="96"/>
    <x v="0"/>
    <s v="A"/>
    <m/>
  </r>
  <r>
    <n v="637"/>
    <s v="Male"/>
    <n v="3.5"/>
    <n v="98.6"/>
    <n v="6.3"/>
    <s v="Bachelors"/>
    <s v="Yes"/>
    <s v="Yes"/>
    <s v="No"/>
    <n v="92.8"/>
    <n v="100"/>
    <x v="0"/>
    <s v="A"/>
    <m/>
  </r>
  <r>
    <n v="638"/>
    <s v="Male"/>
    <n v="6.7"/>
    <n v="71.900000000000006"/>
    <n v="8.1999999999999993"/>
    <s v="High School"/>
    <s v="Yes"/>
    <s v="No"/>
    <s v="No"/>
    <n v="68.599999999999994"/>
    <n v="100"/>
    <x v="0"/>
    <s v="A"/>
    <m/>
  </r>
  <r>
    <n v="639"/>
    <s v="Female"/>
    <n v="6.1"/>
    <n v="54.8"/>
    <n v="4.5999999999999996"/>
    <s v="Masters"/>
    <s v="Yes"/>
    <s v="No"/>
    <s v="No"/>
    <n v="83"/>
    <n v="84"/>
    <x v="1"/>
    <s v="B"/>
    <m/>
  </r>
  <r>
    <n v="640"/>
    <s v="Female"/>
    <n v="4.2"/>
    <n v="86.8"/>
    <n v="6.3"/>
    <s v="None"/>
    <s v="No"/>
    <s v="No"/>
    <s v="Yes"/>
    <n v="70.5"/>
    <n v="79"/>
    <x v="5"/>
    <s v="C"/>
    <m/>
  </r>
  <r>
    <n v="641"/>
    <s v="Female"/>
    <n v="3.6"/>
    <n v="100"/>
    <n v="7"/>
    <s v="Bachelors"/>
    <s v="Yes"/>
    <s v="Yes"/>
    <s v="No"/>
    <n v="64.2"/>
    <n v="86"/>
    <x v="4"/>
    <s v="B"/>
    <m/>
  </r>
  <r>
    <n v="642"/>
    <s v="Female"/>
    <n v="3.7"/>
    <n v="97.4"/>
    <n v="7.3"/>
    <s v="High School"/>
    <s v="Yes"/>
    <s v="Yes"/>
    <s v="No"/>
    <n v="67"/>
    <n v="98"/>
    <x v="0"/>
    <s v="A"/>
    <m/>
  </r>
  <r>
    <n v="643"/>
    <s v="Female"/>
    <n v="4.4000000000000004"/>
    <n v="87.1"/>
    <n v="6.2"/>
    <s v="None"/>
    <s v="Yes"/>
    <s v="Yes"/>
    <s v="No"/>
    <n v="68"/>
    <n v="91"/>
    <x v="6"/>
    <s v="A"/>
    <m/>
  </r>
  <r>
    <n v="644"/>
    <s v="Male"/>
    <n v="2"/>
    <n v="80.099999999999994"/>
    <n v="6.8"/>
    <s v="Bachelors"/>
    <s v="No"/>
    <s v="Yes"/>
    <s v="No"/>
    <n v="77.2"/>
    <n v="70"/>
    <x v="3"/>
    <s v="C"/>
    <m/>
  </r>
  <r>
    <n v="645"/>
    <s v="Female"/>
    <n v="3.1"/>
    <n v="93.1"/>
    <n v="3.8"/>
    <s v="Bachelors"/>
    <s v="Yes"/>
    <s v="No"/>
    <s v="Yes"/>
    <n v="86.5"/>
    <n v="83"/>
    <x v="1"/>
    <s v="B"/>
    <m/>
  </r>
  <r>
    <n v="646"/>
    <s v="Male"/>
    <n v="1"/>
    <n v="75.3"/>
    <n v="6"/>
    <s v="Bachelors"/>
    <s v="Yes"/>
    <s v="Yes"/>
    <s v="Yes"/>
    <n v="74.3"/>
    <n v="76"/>
    <x v="5"/>
    <s v="C"/>
    <m/>
  </r>
  <r>
    <n v="647"/>
    <s v="Male"/>
    <n v="4.0999999999999996"/>
    <n v="89.8"/>
    <n v="7.3"/>
    <s v="None"/>
    <s v="Yes"/>
    <s v="Yes"/>
    <s v="No"/>
    <n v="84.2"/>
    <n v="100"/>
    <x v="0"/>
    <s v="A"/>
    <m/>
  </r>
  <r>
    <n v="648"/>
    <s v="Male"/>
    <n v="4.5"/>
    <n v="90.1"/>
    <n v="5.6"/>
    <s v="Bachelors"/>
    <s v="Yes"/>
    <s v="No"/>
    <s v="No"/>
    <n v="58.4"/>
    <n v="94"/>
    <x v="6"/>
    <s v="A"/>
    <m/>
  </r>
  <r>
    <n v="649"/>
    <s v="Female"/>
    <n v="2.8"/>
    <n v="95.6"/>
    <n v="6.9"/>
    <s v="Masters"/>
    <s v="Yes"/>
    <s v="Yes"/>
    <s v="No"/>
    <n v="65"/>
    <n v="89"/>
    <x v="4"/>
    <s v="B"/>
    <m/>
  </r>
  <r>
    <n v="650"/>
    <s v="Male"/>
    <n v="5.9"/>
    <n v="100"/>
    <n v="7.3"/>
    <s v="Masters"/>
    <s v="Yes"/>
    <s v="Yes"/>
    <s v="No"/>
    <n v="61.3"/>
    <n v="97"/>
    <x v="0"/>
    <s v="A"/>
    <m/>
  </r>
  <r>
    <n v="651"/>
    <s v="Male"/>
    <n v="1.7"/>
    <n v="88.9"/>
    <n v="6.4"/>
    <s v="High School"/>
    <s v="Yes"/>
    <s v="No"/>
    <s v="No"/>
    <n v="73.8"/>
    <n v="60"/>
    <x v="7"/>
    <s v="F"/>
    <m/>
  </r>
  <r>
    <n v="652"/>
    <s v="Female"/>
    <n v="1.3"/>
    <n v="79.900000000000006"/>
    <n v="7"/>
    <s v="Bachelors"/>
    <s v="Yes"/>
    <s v="No"/>
    <s v="No"/>
    <n v="65.7"/>
    <n v="73"/>
    <x v="3"/>
    <s v="C"/>
    <m/>
  </r>
  <r>
    <n v="653"/>
    <s v="Male"/>
    <n v="3.8"/>
    <n v="84.7"/>
    <n v="5.6"/>
    <s v="Masters"/>
    <s v="Yes"/>
    <s v="No"/>
    <s v="No"/>
    <n v="78.8"/>
    <n v="88"/>
    <x v="4"/>
    <s v="B"/>
    <m/>
  </r>
  <r>
    <n v="654"/>
    <s v="Male"/>
    <n v="5.0999999999999996"/>
    <n v="67.3"/>
    <n v="6.6"/>
    <s v="Bachelors"/>
    <s v="No"/>
    <s v="Yes"/>
    <s v="Yes"/>
    <n v="58.8"/>
    <n v="75"/>
    <x v="5"/>
    <s v="C"/>
    <m/>
  </r>
  <r>
    <n v="655"/>
    <s v="Female"/>
    <n v="6"/>
    <n v="78.099999999999994"/>
    <n v="7.5"/>
    <s v="Masters"/>
    <s v="No"/>
    <s v="No"/>
    <s v="No"/>
    <n v="70.5"/>
    <n v="90"/>
    <x v="6"/>
    <s v="B"/>
    <m/>
  </r>
  <r>
    <n v="656"/>
    <s v="Male"/>
    <n v="2.8"/>
    <n v="80.900000000000006"/>
    <n v="7"/>
    <s v="None"/>
    <s v="Yes"/>
    <s v="No"/>
    <s v="Yes"/>
    <n v="78.2"/>
    <n v="73"/>
    <x v="3"/>
    <s v="C"/>
    <m/>
  </r>
  <r>
    <n v="657"/>
    <s v="Male"/>
    <n v="5.0999999999999996"/>
    <n v="79.8"/>
    <n v="6.1"/>
    <s v="Bachelors"/>
    <s v="Yes"/>
    <s v="Yes"/>
    <s v="No"/>
    <n v="45.2"/>
    <n v="84"/>
    <x v="1"/>
    <s v="B"/>
    <m/>
  </r>
  <r>
    <n v="658"/>
    <s v="Male"/>
    <n v="3.4"/>
    <n v="86.5"/>
    <n v="7.1"/>
    <s v="Masters"/>
    <s v="Yes"/>
    <s v="Yes"/>
    <s v="No"/>
    <n v="95.5"/>
    <n v="100"/>
    <x v="0"/>
    <s v="A"/>
    <m/>
  </r>
  <r>
    <n v="659"/>
    <s v="Female"/>
    <n v="3.2"/>
    <n v="76.8"/>
    <n v="7.7"/>
    <s v="Masters"/>
    <s v="Yes"/>
    <s v="No"/>
    <s v="No"/>
    <n v="66.599999999999994"/>
    <n v="84"/>
    <x v="1"/>
    <s v="B"/>
    <m/>
  </r>
  <r>
    <n v="660"/>
    <s v="Female"/>
    <n v="4.8"/>
    <n v="96.2"/>
    <n v="4.3"/>
    <s v="Masters"/>
    <s v="Yes"/>
    <s v="Yes"/>
    <s v="Yes"/>
    <n v="45.7"/>
    <n v="85"/>
    <x v="4"/>
    <s v="B"/>
    <m/>
  </r>
  <r>
    <n v="661"/>
    <s v="Female"/>
    <n v="4.5"/>
    <n v="85"/>
    <n v="8.1999999999999993"/>
    <s v="Bachelors"/>
    <s v="Yes"/>
    <s v="No"/>
    <s v="No"/>
    <n v="71.900000000000006"/>
    <n v="95"/>
    <x v="0"/>
    <s v="A"/>
    <m/>
  </r>
  <r>
    <n v="662"/>
    <s v="Male"/>
    <n v="1.1000000000000001"/>
    <n v="84.9"/>
    <n v="6.4"/>
    <s v="High School"/>
    <s v="Yes"/>
    <s v="Yes"/>
    <s v="Yes"/>
    <n v="70.400000000000006"/>
    <n v="69"/>
    <x v="2"/>
    <s v="D"/>
    <m/>
  </r>
  <r>
    <n v="663"/>
    <s v="Male"/>
    <n v="5.7"/>
    <n v="81.7"/>
    <n v="7.3"/>
    <s v="Bachelors"/>
    <s v="Yes"/>
    <s v="Yes"/>
    <s v="No"/>
    <n v="69"/>
    <n v="94"/>
    <x v="6"/>
    <s v="A"/>
    <m/>
  </r>
  <r>
    <n v="664"/>
    <s v="Female"/>
    <n v="5.6"/>
    <n v="86.6"/>
    <n v="8.1999999999999993"/>
    <s v="Masters"/>
    <s v="Yes"/>
    <s v="Yes"/>
    <s v="Yes"/>
    <n v="81.900000000000006"/>
    <n v="100"/>
    <x v="0"/>
    <s v="A"/>
    <m/>
  </r>
  <r>
    <n v="665"/>
    <s v="Male"/>
    <n v="2.6"/>
    <n v="93.3"/>
    <n v="5.2"/>
    <s v="Bachelors"/>
    <s v="Yes"/>
    <s v="No"/>
    <s v="No"/>
    <n v="79"/>
    <n v="86"/>
    <x v="4"/>
    <s v="B"/>
    <m/>
  </r>
  <r>
    <n v="666"/>
    <s v="Male"/>
    <n v="4.0999999999999996"/>
    <n v="76.3"/>
    <n v="5.9"/>
    <s v="Masters"/>
    <s v="Yes"/>
    <s v="Yes"/>
    <s v="No"/>
    <n v="73.599999999999994"/>
    <n v="92"/>
    <x v="6"/>
    <s v="A"/>
    <m/>
  </r>
  <r>
    <n v="667"/>
    <s v="Female"/>
    <n v="4.2"/>
    <n v="78.400000000000006"/>
    <n v="6.5"/>
    <s v="Bachelors"/>
    <s v="Yes"/>
    <s v="Yes"/>
    <s v="No"/>
    <n v="75.400000000000006"/>
    <n v="92"/>
    <x v="6"/>
    <s v="A"/>
    <m/>
  </r>
  <r>
    <n v="668"/>
    <s v="Female"/>
    <n v="3.9"/>
    <n v="82"/>
    <n v="5.9"/>
    <s v="Bachelors"/>
    <s v="Yes"/>
    <s v="No"/>
    <s v="No"/>
    <n v="68.7"/>
    <n v="96"/>
    <x v="0"/>
    <s v="A"/>
    <m/>
  </r>
  <r>
    <n v="669"/>
    <s v="Male"/>
    <n v="2.7"/>
    <n v="71.5"/>
    <n v="8.9"/>
    <s v="High School"/>
    <s v="Yes"/>
    <s v="No"/>
    <s v="Yes"/>
    <n v="91.3"/>
    <n v="98"/>
    <x v="0"/>
    <s v="A"/>
    <m/>
  </r>
  <r>
    <n v="670"/>
    <s v="Male"/>
    <n v="2.5"/>
    <n v="76.8"/>
    <n v="5.8"/>
    <s v="Masters"/>
    <s v="Yes"/>
    <s v="No"/>
    <s v="Yes"/>
    <n v="52.2"/>
    <n v="66"/>
    <x v="2"/>
    <s v="D"/>
    <m/>
  </r>
  <r>
    <n v="671"/>
    <s v="Male"/>
    <n v="3.5"/>
    <n v="80.2"/>
    <n v="6.1"/>
    <s v="Bachelors"/>
    <s v="Yes"/>
    <s v="Yes"/>
    <s v="No"/>
    <n v="71.7"/>
    <n v="61"/>
    <x v="7"/>
    <s v="D"/>
    <m/>
  </r>
  <r>
    <n v="672"/>
    <s v="Female"/>
    <n v="5.3"/>
    <n v="93.7"/>
    <n v="7"/>
    <s v="High School"/>
    <s v="No"/>
    <s v="Yes"/>
    <s v="No"/>
    <n v="70.8"/>
    <n v="100"/>
    <x v="0"/>
    <s v="A"/>
    <m/>
  </r>
  <r>
    <n v="673"/>
    <s v="Female"/>
    <n v="4.3"/>
    <n v="87.6"/>
    <n v="5.4"/>
    <s v="High School"/>
    <s v="Yes"/>
    <s v="No"/>
    <s v="Yes"/>
    <n v="79.8"/>
    <n v="85"/>
    <x v="4"/>
    <s v="B"/>
    <m/>
  </r>
  <r>
    <n v="674"/>
    <s v="Female"/>
    <n v="2.9"/>
    <n v="86.9"/>
    <n v="6.3"/>
    <s v="Masters"/>
    <s v="Yes"/>
    <s v="No"/>
    <s v="No"/>
    <n v="59.9"/>
    <n v="73"/>
    <x v="3"/>
    <s v="C"/>
    <m/>
  </r>
  <r>
    <n v="675"/>
    <s v="Female"/>
    <n v="4.7"/>
    <n v="93.5"/>
    <n v="7.2"/>
    <s v="Bachelors"/>
    <s v="Yes"/>
    <s v="Yes"/>
    <s v="No"/>
    <n v="49.1"/>
    <n v="84"/>
    <x v="1"/>
    <s v="B"/>
    <m/>
  </r>
  <r>
    <n v="676"/>
    <s v="Male"/>
    <n v="0.5"/>
    <n v="83.6"/>
    <n v="6.4"/>
    <s v="High School"/>
    <s v="No"/>
    <s v="Yes"/>
    <s v="Yes"/>
    <n v="71.900000000000006"/>
    <n v="61"/>
    <x v="7"/>
    <s v="D"/>
    <m/>
  </r>
  <r>
    <n v="677"/>
    <s v="Female"/>
    <n v="5.2"/>
    <n v="88.9"/>
    <n v="6.7"/>
    <s v="None"/>
    <s v="No"/>
    <s v="No"/>
    <s v="Yes"/>
    <n v="73.400000000000006"/>
    <n v="91"/>
    <x v="6"/>
    <s v="A"/>
    <m/>
  </r>
  <r>
    <n v="678"/>
    <s v="Female"/>
    <n v="0.9"/>
    <n v="84"/>
    <n v="6.2"/>
    <s v="Masters"/>
    <s v="Yes"/>
    <s v="Yes"/>
    <s v="Yes"/>
    <n v="87.9"/>
    <n v="68"/>
    <x v="2"/>
    <s v="D"/>
    <m/>
  </r>
  <r>
    <n v="679"/>
    <s v="Female"/>
    <n v="3"/>
    <n v="87.7"/>
    <n v="5"/>
    <s v="None"/>
    <s v="No"/>
    <s v="No"/>
    <s v="No"/>
    <n v="54.8"/>
    <n v="64"/>
    <x v="7"/>
    <s v="D"/>
    <m/>
  </r>
  <r>
    <n v="680"/>
    <s v="Female"/>
    <n v="1.8"/>
    <n v="79.2"/>
    <n v="7.2"/>
    <s v="Bachelors"/>
    <s v="Yes"/>
    <s v="Yes"/>
    <s v="No"/>
    <n v="83.9"/>
    <n v="84"/>
    <x v="1"/>
    <s v="B"/>
    <m/>
  </r>
  <r>
    <n v="681"/>
    <s v="Female"/>
    <n v="1.6"/>
    <n v="60.6"/>
    <n v="8.9"/>
    <s v="Bachelors"/>
    <s v="Yes"/>
    <s v="Yes"/>
    <s v="No"/>
    <n v="98.4"/>
    <n v="86"/>
    <x v="4"/>
    <s v="B"/>
    <m/>
  </r>
  <r>
    <n v="682"/>
    <s v="Male"/>
    <n v="5.2"/>
    <n v="83.7"/>
    <n v="6.8"/>
    <s v="PhD"/>
    <s v="Yes"/>
    <s v="No"/>
    <s v="No"/>
    <n v="65.5"/>
    <n v="94"/>
    <x v="6"/>
    <s v="A"/>
    <m/>
  </r>
  <r>
    <n v="683"/>
    <s v="Male"/>
    <n v="2.8"/>
    <n v="99.2"/>
    <n v="7.1"/>
    <s v="Bachelors"/>
    <s v="Yes"/>
    <s v="Yes"/>
    <s v="Yes"/>
    <n v="54.5"/>
    <n v="74"/>
    <x v="3"/>
    <s v="C"/>
    <m/>
  </r>
  <r>
    <n v="684"/>
    <s v="Female"/>
    <n v="4"/>
    <n v="94.3"/>
    <n v="7.6"/>
    <s v="Masters"/>
    <s v="No"/>
    <s v="Yes"/>
    <s v="No"/>
    <n v="65.099999999999994"/>
    <n v="79"/>
    <x v="5"/>
    <s v="C"/>
    <m/>
  </r>
  <r>
    <n v="685"/>
    <s v="Male"/>
    <n v="3.4"/>
    <n v="94.7"/>
    <n v="5.3"/>
    <s v="High School"/>
    <s v="Yes"/>
    <s v="Yes"/>
    <s v="No"/>
    <n v="70.2"/>
    <n v="84"/>
    <x v="1"/>
    <s v="B"/>
    <m/>
  </r>
  <r>
    <n v="686"/>
    <s v="Female"/>
    <n v="4.2"/>
    <n v="97.4"/>
    <n v="8.8000000000000007"/>
    <s v="Bachelors"/>
    <s v="No"/>
    <s v="Yes"/>
    <s v="Yes"/>
    <n v="76.8"/>
    <n v="92"/>
    <x v="6"/>
    <s v="A"/>
    <m/>
  </r>
  <r>
    <n v="687"/>
    <s v="Female"/>
    <n v="3.6"/>
    <n v="85.9"/>
    <n v="7"/>
    <s v="High School"/>
    <s v="Yes"/>
    <s v="No"/>
    <s v="No"/>
    <n v="62.9"/>
    <n v="92"/>
    <x v="6"/>
    <s v="A"/>
    <m/>
  </r>
  <r>
    <n v="688"/>
    <s v="Male"/>
    <n v="1.6"/>
    <n v="87"/>
    <n v="8.8000000000000007"/>
    <s v="High School"/>
    <s v="Yes"/>
    <s v="No"/>
    <s v="No"/>
    <n v="88.7"/>
    <n v="74"/>
    <x v="3"/>
    <s v="C"/>
    <m/>
  </r>
  <r>
    <n v="689"/>
    <s v="Male"/>
    <n v="5"/>
    <n v="78.8"/>
    <n v="5.9"/>
    <s v="High School"/>
    <s v="Yes"/>
    <s v="No"/>
    <s v="No"/>
    <n v="56.6"/>
    <n v="82"/>
    <x v="1"/>
    <s v="B"/>
    <m/>
  </r>
  <r>
    <n v="690"/>
    <s v="Female"/>
    <n v="2.8"/>
    <n v="81.8"/>
    <n v="9"/>
    <s v="High School"/>
    <s v="Yes"/>
    <s v="Yes"/>
    <s v="No"/>
    <n v="49.1"/>
    <n v="68"/>
    <x v="2"/>
    <s v="D"/>
    <m/>
  </r>
  <r>
    <n v="691"/>
    <s v="Female"/>
    <n v="1.2"/>
    <n v="91.2"/>
    <n v="7.7"/>
    <s v="None"/>
    <s v="Yes"/>
    <s v="Yes"/>
    <s v="Yes"/>
    <n v="83.3"/>
    <n v="71"/>
    <x v="3"/>
    <s v="C"/>
    <m/>
  </r>
  <r>
    <n v="692"/>
    <s v="Female"/>
    <n v="2.9"/>
    <n v="97"/>
    <n v="7.5"/>
    <s v="High School"/>
    <s v="Yes"/>
    <s v="Yes"/>
    <s v="Yes"/>
    <n v="42.7"/>
    <n v="80"/>
    <x v="1"/>
    <s v="C"/>
    <m/>
  </r>
  <r>
    <n v="693"/>
    <s v="Male"/>
    <n v="5.8"/>
    <n v="83.6"/>
    <n v="7.1"/>
    <s v="Masters"/>
    <s v="No"/>
    <s v="No"/>
    <s v="No"/>
    <n v="67.599999999999994"/>
    <n v="92"/>
    <x v="6"/>
    <s v="A"/>
    <m/>
  </r>
  <r>
    <n v="694"/>
    <s v="Female"/>
    <n v="4.8"/>
    <n v="80.5"/>
    <n v="6.5"/>
    <s v="Masters"/>
    <s v="Yes"/>
    <s v="No"/>
    <s v="Yes"/>
    <n v="100"/>
    <n v="100"/>
    <x v="0"/>
    <s v="A"/>
    <m/>
  </r>
  <r>
    <n v="695"/>
    <s v="Female"/>
    <n v="3"/>
    <n v="85"/>
    <n v="8.1999999999999993"/>
    <s v="Bachelors"/>
    <s v="Yes"/>
    <s v="No"/>
    <s v="No"/>
    <n v="69.900000000000006"/>
    <n v="90"/>
    <x v="6"/>
    <s v="B"/>
    <m/>
  </r>
  <r>
    <n v="696"/>
    <s v="Female"/>
    <n v="3"/>
    <n v="91"/>
    <n v="7"/>
    <s v="High School"/>
    <s v="Yes"/>
    <s v="Yes"/>
    <s v="No"/>
    <n v="56.6"/>
    <n v="78"/>
    <x v="5"/>
    <s v="C"/>
    <m/>
  </r>
  <r>
    <n v="697"/>
    <s v="Male"/>
    <n v="3"/>
    <n v="70.599999999999994"/>
    <n v="4.4000000000000004"/>
    <s v="Masters"/>
    <s v="Yes"/>
    <s v="Yes"/>
    <s v="No"/>
    <n v="69.3"/>
    <n v="73"/>
    <x v="3"/>
    <s v="C"/>
    <m/>
  </r>
  <r>
    <n v="698"/>
    <s v="Female"/>
    <n v="6.6"/>
    <n v="62"/>
    <n v="5.5"/>
    <s v="Bachelors"/>
    <s v="No"/>
    <s v="Yes"/>
    <s v="No"/>
    <n v="69.400000000000006"/>
    <n v="98"/>
    <x v="0"/>
    <s v="A"/>
    <m/>
  </r>
  <r>
    <n v="699"/>
    <s v="Female"/>
    <n v="4.0999999999999996"/>
    <n v="79.5"/>
    <n v="6.6"/>
    <s v="Masters"/>
    <s v="Yes"/>
    <s v="Yes"/>
    <s v="No"/>
    <n v="71.900000000000006"/>
    <n v="86"/>
    <x v="4"/>
    <s v="B"/>
    <m/>
  </r>
  <r>
    <n v="700"/>
    <s v="Male"/>
    <n v="4.0999999999999996"/>
    <n v="72.8"/>
    <n v="7.2"/>
    <s v="Masters"/>
    <s v="Yes"/>
    <s v="Yes"/>
    <s v="No"/>
    <n v="77.900000000000006"/>
    <n v="92"/>
    <x v="6"/>
    <s v="A"/>
    <m/>
  </r>
  <r>
    <n v="701"/>
    <s v="Female"/>
    <n v="5"/>
    <n v="79.900000000000006"/>
    <n v="6.7"/>
    <s v="None"/>
    <s v="Yes"/>
    <s v="No"/>
    <s v="No"/>
    <n v="57.5"/>
    <n v="85"/>
    <x v="4"/>
    <s v="B"/>
    <m/>
  </r>
  <r>
    <n v="702"/>
    <s v="Female"/>
    <n v="3.9"/>
    <n v="83.5"/>
    <n v="8.3000000000000007"/>
    <s v="Bachelors"/>
    <s v="Yes"/>
    <s v="Yes"/>
    <s v="Yes"/>
    <n v="90.3"/>
    <n v="83"/>
    <x v="1"/>
    <s v="B"/>
    <m/>
  </r>
  <r>
    <n v="703"/>
    <s v="Male"/>
    <n v="3.1"/>
    <n v="80.5"/>
    <n v="4.5"/>
    <s v="High School"/>
    <s v="Yes"/>
    <s v="Yes"/>
    <s v="Yes"/>
    <n v="72.900000000000006"/>
    <n v="65"/>
    <x v="2"/>
    <s v="D"/>
    <m/>
  </r>
  <r>
    <n v="704"/>
    <s v="Female"/>
    <n v="3.2"/>
    <n v="99.5"/>
    <n v="7"/>
    <s v="Bachelors"/>
    <s v="Yes"/>
    <s v="Yes"/>
    <s v="No"/>
    <n v="78.7"/>
    <n v="90"/>
    <x v="6"/>
    <s v="B"/>
    <m/>
  </r>
  <r>
    <n v="705"/>
    <s v="Male"/>
    <n v="3.4"/>
    <n v="88.3"/>
    <n v="4.5999999999999996"/>
    <s v="High School"/>
    <s v="Yes"/>
    <s v="No"/>
    <s v="Yes"/>
    <n v="62.5"/>
    <n v="83"/>
    <x v="1"/>
    <s v="B"/>
    <m/>
  </r>
  <r>
    <n v="706"/>
    <s v="Male"/>
    <n v="3.4"/>
    <n v="88"/>
    <n v="7.7"/>
    <s v="PhD"/>
    <s v="Yes"/>
    <s v="No"/>
    <s v="Yes"/>
    <n v="85.4"/>
    <n v="94"/>
    <x v="6"/>
    <s v="A"/>
    <m/>
  </r>
  <r>
    <n v="707"/>
    <s v="Female"/>
    <n v="4.5999999999999996"/>
    <n v="91.2"/>
    <n v="6.7"/>
    <s v="High School"/>
    <s v="Yes"/>
    <s v="No"/>
    <s v="Yes"/>
    <n v="66.900000000000006"/>
    <n v="93"/>
    <x v="6"/>
    <s v="A"/>
    <m/>
  </r>
  <r>
    <n v="708"/>
    <s v="Female"/>
    <n v="3.6"/>
    <n v="73.599999999999994"/>
    <n v="7.3"/>
    <s v="High School"/>
    <s v="Yes"/>
    <s v="No"/>
    <s v="No"/>
    <n v="73.3"/>
    <n v="77"/>
    <x v="5"/>
    <s v="C"/>
    <m/>
  </r>
  <r>
    <n v="709"/>
    <s v="Female"/>
    <n v="4.5999999999999996"/>
    <n v="95.4"/>
    <n v="5.8"/>
    <s v="Masters"/>
    <s v="Yes"/>
    <s v="Yes"/>
    <s v="No"/>
    <n v="58.8"/>
    <n v="98"/>
    <x v="0"/>
    <s v="A"/>
    <m/>
  </r>
  <r>
    <n v="710"/>
    <s v="Female"/>
    <n v="3.4"/>
    <n v="84.2"/>
    <n v="8.3000000000000007"/>
    <s v="Bachelors"/>
    <s v="Yes"/>
    <s v="No"/>
    <s v="Yes"/>
    <n v="58"/>
    <n v="72"/>
    <x v="3"/>
    <s v="C"/>
    <m/>
  </r>
  <r>
    <n v="711"/>
    <s v="Male"/>
    <n v="3.6"/>
    <n v="91.7"/>
    <n v="8.1"/>
    <s v="Bachelors"/>
    <s v="Yes"/>
    <s v="Yes"/>
    <s v="No"/>
    <n v="78.3"/>
    <n v="95"/>
    <x v="0"/>
    <s v="A"/>
    <m/>
  </r>
  <r>
    <n v="712"/>
    <s v="Female"/>
    <n v="0.5"/>
    <n v="74.3"/>
    <n v="7.5"/>
    <s v="Bachelors"/>
    <s v="Yes"/>
    <s v="Yes"/>
    <s v="No"/>
    <n v="64.7"/>
    <n v="67"/>
    <x v="2"/>
    <s v="D"/>
    <m/>
  </r>
  <r>
    <n v="713"/>
    <s v="Male"/>
    <n v="4.9000000000000004"/>
    <n v="69.5"/>
    <n v="6.6"/>
    <s v="PhD"/>
    <s v="No"/>
    <s v="No"/>
    <s v="Yes"/>
    <n v="59.8"/>
    <n v="72"/>
    <x v="3"/>
    <s v="C"/>
    <m/>
  </r>
  <r>
    <n v="714"/>
    <s v="Female"/>
    <n v="4"/>
    <n v="93.2"/>
    <n v="7.5"/>
    <s v="High School"/>
    <s v="Yes"/>
    <s v="No"/>
    <s v="No"/>
    <n v="62.3"/>
    <n v="96"/>
    <x v="0"/>
    <s v="A"/>
    <m/>
  </r>
  <r>
    <n v="715"/>
    <s v="Female"/>
    <n v="5"/>
    <n v="88.8"/>
    <n v="6"/>
    <s v="PhD"/>
    <s v="Yes"/>
    <s v="Yes"/>
    <s v="No"/>
    <n v="78.400000000000006"/>
    <n v="92"/>
    <x v="6"/>
    <s v="A"/>
    <m/>
  </r>
  <r>
    <n v="716"/>
    <s v="Female"/>
    <n v="0.5"/>
    <n v="76"/>
    <n v="7.8"/>
    <s v="High School"/>
    <s v="No"/>
    <s v="Yes"/>
    <s v="No"/>
    <n v="62.5"/>
    <n v="54"/>
    <x v="9"/>
    <s v="F"/>
    <m/>
  </r>
  <r>
    <n v="717"/>
    <s v="Male"/>
    <n v="6.6"/>
    <n v="76.3"/>
    <n v="8.8000000000000007"/>
    <s v="Masters"/>
    <s v="Yes"/>
    <s v="Yes"/>
    <s v="No"/>
    <n v="68.599999999999994"/>
    <n v="99"/>
    <x v="0"/>
    <s v="A"/>
    <m/>
  </r>
  <r>
    <n v="718"/>
    <s v="Female"/>
    <n v="3.3"/>
    <n v="96.3"/>
    <n v="8.1"/>
    <s v="Masters"/>
    <s v="Yes"/>
    <s v="Yes"/>
    <s v="Yes"/>
    <n v="70.2"/>
    <n v="85"/>
    <x v="4"/>
    <s v="B"/>
    <m/>
  </r>
  <r>
    <n v="719"/>
    <s v="Female"/>
    <n v="5.2"/>
    <n v="73.099999999999994"/>
    <n v="5.9"/>
    <s v="High School"/>
    <s v="Yes"/>
    <s v="Yes"/>
    <s v="No"/>
    <n v="47"/>
    <n v="99"/>
    <x v="0"/>
    <s v="A"/>
    <m/>
  </r>
  <r>
    <n v="720"/>
    <s v="Female"/>
    <n v="1.9"/>
    <n v="100"/>
    <n v="7.2"/>
    <s v="Bachelors"/>
    <s v="Yes"/>
    <s v="Yes"/>
    <s v="Yes"/>
    <n v="52.3"/>
    <n v="78"/>
    <x v="5"/>
    <s v="C"/>
    <m/>
  </r>
  <r>
    <n v="721"/>
    <s v="Female"/>
    <n v="4.4000000000000004"/>
    <n v="76"/>
    <n v="5.2"/>
    <s v="High School"/>
    <s v="Yes"/>
    <s v="Yes"/>
    <s v="No"/>
    <n v="74"/>
    <n v="84"/>
    <x v="1"/>
    <s v="B"/>
    <m/>
  </r>
  <r>
    <n v="722"/>
    <s v="Male"/>
    <n v="1.9"/>
    <n v="91.4"/>
    <n v="7.5"/>
    <s v="Masters"/>
    <s v="Yes"/>
    <s v="No"/>
    <s v="No"/>
    <n v="61.2"/>
    <n v="71"/>
    <x v="3"/>
    <s v="C"/>
    <m/>
  </r>
  <r>
    <n v="723"/>
    <s v="Female"/>
    <n v="2.6"/>
    <n v="81.7"/>
    <n v="7.3"/>
    <s v="Bachelors"/>
    <s v="No"/>
    <s v="Yes"/>
    <s v="No"/>
    <n v="82.7"/>
    <n v="70"/>
    <x v="3"/>
    <s v="D"/>
    <m/>
  </r>
  <r>
    <n v="724"/>
    <s v="Male"/>
    <n v="6.4"/>
    <n v="91"/>
    <n v="4.5999999999999996"/>
    <s v="Bachelors"/>
    <s v="Yes"/>
    <s v="Yes"/>
    <s v="Yes"/>
    <n v="81.599999999999994"/>
    <n v="94"/>
    <x v="6"/>
    <s v="A"/>
    <m/>
  </r>
  <r>
    <n v="725"/>
    <s v="Male"/>
    <n v="3.2"/>
    <n v="79.599999999999994"/>
    <n v="5.4"/>
    <s v="High School"/>
    <s v="Yes"/>
    <s v="Yes"/>
    <s v="No"/>
    <n v="78.599999999999994"/>
    <n v="85"/>
    <x v="4"/>
    <s v="B"/>
    <m/>
  </r>
  <r>
    <n v="726"/>
    <s v="Male"/>
    <n v="3.8"/>
    <n v="83.4"/>
    <n v="6.5"/>
    <s v="High School"/>
    <s v="Yes"/>
    <s v="No"/>
    <s v="No"/>
    <n v="91.8"/>
    <n v="100"/>
    <x v="0"/>
    <s v="A"/>
    <m/>
  </r>
  <r>
    <n v="727"/>
    <s v="Male"/>
    <n v="4.8"/>
    <n v="85.4"/>
    <n v="6.4"/>
    <s v="High School"/>
    <s v="Yes"/>
    <s v="Yes"/>
    <s v="No"/>
    <n v="69"/>
    <n v="98"/>
    <x v="0"/>
    <s v="A"/>
    <m/>
  </r>
  <r>
    <n v="728"/>
    <s v="Male"/>
    <n v="4.2"/>
    <n v="75"/>
    <n v="5.3"/>
    <s v="High School"/>
    <s v="Yes"/>
    <s v="Yes"/>
    <s v="No"/>
    <n v="77.8"/>
    <n v="88"/>
    <x v="4"/>
    <s v="B"/>
    <m/>
  </r>
  <r>
    <n v="729"/>
    <s v="Male"/>
    <n v="3.7"/>
    <n v="92.4"/>
    <n v="7.3"/>
    <s v="Bachelors"/>
    <s v="Yes"/>
    <s v="Yes"/>
    <s v="No"/>
    <n v="63"/>
    <n v="85"/>
    <x v="4"/>
    <s v="B"/>
    <m/>
  </r>
  <r>
    <n v="730"/>
    <s v="Female"/>
    <n v="4"/>
    <n v="79.900000000000006"/>
    <n v="7.1"/>
    <s v="PhD"/>
    <s v="Yes"/>
    <s v="No"/>
    <s v="No"/>
    <n v="99.4"/>
    <n v="99"/>
    <x v="0"/>
    <s v="A"/>
    <m/>
  </r>
  <r>
    <n v="731"/>
    <s v="Male"/>
    <n v="7.1"/>
    <n v="82.7"/>
    <n v="6.6"/>
    <s v="Masters"/>
    <s v="Yes"/>
    <s v="No"/>
    <s v="No"/>
    <n v="93.8"/>
    <n v="100"/>
    <x v="0"/>
    <s v="A"/>
    <m/>
  </r>
  <r>
    <n v="732"/>
    <s v="Male"/>
    <n v="3.4"/>
    <n v="75.099999999999994"/>
    <n v="5.9"/>
    <s v="Bachelors"/>
    <s v="No"/>
    <s v="No"/>
    <s v="No"/>
    <n v="70.099999999999994"/>
    <n v="85"/>
    <x v="4"/>
    <s v="B"/>
    <m/>
  </r>
  <r>
    <n v="733"/>
    <s v="Male"/>
    <n v="3.8"/>
    <n v="59.4"/>
    <n v="8.1"/>
    <s v="None"/>
    <s v="No"/>
    <s v="No"/>
    <s v="No"/>
    <n v="74.599999999999994"/>
    <n v="74"/>
    <x v="3"/>
    <s v="C"/>
    <m/>
  </r>
  <r>
    <n v="734"/>
    <s v="Female"/>
    <n v="5.0999999999999996"/>
    <n v="83.1"/>
    <n v="8.8000000000000007"/>
    <s v="Masters"/>
    <s v="Yes"/>
    <s v="No"/>
    <s v="No"/>
    <n v="86.3"/>
    <n v="100"/>
    <x v="0"/>
    <s v="A"/>
    <m/>
  </r>
  <r>
    <n v="735"/>
    <s v="Female"/>
    <n v="5.2"/>
    <n v="100"/>
    <n v="6.2"/>
    <s v="None"/>
    <s v="Yes"/>
    <s v="No"/>
    <s v="Yes"/>
    <n v="68.2"/>
    <n v="80"/>
    <x v="1"/>
    <s v="C"/>
    <m/>
  </r>
  <r>
    <n v="736"/>
    <s v="Male"/>
    <n v="5.3"/>
    <n v="92.8"/>
    <n v="6.1"/>
    <s v="Bachelors"/>
    <s v="Yes"/>
    <s v="Yes"/>
    <s v="No"/>
    <n v="62.1"/>
    <n v="91"/>
    <x v="6"/>
    <s v="A"/>
    <m/>
  </r>
  <r>
    <n v="737"/>
    <s v="Female"/>
    <n v="4.5"/>
    <n v="84.8"/>
    <n v="7.4"/>
    <s v="High School"/>
    <s v="No"/>
    <s v="Yes"/>
    <s v="No"/>
    <n v="80.5"/>
    <n v="95"/>
    <x v="0"/>
    <s v="A"/>
    <m/>
  </r>
  <r>
    <n v="738"/>
    <s v="Male"/>
    <n v="1.8"/>
    <n v="82.4"/>
    <n v="6.4"/>
    <s v="High School"/>
    <s v="Yes"/>
    <s v="No"/>
    <s v="Yes"/>
    <n v="70.900000000000006"/>
    <n v="67"/>
    <x v="2"/>
    <s v="D"/>
    <m/>
  </r>
  <r>
    <n v="739"/>
    <s v="Male"/>
    <n v="6"/>
    <n v="85.2"/>
    <n v="6.6"/>
    <s v="Masters"/>
    <s v="Yes"/>
    <s v="Yes"/>
    <s v="No"/>
    <n v="72.2"/>
    <n v="93"/>
    <x v="6"/>
    <s v="A"/>
    <m/>
  </r>
  <r>
    <n v="740"/>
    <s v="Female"/>
    <n v="1.8"/>
    <n v="90.5"/>
    <n v="7.7"/>
    <s v="High School"/>
    <s v="Yes"/>
    <s v="Yes"/>
    <s v="No"/>
    <n v="60"/>
    <n v="82"/>
    <x v="1"/>
    <s v="B"/>
    <m/>
  </r>
  <r>
    <n v="741"/>
    <s v="Male"/>
    <n v="4"/>
    <n v="73.2"/>
    <n v="4.5"/>
    <s v="High School"/>
    <s v="Yes"/>
    <s v="No"/>
    <s v="No"/>
    <n v="49.4"/>
    <n v="63"/>
    <x v="7"/>
    <s v="D"/>
    <m/>
  </r>
  <r>
    <n v="742"/>
    <s v="Female"/>
    <n v="2.4"/>
    <n v="96.1"/>
    <n v="8.4"/>
    <s v="Bachelors"/>
    <s v="Yes"/>
    <s v="Yes"/>
    <s v="No"/>
    <n v="72.8"/>
    <n v="94"/>
    <x v="6"/>
    <s v="A"/>
    <m/>
  </r>
  <r>
    <n v="743"/>
    <s v="Female"/>
    <n v="3.4"/>
    <n v="92.2"/>
    <n v="6.9"/>
    <s v="Bachelors"/>
    <s v="Yes"/>
    <s v="No"/>
    <s v="Yes"/>
    <n v="80.900000000000006"/>
    <n v="85"/>
    <x v="4"/>
    <s v="B"/>
    <m/>
  </r>
  <r>
    <n v="744"/>
    <s v="Male"/>
    <n v="4"/>
    <n v="92.2"/>
    <n v="6.3"/>
    <s v="Bachelors"/>
    <s v="Yes"/>
    <s v="No"/>
    <s v="Yes"/>
    <n v="67.3"/>
    <n v="82"/>
    <x v="1"/>
    <s v="B"/>
    <m/>
  </r>
  <r>
    <n v="745"/>
    <s v="Male"/>
    <n v="4"/>
    <n v="89.4"/>
    <n v="6.7"/>
    <s v="High School"/>
    <s v="Yes"/>
    <s v="Yes"/>
    <s v="No"/>
    <n v="87.2"/>
    <n v="90"/>
    <x v="6"/>
    <s v="B"/>
    <m/>
  </r>
  <r>
    <n v="746"/>
    <s v="Female"/>
    <n v="4.0999999999999996"/>
    <n v="85.2"/>
    <n v="6.8"/>
    <s v="Bachelors"/>
    <s v="Yes"/>
    <s v="No"/>
    <s v="Yes"/>
    <n v="61.6"/>
    <n v="83"/>
    <x v="1"/>
    <s v="B"/>
    <m/>
  </r>
  <r>
    <n v="747"/>
    <s v="Male"/>
    <n v="5.9"/>
    <n v="91.7"/>
    <n v="4.7"/>
    <s v="Bachelors"/>
    <s v="Yes"/>
    <s v="Yes"/>
    <s v="Yes"/>
    <n v="57.3"/>
    <n v="100"/>
    <x v="0"/>
    <s v="A"/>
    <m/>
  </r>
  <r>
    <n v="748"/>
    <s v="Male"/>
    <n v="4.2"/>
    <n v="90.9"/>
    <n v="8.6"/>
    <s v="None"/>
    <s v="No"/>
    <s v="Yes"/>
    <s v="No"/>
    <n v="69.2"/>
    <n v="92"/>
    <x v="6"/>
    <s v="A"/>
    <m/>
  </r>
  <r>
    <n v="749"/>
    <s v="Male"/>
    <n v="3.1"/>
    <n v="81.5"/>
    <n v="6.8"/>
    <s v="Masters"/>
    <s v="Yes"/>
    <s v="Yes"/>
    <s v="No"/>
    <n v="69"/>
    <n v="77"/>
    <x v="5"/>
    <s v="C"/>
    <m/>
  </r>
  <r>
    <n v="750"/>
    <s v="Female"/>
    <n v="4.9000000000000004"/>
    <n v="79.3"/>
    <n v="7.3"/>
    <s v="None"/>
    <s v="No"/>
    <s v="No"/>
    <s v="No"/>
    <n v="79.2"/>
    <n v="95"/>
    <x v="0"/>
    <s v="A"/>
    <m/>
  </r>
  <r>
    <n v="751"/>
    <s v="Female"/>
    <n v="5.3"/>
    <n v="86"/>
    <n v="7.9"/>
    <s v="Masters"/>
    <s v="Yes"/>
    <s v="No"/>
    <s v="No"/>
    <n v="60.7"/>
    <n v="89"/>
    <x v="4"/>
    <s v="B"/>
    <m/>
  </r>
  <r>
    <n v="752"/>
    <s v="Male"/>
    <n v="1.7"/>
    <n v="100"/>
    <n v="5.6"/>
    <s v="Bachelors"/>
    <s v="Yes"/>
    <s v="Yes"/>
    <s v="Yes"/>
    <n v="86.4"/>
    <n v="93"/>
    <x v="6"/>
    <s v="A"/>
    <m/>
  </r>
  <r>
    <n v="753"/>
    <s v="Female"/>
    <n v="4.4000000000000004"/>
    <n v="72.599999999999994"/>
    <n v="7.4"/>
    <s v="High School"/>
    <s v="Yes"/>
    <s v="No"/>
    <s v="Yes"/>
    <n v="93.6"/>
    <n v="96"/>
    <x v="0"/>
    <s v="A"/>
    <m/>
  </r>
  <r>
    <n v="754"/>
    <s v="Female"/>
    <n v="4.5999999999999996"/>
    <n v="70.3"/>
    <n v="6.5"/>
    <s v="Masters"/>
    <s v="Yes"/>
    <s v="Yes"/>
    <s v="No"/>
    <n v="69.5"/>
    <n v="67"/>
    <x v="2"/>
    <s v="D"/>
    <m/>
  </r>
  <r>
    <n v="755"/>
    <s v="Female"/>
    <n v="3.1"/>
    <n v="86.6"/>
    <n v="7.8"/>
    <s v="Bachelors"/>
    <s v="Yes"/>
    <s v="No"/>
    <s v="No"/>
    <n v="85"/>
    <n v="85"/>
    <x v="4"/>
    <s v="B"/>
    <m/>
  </r>
  <r>
    <n v="756"/>
    <s v="Female"/>
    <n v="5.6"/>
    <n v="85.5"/>
    <n v="4.2"/>
    <s v="Bachelors"/>
    <s v="Yes"/>
    <s v="Yes"/>
    <s v="Yes"/>
    <n v="57.3"/>
    <n v="90"/>
    <x v="6"/>
    <s v="B"/>
    <m/>
  </r>
  <r>
    <n v="757"/>
    <s v="Female"/>
    <n v="3.3"/>
    <n v="86.7"/>
    <n v="6.7"/>
    <s v="Bachelors"/>
    <s v="Yes"/>
    <s v="No"/>
    <s v="No"/>
    <n v="82.9"/>
    <n v="90"/>
    <x v="6"/>
    <s v="A"/>
    <m/>
  </r>
  <r>
    <n v="758"/>
    <s v="Male"/>
    <n v="3.7"/>
    <n v="87.4"/>
    <n v="6.1"/>
    <s v="Bachelors"/>
    <s v="Yes"/>
    <s v="Yes"/>
    <s v="Yes"/>
    <n v="82.6"/>
    <n v="83"/>
    <x v="1"/>
    <s v="B"/>
    <m/>
  </r>
  <r>
    <n v="759"/>
    <s v="Male"/>
    <n v="3.2"/>
    <n v="82.8"/>
    <n v="7.3"/>
    <s v="High School"/>
    <s v="Yes"/>
    <s v="Yes"/>
    <s v="No"/>
    <n v="80.400000000000006"/>
    <n v="85"/>
    <x v="4"/>
    <s v="B"/>
    <m/>
  </r>
  <r>
    <n v="760"/>
    <s v="Male"/>
    <n v="3.5"/>
    <n v="99.9"/>
    <n v="7.4"/>
    <s v="Bachelors"/>
    <s v="No"/>
    <s v="Yes"/>
    <s v="Yes"/>
    <n v="69.8"/>
    <n v="72"/>
    <x v="3"/>
    <s v="C"/>
    <m/>
  </r>
  <r>
    <n v="761"/>
    <s v="Female"/>
    <n v="1.9"/>
    <n v="69"/>
    <n v="6"/>
    <s v="High School"/>
    <s v="Yes"/>
    <s v="No"/>
    <s v="Yes"/>
    <n v="34.5"/>
    <n v="53"/>
    <x v="9"/>
    <s v="F"/>
    <m/>
  </r>
  <r>
    <n v="762"/>
    <s v="Female"/>
    <n v="1.3"/>
    <n v="76.7"/>
    <n v="5.9"/>
    <s v="Masters"/>
    <s v="No"/>
    <s v="Yes"/>
    <s v="Yes"/>
    <n v="62.3"/>
    <n v="74"/>
    <x v="3"/>
    <s v="C"/>
    <m/>
  </r>
  <r>
    <n v="763"/>
    <s v="Male"/>
    <n v="5.9"/>
    <n v="84"/>
    <n v="6.7"/>
    <s v="High School"/>
    <s v="Yes"/>
    <s v="No"/>
    <s v="No"/>
    <n v="62.5"/>
    <n v="97"/>
    <x v="0"/>
    <s v="A"/>
    <m/>
  </r>
  <r>
    <n v="764"/>
    <s v="Female"/>
    <n v="2.2000000000000002"/>
    <n v="68.599999999999994"/>
    <n v="5.7"/>
    <s v="High School"/>
    <s v="Yes"/>
    <s v="Yes"/>
    <s v="No"/>
    <n v="58.3"/>
    <n v="81"/>
    <x v="1"/>
    <s v="B"/>
    <m/>
  </r>
  <r>
    <n v="765"/>
    <s v="Male"/>
    <n v="2"/>
    <n v="83.2"/>
    <n v="7.8"/>
    <s v="Bachelors"/>
    <s v="Yes"/>
    <s v="Yes"/>
    <s v="No"/>
    <n v="71.5"/>
    <n v="85"/>
    <x v="4"/>
    <s v="B"/>
    <m/>
  </r>
  <r>
    <n v="766"/>
    <s v="Male"/>
    <n v="0.5"/>
    <n v="100"/>
    <n v="6.4"/>
    <s v="Masters"/>
    <s v="Yes"/>
    <s v="Yes"/>
    <s v="No"/>
    <n v="65"/>
    <n v="81"/>
    <x v="1"/>
    <s v="B"/>
    <m/>
  </r>
  <r>
    <n v="767"/>
    <s v="Male"/>
    <n v="2.5"/>
    <n v="85.2"/>
    <n v="3.3"/>
    <s v="Bachelors"/>
    <s v="Yes"/>
    <s v="No"/>
    <s v="No"/>
    <n v="60.1"/>
    <n v="84"/>
    <x v="1"/>
    <s v="B"/>
    <m/>
  </r>
  <r>
    <n v="768"/>
    <s v="Female"/>
    <n v="1.5"/>
    <n v="87.3"/>
    <n v="6.4"/>
    <s v="High School"/>
    <s v="Yes"/>
    <s v="Yes"/>
    <s v="Yes"/>
    <n v="57.3"/>
    <n v="71"/>
    <x v="3"/>
    <s v="C"/>
    <m/>
  </r>
  <r>
    <n v="769"/>
    <s v="Female"/>
    <n v="6"/>
    <n v="72.400000000000006"/>
    <n v="5.6"/>
    <s v="Bachelors"/>
    <s v="Yes"/>
    <s v="No"/>
    <s v="No"/>
    <n v="61.4"/>
    <n v="86"/>
    <x v="4"/>
    <s v="B"/>
    <m/>
  </r>
  <r>
    <n v="770"/>
    <s v="Male"/>
    <n v="5"/>
    <n v="78.8"/>
    <n v="4.8"/>
    <s v="High School"/>
    <s v="Yes"/>
    <s v="No"/>
    <s v="No"/>
    <n v="83.5"/>
    <n v="98"/>
    <x v="0"/>
    <s v="A"/>
    <m/>
  </r>
  <r>
    <n v="771"/>
    <s v="Male"/>
    <n v="2.5"/>
    <n v="81.2"/>
    <n v="5.3"/>
    <s v="None"/>
    <s v="Yes"/>
    <s v="No"/>
    <s v="No"/>
    <n v="62.1"/>
    <n v="83"/>
    <x v="1"/>
    <s v="B"/>
    <m/>
  </r>
  <r>
    <n v="772"/>
    <s v="Male"/>
    <n v="6.9"/>
    <n v="81.8"/>
    <n v="6.9"/>
    <s v="None"/>
    <s v="Yes"/>
    <s v="Yes"/>
    <s v="Yes"/>
    <n v="63.8"/>
    <n v="92"/>
    <x v="6"/>
    <s v="A"/>
    <m/>
  </r>
  <r>
    <n v="773"/>
    <s v="Male"/>
    <n v="5"/>
    <n v="97.8"/>
    <n v="8.4"/>
    <s v="Bachelors"/>
    <s v="Yes"/>
    <s v="No"/>
    <s v="No"/>
    <n v="64.5"/>
    <n v="91"/>
    <x v="6"/>
    <s v="A"/>
    <m/>
  </r>
  <r>
    <n v="774"/>
    <s v="Female"/>
    <n v="3"/>
    <n v="90.6"/>
    <n v="7.2"/>
    <s v="High School"/>
    <s v="Yes"/>
    <s v="No"/>
    <s v="Yes"/>
    <n v="74.099999999999994"/>
    <n v="84"/>
    <x v="1"/>
    <s v="B"/>
    <m/>
  </r>
  <r>
    <n v="775"/>
    <s v="Female"/>
    <n v="0.5"/>
    <n v="73.900000000000006"/>
    <n v="6.1"/>
    <s v="Masters"/>
    <s v="Yes"/>
    <s v="Yes"/>
    <s v="No"/>
    <n v="75.5"/>
    <n v="75"/>
    <x v="5"/>
    <s v="C"/>
    <m/>
  </r>
  <r>
    <n v="776"/>
    <s v="Male"/>
    <n v="6.9"/>
    <n v="87.5"/>
    <n v="7.3"/>
    <s v="High School"/>
    <s v="Yes"/>
    <s v="No"/>
    <s v="Yes"/>
    <n v="33.5"/>
    <n v="89"/>
    <x v="4"/>
    <s v="B"/>
    <m/>
  </r>
  <r>
    <n v="777"/>
    <s v="Male"/>
    <n v="1.4"/>
    <n v="90"/>
    <n v="6.2"/>
    <s v="Bachelors"/>
    <s v="Yes"/>
    <s v="Yes"/>
    <s v="No"/>
    <n v="82.3"/>
    <n v="74"/>
    <x v="3"/>
    <s v="C"/>
    <m/>
  </r>
  <r>
    <n v="778"/>
    <s v="Female"/>
    <n v="1"/>
    <n v="96.4"/>
    <n v="6"/>
    <s v="High School"/>
    <s v="Yes"/>
    <s v="Yes"/>
    <s v="No"/>
    <n v="87.2"/>
    <n v="96"/>
    <x v="0"/>
    <s v="A"/>
    <m/>
  </r>
  <r>
    <n v="779"/>
    <s v="Female"/>
    <n v="5"/>
    <n v="100"/>
    <n v="5.4"/>
    <s v="None"/>
    <s v="Yes"/>
    <s v="Yes"/>
    <s v="No"/>
    <n v="57.4"/>
    <n v="87"/>
    <x v="4"/>
    <s v="B"/>
    <m/>
  </r>
  <r>
    <n v="780"/>
    <s v="Male"/>
    <n v="7.2"/>
    <n v="74.8"/>
    <n v="4.7"/>
    <s v="High School"/>
    <s v="Yes"/>
    <s v="Yes"/>
    <s v="No"/>
    <n v="58.3"/>
    <n v="90"/>
    <x v="6"/>
    <s v="B"/>
    <m/>
  </r>
  <r>
    <n v="781"/>
    <s v="Male"/>
    <n v="5.6"/>
    <n v="76.900000000000006"/>
    <n v="6.3"/>
    <s v="Bachelors"/>
    <s v="No"/>
    <s v="Yes"/>
    <s v="No"/>
    <n v="64.599999999999994"/>
    <n v="79"/>
    <x v="5"/>
    <s v="C"/>
    <m/>
  </r>
  <r>
    <n v="782"/>
    <s v="Male"/>
    <n v="4.3"/>
    <n v="72.400000000000006"/>
    <n v="7"/>
    <s v="Masters"/>
    <s v="Yes"/>
    <s v="Yes"/>
    <s v="No"/>
    <n v="60.9"/>
    <n v="98"/>
    <x v="0"/>
    <s v="A"/>
    <m/>
  </r>
  <r>
    <n v="783"/>
    <s v="Female"/>
    <n v="4.4000000000000004"/>
    <n v="82.7"/>
    <n v="6.7"/>
    <s v="Bachelors"/>
    <s v="Yes"/>
    <s v="No"/>
    <s v="No"/>
    <n v="72.7"/>
    <n v="90"/>
    <x v="6"/>
    <s v="A"/>
    <m/>
  </r>
  <r>
    <n v="784"/>
    <s v="Female"/>
    <n v="4.8"/>
    <n v="89.7"/>
    <n v="6.3"/>
    <s v="High School"/>
    <s v="Yes"/>
    <s v="Yes"/>
    <s v="No"/>
    <n v="46.6"/>
    <n v="78"/>
    <x v="5"/>
    <s v="C"/>
    <m/>
  </r>
  <r>
    <n v="785"/>
    <s v="Female"/>
    <n v="4.5999999999999996"/>
    <n v="94.9"/>
    <n v="5.7"/>
    <s v="None"/>
    <s v="Yes"/>
    <s v="Yes"/>
    <s v="No"/>
    <n v="56.6"/>
    <n v="93"/>
    <x v="6"/>
    <s v="A"/>
    <m/>
  </r>
  <r>
    <n v="786"/>
    <s v="Male"/>
    <n v="3.9"/>
    <n v="84.2"/>
    <n v="7.5"/>
    <s v="Bachelors"/>
    <s v="Yes"/>
    <s v="Yes"/>
    <s v="Yes"/>
    <n v="88.5"/>
    <n v="97"/>
    <x v="0"/>
    <s v="A"/>
    <m/>
  </r>
  <r>
    <n v="787"/>
    <s v="Male"/>
    <n v="3.7"/>
    <n v="81.8"/>
    <n v="5.2"/>
    <s v="Bachelors"/>
    <s v="Yes"/>
    <s v="No"/>
    <s v="No"/>
    <n v="58.9"/>
    <n v="77"/>
    <x v="5"/>
    <s v="C"/>
    <m/>
  </r>
  <r>
    <n v="788"/>
    <s v="Female"/>
    <n v="3.4"/>
    <n v="86.5"/>
    <n v="7.7"/>
    <s v="High School"/>
    <s v="Yes"/>
    <s v="No"/>
    <s v="No"/>
    <n v="84.9"/>
    <n v="97"/>
    <x v="0"/>
    <s v="A"/>
    <m/>
  </r>
  <r>
    <n v="789"/>
    <s v="Female"/>
    <n v="2.4"/>
    <n v="76.599999999999994"/>
    <n v="5.6"/>
    <s v="Bachelors"/>
    <s v="Yes"/>
    <s v="No"/>
    <s v="No"/>
    <n v="74.3"/>
    <n v="72"/>
    <x v="3"/>
    <s v="C"/>
    <m/>
  </r>
  <r>
    <n v="790"/>
    <s v="Male"/>
    <n v="3.1"/>
    <n v="100"/>
    <n v="5.9"/>
    <s v="Bachelors"/>
    <s v="Yes"/>
    <s v="No"/>
    <s v="No"/>
    <n v="48.3"/>
    <n v="75"/>
    <x v="5"/>
    <s v="C"/>
    <m/>
  </r>
  <r>
    <n v="791"/>
    <s v="Female"/>
    <n v="1"/>
    <n v="68.900000000000006"/>
    <n v="5"/>
    <s v="High School"/>
    <s v="Yes"/>
    <s v="Yes"/>
    <s v="No"/>
    <n v="77.599999999999994"/>
    <n v="58"/>
    <x v="8"/>
    <s v="F"/>
    <m/>
  </r>
  <r>
    <n v="792"/>
    <s v="Female"/>
    <n v="3.4"/>
    <n v="86.8"/>
    <n v="6.2"/>
    <s v="High School"/>
    <s v="No"/>
    <s v="No"/>
    <s v="Yes"/>
    <n v="68.599999999999994"/>
    <n v="68"/>
    <x v="2"/>
    <s v="D"/>
    <m/>
  </r>
  <r>
    <n v="793"/>
    <s v="Male"/>
    <n v="2"/>
    <n v="100"/>
    <n v="8"/>
    <s v="Masters"/>
    <s v="Yes"/>
    <s v="Yes"/>
    <s v="Yes"/>
    <n v="64.5"/>
    <n v="91"/>
    <x v="6"/>
    <s v="A"/>
    <m/>
  </r>
  <r>
    <n v="794"/>
    <s v="Female"/>
    <n v="1.8"/>
    <n v="85.1"/>
    <n v="7.4"/>
    <s v="High School"/>
    <s v="Yes"/>
    <s v="Yes"/>
    <s v="Yes"/>
    <n v="72.900000000000006"/>
    <n v="87"/>
    <x v="4"/>
    <s v="B"/>
    <m/>
  </r>
  <r>
    <n v="795"/>
    <s v="Male"/>
    <n v="3.8"/>
    <n v="83.1"/>
    <n v="8"/>
    <s v="High School"/>
    <s v="Yes"/>
    <s v="No"/>
    <s v="No"/>
    <n v="75.7"/>
    <n v="90"/>
    <x v="6"/>
    <s v="B"/>
    <m/>
  </r>
  <r>
    <n v="796"/>
    <s v="Male"/>
    <n v="5.6"/>
    <n v="81.400000000000006"/>
    <n v="7.4"/>
    <s v="Bachelors"/>
    <s v="Yes"/>
    <s v="Yes"/>
    <s v="No"/>
    <n v="78.5"/>
    <n v="100"/>
    <x v="0"/>
    <s v="A"/>
    <m/>
  </r>
  <r>
    <n v="797"/>
    <s v="Male"/>
    <n v="4.9000000000000004"/>
    <n v="83.2"/>
    <n v="5.5"/>
    <s v="Masters"/>
    <s v="Yes"/>
    <s v="No"/>
    <s v="No"/>
    <n v="84.1"/>
    <n v="93"/>
    <x v="6"/>
    <s v="A"/>
    <m/>
  </r>
  <r>
    <n v="798"/>
    <s v="Male"/>
    <n v="1.1000000000000001"/>
    <n v="98.7"/>
    <n v="6.4"/>
    <s v="High School"/>
    <s v="Yes"/>
    <s v="No"/>
    <s v="No"/>
    <n v="74.900000000000006"/>
    <n v="79"/>
    <x v="5"/>
    <s v="C"/>
    <m/>
  </r>
  <r>
    <n v="799"/>
    <s v="Male"/>
    <n v="2"/>
    <n v="62.9"/>
    <n v="5.9"/>
    <s v="Bachelors"/>
    <s v="Yes"/>
    <s v="Yes"/>
    <s v="Yes"/>
    <n v="53.5"/>
    <n v="61"/>
    <x v="7"/>
    <s v="D"/>
    <m/>
  </r>
  <r>
    <n v="800"/>
    <s v="Male"/>
    <n v="4.9000000000000004"/>
    <n v="100"/>
    <n v="8.4"/>
    <s v="High School"/>
    <s v="Yes"/>
    <s v="Yes"/>
    <s v="No"/>
    <n v="64.3"/>
    <n v="96"/>
    <x v="0"/>
    <s v="A"/>
    <m/>
  </r>
  <r>
    <n v="801"/>
    <s v="Male"/>
    <n v="2"/>
    <n v="70.8"/>
    <n v="5.4"/>
    <s v="High School"/>
    <s v="Yes"/>
    <s v="Yes"/>
    <s v="No"/>
    <n v="100"/>
    <n v="83"/>
    <x v="1"/>
    <s v="B"/>
    <m/>
  </r>
  <r>
    <n v="802"/>
    <s v="Female"/>
    <n v="3.2"/>
    <n v="82.3"/>
    <n v="7.9"/>
    <s v="High School"/>
    <s v="Yes"/>
    <s v="No"/>
    <s v="No"/>
    <n v="78.7"/>
    <n v="94"/>
    <x v="6"/>
    <s v="A"/>
    <m/>
  </r>
  <r>
    <n v="803"/>
    <s v="Male"/>
    <n v="4.3"/>
    <n v="80.7"/>
    <n v="7.9"/>
    <s v="Masters"/>
    <s v="Yes"/>
    <s v="No"/>
    <s v="No"/>
    <n v="98.4"/>
    <n v="100"/>
    <x v="0"/>
    <s v="A"/>
    <m/>
  </r>
  <r>
    <n v="804"/>
    <s v="Male"/>
    <n v="2"/>
    <n v="90.9"/>
    <n v="9"/>
    <s v="High School"/>
    <s v="Yes"/>
    <s v="Yes"/>
    <s v="No"/>
    <n v="86.7"/>
    <n v="95"/>
    <x v="0"/>
    <s v="A"/>
    <m/>
  </r>
  <r>
    <n v="805"/>
    <s v="Female"/>
    <n v="3.7"/>
    <n v="69"/>
    <n v="6.3"/>
    <s v="High School"/>
    <s v="Yes"/>
    <s v="Yes"/>
    <s v="No"/>
    <n v="72.900000000000006"/>
    <n v="88"/>
    <x v="4"/>
    <s v="B"/>
    <m/>
  </r>
  <r>
    <n v="806"/>
    <s v="Female"/>
    <n v="1.5"/>
    <n v="89.6"/>
    <n v="7.7"/>
    <s v="Bachelors"/>
    <s v="Yes"/>
    <s v="No"/>
    <s v="No"/>
    <n v="73.599999999999994"/>
    <n v="82"/>
    <x v="1"/>
    <s v="B"/>
    <m/>
  </r>
  <r>
    <n v="807"/>
    <s v="Female"/>
    <n v="2.6"/>
    <n v="100"/>
    <n v="9.5"/>
    <s v="Masters"/>
    <s v="Yes"/>
    <s v="No"/>
    <s v="Yes"/>
    <n v="69.599999999999994"/>
    <n v="80"/>
    <x v="1"/>
    <s v="B"/>
    <m/>
  </r>
  <r>
    <n v="808"/>
    <s v="Male"/>
    <n v="4"/>
    <n v="71.400000000000006"/>
    <n v="6.1"/>
    <s v="High School"/>
    <s v="No"/>
    <s v="Yes"/>
    <s v="Yes"/>
    <n v="49.1"/>
    <n v="58"/>
    <x v="8"/>
    <s v="F"/>
    <m/>
  </r>
  <r>
    <n v="809"/>
    <s v="Female"/>
    <n v="1.1000000000000001"/>
    <n v="86.9"/>
    <n v="5"/>
    <s v="Bachelors"/>
    <s v="Yes"/>
    <s v="Yes"/>
    <s v="No"/>
    <n v="70.2"/>
    <n v="74"/>
    <x v="3"/>
    <s v="C"/>
    <m/>
  </r>
  <r>
    <n v="810"/>
    <s v="Male"/>
    <n v="4.2"/>
    <n v="78.400000000000006"/>
    <n v="4.5"/>
    <s v="High School"/>
    <s v="No"/>
    <s v="No"/>
    <s v="No"/>
    <n v="84.5"/>
    <n v="83"/>
    <x v="1"/>
    <s v="B"/>
    <m/>
  </r>
  <r>
    <n v="811"/>
    <s v="Male"/>
    <n v="3.5"/>
    <n v="89.3"/>
    <n v="7.7"/>
    <s v="Bachelors"/>
    <s v="Yes"/>
    <s v="Yes"/>
    <s v="No"/>
    <n v="62.8"/>
    <n v="86"/>
    <x v="4"/>
    <s v="B"/>
    <m/>
  </r>
  <r>
    <n v="812"/>
    <s v="Male"/>
    <n v="4.3"/>
    <n v="85.2"/>
    <n v="4.5"/>
    <s v="Bachelors"/>
    <s v="Yes"/>
    <s v="Yes"/>
    <s v="No"/>
    <n v="74.900000000000006"/>
    <n v="88"/>
    <x v="4"/>
    <s v="B"/>
    <m/>
  </r>
  <r>
    <n v="813"/>
    <s v="Male"/>
    <n v="3.8"/>
    <n v="78.599999999999994"/>
    <n v="6.4"/>
    <s v="Bachelors"/>
    <s v="Yes"/>
    <s v="No"/>
    <s v="No"/>
    <n v="80.2"/>
    <n v="100"/>
    <x v="0"/>
    <s v="A"/>
    <m/>
  </r>
  <r>
    <n v="814"/>
    <s v="Female"/>
    <n v="5.5"/>
    <n v="89.9"/>
    <n v="7.3"/>
    <s v="High School"/>
    <s v="No"/>
    <s v="No"/>
    <s v="Yes"/>
    <n v="59.1"/>
    <n v="76"/>
    <x v="5"/>
    <s v="C"/>
    <m/>
  </r>
  <r>
    <n v="815"/>
    <s v="Female"/>
    <n v="3.7"/>
    <n v="100"/>
    <n v="7"/>
    <s v="High School"/>
    <s v="Yes"/>
    <s v="Yes"/>
    <s v="No"/>
    <n v="64.599999999999994"/>
    <n v="78"/>
    <x v="5"/>
    <s v="C"/>
    <m/>
  </r>
  <r>
    <n v="816"/>
    <s v="Male"/>
    <n v="2.9"/>
    <n v="83.1"/>
    <n v="7.3"/>
    <s v="High School"/>
    <s v="Yes"/>
    <s v="Yes"/>
    <s v="No"/>
    <n v="57.8"/>
    <n v="80"/>
    <x v="1"/>
    <s v="B"/>
    <m/>
  </r>
  <r>
    <n v="817"/>
    <s v="Male"/>
    <n v="3.7"/>
    <n v="92.2"/>
    <n v="7.1"/>
    <s v="Bachelors"/>
    <s v="Yes"/>
    <s v="Yes"/>
    <s v="Yes"/>
    <n v="60.1"/>
    <n v="80"/>
    <x v="1"/>
    <s v="B"/>
    <m/>
  </r>
  <r>
    <n v="818"/>
    <s v="Male"/>
    <n v="4.3"/>
    <n v="72.099999999999994"/>
    <n v="8.3000000000000007"/>
    <s v="High School"/>
    <s v="Yes"/>
    <s v="Yes"/>
    <s v="No"/>
    <n v="54.5"/>
    <n v="82"/>
    <x v="1"/>
    <s v="B"/>
    <m/>
  </r>
  <r>
    <n v="819"/>
    <s v="Female"/>
    <n v="3.6"/>
    <n v="75.400000000000006"/>
    <n v="5.7"/>
    <s v="Masters"/>
    <s v="Yes"/>
    <s v="No"/>
    <s v="No"/>
    <n v="59.2"/>
    <n v="80"/>
    <x v="1"/>
    <s v="C"/>
    <m/>
  </r>
  <r>
    <n v="820"/>
    <s v="Male"/>
    <n v="3.6"/>
    <n v="89.7"/>
    <n v="6"/>
    <s v="None"/>
    <s v="No"/>
    <s v="Yes"/>
    <s v="No"/>
    <n v="87"/>
    <n v="96"/>
    <x v="0"/>
    <s v="A"/>
    <m/>
  </r>
  <r>
    <n v="821"/>
    <s v="Male"/>
    <n v="2.4"/>
    <n v="99.8"/>
    <n v="5.9"/>
    <s v="None"/>
    <s v="No"/>
    <s v="No"/>
    <s v="No"/>
    <n v="59"/>
    <n v="65"/>
    <x v="2"/>
    <s v="D"/>
    <m/>
  </r>
  <r>
    <n v="822"/>
    <s v="Female"/>
    <n v="2.5"/>
    <n v="88.6"/>
    <n v="7.8"/>
    <s v="PhD"/>
    <s v="Yes"/>
    <s v="No"/>
    <s v="No"/>
    <n v="71.5"/>
    <n v="80"/>
    <x v="1"/>
    <s v="C"/>
    <m/>
  </r>
  <r>
    <n v="823"/>
    <s v="Female"/>
    <n v="1.4"/>
    <n v="81.900000000000006"/>
    <n v="7.9"/>
    <s v="Bachelors"/>
    <s v="No"/>
    <s v="Yes"/>
    <s v="No"/>
    <n v="64"/>
    <n v="72"/>
    <x v="3"/>
    <s v="C"/>
    <m/>
  </r>
  <r>
    <n v="824"/>
    <s v="Male"/>
    <n v="6.1"/>
    <n v="85"/>
    <n v="7.3"/>
    <s v="Masters"/>
    <s v="Yes"/>
    <s v="Yes"/>
    <s v="No"/>
    <n v="84.1"/>
    <n v="100"/>
    <x v="0"/>
    <s v="A"/>
    <m/>
  </r>
  <r>
    <n v="825"/>
    <s v="Female"/>
    <n v="1.6"/>
    <n v="72.5"/>
    <n v="8.1999999999999993"/>
    <s v="High School"/>
    <s v="Yes"/>
    <s v="Yes"/>
    <s v="No"/>
    <n v="85.7"/>
    <n v="94"/>
    <x v="6"/>
    <s v="A"/>
    <m/>
  </r>
  <r>
    <n v="826"/>
    <s v="Female"/>
    <n v="2.5"/>
    <n v="91"/>
    <n v="5.4"/>
    <s v="Bachelors"/>
    <s v="Yes"/>
    <s v="No"/>
    <s v="Yes"/>
    <n v="80.400000000000006"/>
    <n v="88"/>
    <x v="4"/>
    <s v="B"/>
    <m/>
  </r>
  <r>
    <n v="827"/>
    <s v="Male"/>
    <n v="2.4"/>
    <n v="93.8"/>
    <n v="8.8000000000000007"/>
    <s v="Bachelors"/>
    <s v="Yes"/>
    <s v="No"/>
    <s v="No"/>
    <n v="73.7"/>
    <n v="86"/>
    <x v="4"/>
    <s v="B"/>
    <m/>
  </r>
  <r>
    <n v="828"/>
    <s v="Female"/>
    <n v="4.8"/>
    <n v="80.5"/>
    <n v="8.6"/>
    <s v="Bachelors"/>
    <s v="No"/>
    <s v="Yes"/>
    <s v="Yes"/>
    <n v="67.2"/>
    <n v="78"/>
    <x v="5"/>
    <s v="C"/>
    <m/>
  </r>
  <r>
    <n v="829"/>
    <s v="Male"/>
    <n v="3.1"/>
    <n v="80.3"/>
    <n v="7.7"/>
    <s v="Masters"/>
    <s v="Yes"/>
    <s v="No"/>
    <s v="Yes"/>
    <n v="55.7"/>
    <n v="70"/>
    <x v="3"/>
    <s v="C"/>
    <m/>
  </r>
  <r>
    <n v="830"/>
    <s v="Female"/>
    <n v="5.4"/>
    <n v="87.7"/>
    <n v="8.9"/>
    <s v="High School"/>
    <s v="Yes"/>
    <s v="No"/>
    <s v="No"/>
    <n v="93.3"/>
    <n v="100"/>
    <x v="0"/>
    <s v="A"/>
    <m/>
  </r>
  <r>
    <n v="831"/>
    <s v="Male"/>
    <n v="2.5"/>
    <n v="80.599999999999994"/>
    <n v="4.8"/>
    <s v="High School"/>
    <s v="Yes"/>
    <s v="No"/>
    <s v="Yes"/>
    <n v="60.9"/>
    <n v="74"/>
    <x v="3"/>
    <s v="C"/>
    <m/>
  </r>
  <r>
    <n v="832"/>
    <s v="Male"/>
    <n v="3.9"/>
    <n v="84.3"/>
    <n v="6.2"/>
    <s v="None"/>
    <s v="Yes"/>
    <s v="Yes"/>
    <s v="No"/>
    <n v="78"/>
    <n v="91"/>
    <x v="6"/>
    <s v="A"/>
    <m/>
  </r>
  <r>
    <n v="833"/>
    <s v="Male"/>
    <n v="2.2000000000000002"/>
    <n v="100"/>
    <n v="5.9"/>
    <s v="High School"/>
    <s v="Yes"/>
    <s v="Yes"/>
    <s v="Yes"/>
    <n v="82.7"/>
    <n v="78"/>
    <x v="5"/>
    <s v="C"/>
    <m/>
  </r>
  <r>
    <n v="834"/>
    <s v="Female"/>
    <n v="6.7"/>
    <n v="82.5"/>
    <n v="7.7"/>
    <s v="Bachelors"/>
    <s v="No"/>
    <s v="No"/>
    <s v="No"/>
    <n v="63.3"/>
    <n v="89"/>
    <x v="4"/>
    <s v="B"/>
    <m/>
  </r>
  <r>
    <n v="835"/>
    <s v="Male"/>
    <n v="1.7"/>
    <n v="81.400000000000006"/>
    <n v="5.5"/>
    <s v="None"/>
    <s v="Yes"/>
    <s v="Yes"/>
    <s v="Yes"/>
    <n v="82.5"/>
    <n v="82"/>
    <x v="1"/>
    <s v="B"/>
    <m/>
  </r>
  <r>
    <n v="836"/>
    <s v="Female"/>
    <n v="4"/>
    <n v="78.5"/>
    <n v="7.7"/>
    <s v="Bachelors"/>
    <s v="Yes"/>
    <s v="Yes"/>
    <s v="Yes"/>
    <n v="79.2"/>
    <n v="90"/>
    <x v="6"/>
    <s v="B"/>
    <m/>
  </r>
  <r>
    <n v="837"/>
    <s v="Male"/>
    <n v="4.5"/>
    <n v="92.4"/>
    <n v="8.4"/>
    <s v="Bachelors"/>
    <s v="Yes"/>
    <s v="Yes"/>
    <s v="Yes"/>
    <n v="90.7"/>
    <n v="100"/>
    <x v="0"/>
    <s v="A"/>
    <m/>
  </r>
  <r>
    <n v="838"/>
    <s v="Male"/>
    <n v="4.0999999999999996"/>
    <n v="83.2"/>
    <n v="7.6"/>
    <s v="High School"/>
    <s v="Yes"/>
    <s v="Yes"/>
    <s v="No"/>
    <n v="64.400000000000006"/>
    <n v="89"/>
    <x v="4"/>
    <s v="B"/>
    <m/>
  </r>
  <r>
    <n v="839"/>
    <s v="Female"/>
    <n v="3.2"/>
    <n v="78.5"/>
    <n v="7.1"/>
    <s v="High School"/>
    <s v="Yes"/>
    <s v="Yes"/>
    <s v="No"/>
    <n v="54.6"/>
    <n v="86"/>
    <x v="4"/>
    <s v="B"/>
    <m/>
  </r>
  <r>
    <n v="840"/>
    <s v="Male"/>
    <n v="3.3"/>
    <n v="98.2"/>
    <n v="5.6"/>
    <s v="PhD"/>
    <s v="Yes"/>
    <s v="No"/>
    <s v="Yes"/>
    <n v="63.9"/>
    <n v="83"/>
    <x v="1"/>
    <s v="B"/>
    <m/>
  </r>
  <r>
    <n v="841"/>
    <s v="Male"/>
    <n v="3.6"/>
    <n v="99.2"/>
    <n v="5.8"/>
    <s v="Bachelors"/>
    <s v="Yes"/>
    <s v="Yes"/>
    <s v="No"/>
    <n v="72.5"/>
    <n v="89"/>
    <x v="4"/>
    <s v="B"/>
    <m/>
  </r>
  <r>
    <n v="842"/>
    <s v="Female"/>
    <n v="3.3"/>
    <n v="79"/>
    <n v="8.3000000000000007"/>
    <s v="Bachelors"/>
    <s v="Yes"/>
    <s v="Yes"/>
    <s v="No"/>
    <n v="70.7"/>
    <n v="79"/>
    <x v="5"/>
    <s v="C"/>
    <m/>
  </r>
  <r>
    <n v="843"/>
    <s v="Male"/>
    <n v="4.9000000000000004"/>
    <n v="66.3"/>
    <n v="7.7"/>
    <s v="High School"/>
    <s v="Yes"/>
    <s v="No"/>
    <s v="No"/>
    <n v="65.3"/>
    <n v="85"/>
    <x v="4"/>
    <s v="B"/>
    <m/>
  </r>
  <r>
    <n v="844"/>
    <s v="Male"/>
    <n v="6.8"/>
    <n v="95.1"/>
    <n v="6.8"/>
    <s v="High School"/>
    <s v="Yes"/>
    <s v="Yes"/>
    <s v="No"/>
    <n v="47.1"/>
    <n v="80"/>
    <x v="1"/>
    <s v="B"/>
    <m/>
  </r>
  <r>
    <n v="845"/>
    <s v="Male"/>
    <n v="2.7"/>
    <n v="78.2"/>
    <n v="6.3"/>
    <s v="None"/>
    <s v="Yes"/>
    <s v="Yes"/>
    <s v="No"/>
    <n v="75.599999999999994"/>
    <n v="80"/>
    <x v="1"/>
    <s v="B"/>
    <m/>
  </r>
  <r>
    <n v="846"/>
    <s v="Male"/>
    <n v="1.4"/>
    <n v="92.9"/>
    <n v="4.4000000000000004"/>
    <s v="Bachelors"/>
    <s v="Yes"/>
    <s v="No"/>
    <s v="Yes"/>
    <n v="93.7"/>
    <n v="80"/>
    <x v="1"/>
    <s v="B"/>
    <m/>
  </r>
  <r>
    <n v="847"/>
    <s v="Female"/>
    <n v="3.4"/>
    <n v="65.3"/>
    <n v="5.5"/>
    <s v="Bachelors"/>
    <s v="Yes"/>
    <s v="No"/>
    <s v="No"/>
    <n v="75.599999999999994"/>
    <n v="70"/>
    <x v="3"/>
    <s v="D"/>
    <m/>
  </r>
  <r>
    <n v="848"/>
    <s v="Female"/>
    <n v="7.4"/>
    <n v="93.9"/>
    <n v="9.1"/>
    <s v="High School"/>
    <s v="No"/>
    <s v="No"/>
    <s v="No"/>
    <n v="77.3"/>
    <n v="100"/>
    <x v="0"/>
    <s v="A"/>
    <m/>
  </r>
  <r>
    <n v="849"/>
    <s v="Male"/>
    <n v="2.2999999999999998"/>
    <n v="72.900000000000006"/>
    <n v="5.3"/>
    <s v="Masters"/>
    <s v="Yes"/>
    <s v="No"/>
    <s v="No"/>
    <n v="76.900000000000006"/>
    <n v="81"/>
    <x v="1"/>
    <s v="B"/>
    <m/>
  </r>
  <r>
    <n v="850"/>
    <s v="Female"/>
    <n v="6"/>
    <n v="92.3"/>
    <n v="7"/>
    <s v="None"/>
    <s v="Yes"/>
    <s v="Yes"/>
    <s v="Yes"/>
    <n v="74.8"/>
    <n v="100"/>
    <x v="0"/>
    <s v="A"/>
    <m/>
  </r>
  <r>
    <n v="851"/>
    <s v="Male"/>
    <n v="6"/>
    <n v="85.1"/>
    <n v="8"/>
    <s v="Bachelors"/>
    <s v="Yes"/>
    <s v="No"/>
    <s v="Yes"/>
    <n v="81.2"/>
    <n v="100"/>
    <x v="0"/>
    <s v="A"/>
    <m/>
  </r>
  <r>
    <n v="852"/>
    <s v="Female"/>
    <n v="2.7"/>
    <n v="75.5"/>
    <n v="5.3"/>
    <s v="High School"/>
    <s v="Yes"/>
    <s v="Yes"/>
    <s v="No"/>
    <n v="74.7"/>
    <n v="81"/>
    <x v="1"/>
    <s v="B"/>
    <m/>
  </r>
  <r>
    <n v="853"/>
    <s v="Male"/>
    <n v="4.4000000000000004"/>
    <n v="80.900000000000006"/>
    <n v="7"/>
    <s v="Bachelors"/>
    <s v="Yes"/>
    <s v="No"/>
    <s v="No"/>
    <n v="66.2"/>
    <n v="87"/>
    <x v="4"/>
    <s v="B"/>
    <m/>
  </r>
  <r>
    <n v="854"/>
    <s v="Male"/>
    <n v="5.9"/>
    <n v="91.9"/>
    <n v="7.9"/>
    <s v="Masters"/>
    <s v="No"/>
    <s v="Yes"/>
    <s v="No"/>
    <n v="60.4"/>
    <n v="99"/>
    <x v="0"/>
    <s v="A"/>
    <m/>
  </r>
  <r>
    <n v="855"/>
    <s v="Male"/>
    <n v="2.9"/>
    <n v="86.1"/>
    <n v="6.8"/>
    <s v="Bachelors"/>
    <s v="Yes"/>
    <s v="No"/>
    <s v="No"/>
    <n v="67"/>
    <n v="82"/>
    <x v="1"/>
    <s v="B"/>
    <m/>
  </r>
  <r>
    <n v="856"/>
    <s v="Male"/>
    <n v="3.2"/>
    <n v="90.8"/>
    <n v="10"/>
    <s v="PhD"/>
    <s v="Yes"/>
    <s v="No"/>
    <s v="Yes"/>
    <n v="73.8"/>
    <n v="79"/>
    <x v="5"/>
    <s v="C"/>
    <m/>
  </r>
  <r>
    <n v="857"/>
    <s v="Male"/>
    <n v="2.6"/>
    <n v="100"/>
    <n v="4.8"/>
    <s v="Bachelors"/>
    <s v="Yes"/>
    <s v="No"/>
    <s v="No"/>
    <n v="66.2"/>
    <n v="92"/>
    <x v="6"/>
    <s v="A"/>
    <m/>
  </r>
  <r>
    <n v="858"/>
    <s v="Male"/>
    <n v="2"/>
    <n v="69.400000000000006"/>
    <n v="8.1"/>
    <s v="PhD"/>
    <s v="Yes"/>
    <s v="Yes"/>
    <s v="No"/>
    <n v="73.8"/>
    <n v="79"/>
    <x v="5"/>
    <s v="C"/>
    <m/>
  </r>
  <r>
    <n v="859"/>
    <s v="Female"/>
    <n v="2.5"/>
    <n v="100"/>
    <n v="6.6"/>
    <s v="Bachelors"/>
    <s v="Yes"/>
    <s v="Yes"/>
    <s v="No"/>
    <n v="75.3"/>
    <n v="85"/>
    <x v="4"/>
    <s v="B"/>
    <m/>
  </r>
  <r>
    <n v="860"/>
    <s v="Male"/>
    <n v="1.7"/>
    <n v="86"/>
    <n v="7.7"/>
    <s v="High School"/>
    <s v="No"/>
    <s v="No"/>
    <s v="Yes"/>
    <n v="80"/>
    <n v="67"/>
    <x v="2"/>
    <s v="D"/>
    <m/>
  </r>
  <r>
    <n v="861"/>
    <s v="Female"/>
    <n v="3.6"/>
    <n v="76"/>
    <n v="7.3"/>
    <s v="High School"/>
    <s v="Yes"/>
    <s v="No"/>
    <s v="No"/>
    <n v="85.4"/>
    <n v="91"/>
    <x v="6"/>
    <s v="A"/>
    <m/>
  </r>
  <r>
    <n v="862"/>
    <s v="Male"/>
    <n v="2.2999999999999998"/>
    <n v="71.7"/>
    <n v="5.9"/>
    <s v="High School"/>
    <s v="Yes"/>
    <s v="Yes"/>
    <s v="No"/>
    <n v="70.900000000000006"/>
    <n v="74"/>
    <x v="3"/>
    <s v="C"/>
    <m/>
  </r>
  <r>
    <n v="863"/>
    <s v="Female"/>
    <n v="3.9"/>
    <n v="83.1"/>
    <n v="7.1"/>
    <s v="None"/>
    <s v="Yes"/>
    <s v="No"/>
    <s v="Yes"/>
    <n v="54.3"/>
    <n v="86"/>
    <x v="4"/>
    <s v="B"/>
    <m/>
  </r>
  <r>
    <n v="864"/>
    <s v="Female"/>
    <n v="1.2"/>
    <n v="94.2"/>
    <n v="4.5999999999999996"/>
    <s v="Masters"/>
    <s v="Yes"/>
    <s v="No"/>
    <s v="No"/>
    <n v="65.900000000000006"/>
    <n v="71"/>
    <x v="3"/>
    <s v="C"/>
    <m/>
  </r>
  <r>
    <n v="865"/>
    <s v="Female"/>
    <n v="4"/>
    <n v="83.7"/>
    <n v="7.5"/>
    <s v="Masters"/>
    <s v="Yes"/>
    <s v="Yes"/>
    <s v="No"/>
    <n v="70.5"/>
    <n v="84"/>
    <x v="1"/>
    <s v="B"/>
    <m/>
  </r>
  <r>
    <n v="866"/>
    <s v="Male"/>
    <n v="4.8"/>
    <n v="100"/>
    <n v="7.2"/>
    <s v="High School"/>
    <s v="Yes"/>
    <s v="No"/>
    <s v="Yes"/>
    <n v="48"/>
    <n v="90"/>
    <x v="6"/>
    <s v="B"/>
    <m/>
  </r>
  <r>
    <n v="867"/>
    <s v="Male"/>
    <n v="0.5"/>
    <n v="70.5"/>
    <n v="7.6"/>
    <s v="High School"/>
    <s v="Yes"/>
    <s v="Yes"/>
    <s v="No"/>
    <n v="86.7"/>
    <n v="80"/>
    <x v="1"/>
    <s v="B"/>
    <m/>
  </r>
  <r>
    <n v="868"/>
    <s v="Female"/>
    <n v="4.0999999999999996"/>
    <n v="84.9"/>
    <n v="8.1"/>
    <s v="Masters"/>
    <s v="Yes"/>
    <s v="Yes"/>
    <s v="No"/>
    <n v="71.7"/>
    <n v="92"/>
    <x v="6"/>
    <s v="A"/>
    <m/>
  </r>
  <r>
    <n v="869"/>
    <s v="Male"/>
    <n v="5.3"/>
    <n v="72.5"/>
    <n v="7.2"/>
    <s v="Bachelors"/>
    <s v="Yes"/>
    <s v="Yes"/>
    <s v="No"/>
    <n v="74.599999999999994"/>
    <n v="96"/>
    <x v="0"/>
    <s v="A"/>
    <m/>
  </r>
  <r>
    <n v="870"/>
    <s v="Female"/>
    <n v="1.7"/>
    <n v="88.6"/>
    <n v="7"/>
    <s v="High School"/>
    <s v="Yes"/>
    <s v="No"/>
    <s v="No"/>
    <n v="86.4"/>
    <n v="84"/>
    <x v="1"/>
    <s v="B"/>
    <m/>
  </r>
  <r>
    <n v="871"/>
    <s v="Male"/>
    <n v="6"/>
    <n v="93.9"/>
    <n v="5.7"/>
    <s v="Bachelors"/>
    <s v="Yes"/>
    <s v="No"/>
    <s v="No"/>
    <n v="62.4"/>
    <n v="96"/>
    <x v="0"/>
    <s v="A"/>
    <m/>
  </r>
  <r>
    <n v="872"/>
    <s v="Female"/>
    <n v="4.0999999999999996"/>
    <n v="80.8"/>
    <n v="5.9"/>
    <s v="High School"/>
    <s v="Yes"/>
    <s v="Yes"/>
    <s v="Yes"/>
    <n v="76.900000000000006"/>
    <n v="93"/>
    <x v="6"/>
    <s v="A"/>
    <m/>
  </r>
  <r>
    <n v="873"/>
    <s v="Female"/>
    <n v="2.4"/>
    <n v="59"/>
    <n v="8.1999999999999993"/>
    <s v="High School"/>
    <s v="Yes"/>
    <s v="No"/>
    <s v="No"/>
    <n v="68.7"/>
    <n v="76"/>
    <x v="5"/>
    <s v="C"/>
    <m/>
  </r>
  <r>
    <n v="874"/>
    <s v="Male"/>
    <n v="3.4"/>
    <n v="87"/>
    <n v="8.5"/>
    <s v="Bachelors"/>
    <s v="Yes"/>
    <s v="No"/>
    <s v="No"/>
    <n v="67.8"/>
    <n v="85"/>
    <x v="4"/>
    <s v="B"/>
    <m/>
  </r>
  <r>
    <n v="875"/>
    <s v="Female"/>
    <n v="4.3"/>
    <n v="89.4"/>
    <n v="6.5"/>
    <s v="High School"/>
    <s v="Yes"/>
    <s v="No"/>
    <s v="No"/>
    <n v="60.7"/>
    <n v="94"/>
    <x v="6"/>
    <s v="A"/>
    <m/>
  </r>
  <r>
    <n v="876"/>
    <s v="Male"/>
    <n v="3.6"/>
    <n v="89"/>
    <n v="6.9"/>
    <s v="None"/>
    <s v="Yes"/>
    <s v="Yes"/>
    <s v="No"/>
    <n v="90"/>
    <n v="81"/>
    <x v="1"/>
    <s v="B"/>
    <m/>
  </r>
  <r>
    <n v="877"/>
    <s v="Female"/>
    <n v="4.3"/>
    <n v="97.4"/>
    <n v="5.7"/>
    <s v="High School"/>
    <s v="Yes"/>
    <s v="No"/>
    <s v="Yes"/>
    <n v="65.5"/>
    <n v="99"/>
    <x v="0"/>
    <s v="A"/>
    <m/>
  </r>
  <r>
    <n v="878"/>
    <s v="Female"/>
    <n v="2.1"/>
    <n v="74.3"/>
    <n v="8.1999999999999993"/>
    <s v="High School"/>
    <s v="No"/>
    <s v="Yes"/>
    <s v="No"/>
    <n v="78.400000000000006"/>
    <n v="65"/>
    <x v="2"/>
    <s v="D"/>
    <m/>
  </r>
  <r>
    <n v="879"/>
    <s v="Male"/>
    <n v="3.8"/>
    <n v="91.8"/>
    <n v="7.6"/>
    <s v="High School"/>
    <s v="Yes"/>
    <s v="Yes"/>
    <s v="No"/>
    <n v="47.5"/>
    <n v="78"/>
    <x v="5"/>
    <s v="C"/>
    <m/>
  </r>
  <r>
    <n v="880"/>
    <s v="Male"/>
    <n v="1.4"/>
    <n v="96.9"/>
    <n v="9.1"/>
    <s v="Masters"/>
    <s v="Yes"/>
    <s v="Yes"/>
    <s v="Yes"/>
    <n v="84.2"/>
    <n v="86"/>
    <x v="4"/>
    <s v="B"/>
    <m/>
  </r>
  <r>
    <n v="881"/>
    <s v="Male"/>
    <n v="3.3"/>
    <n v="67.2"/>
    <n v="5.7"/>
    <s v="Bachelors"/>
    <s v="Yes"/>
    <s v="Yes"/>
    <s v="No"/>
    <n v="82.6"/>
    <n v="81"/>
    <x v="1"/>
    <s v="B"/>
    <m/>
  </r>
  <r>
    <n v="882"/>
    <s v="Female"/>
    <n v="2.1"/>
    <n v="88.2"/>
    <n v="6.3"/>
    <s v="Bachelors"/>
    <s v="Yes"/>
    <s v="No"/>
    <s v="No"/>
    <n v="71.2"/>
    <n v="85"/>
    <x v="4"/>
    <s v="B"/>
    <m/>
  </r>
  <r>
    <n v="883"/>
    <s v="Male"/>
    <n v="2.4"/>
    <n v="80"/>
    <n v="7.1"/>
    <s v="High School"/>
    <s v="Yes"/>
    <s v="Yes"/>
    <s v="No"/>
    <n v="67.3"/>
    <n v="72"/>
    <x v="3"/>
    <s v="C"/>
    <m/>
  </r>
  <r>
    <n v="884"/>
    <s v="Female"/>
    <n v="5.4"/>
    <n v="84.2"/>
    <n v="7.6"/>
    <s v="High School"/>
    <s v="Yes"/>
    <s v="No"/>
    <s v="Yes"/>
    <n v="74.8"/>
    <n v="94"/>
    <x v="6"/>
    <s v="A"/>
    <m/>
  </r>
  <r>
    <n v="885"/>
    <s v="Female"/>
    <n v="5.0999999999999996"/>
    <n v="88.5"/>
    <n v="6.5"/>
    <s v="Bachelors"/>
    <s v="Yes"/>
    <s v="Yes"/>
    <s v="No"/>
    <n v="97.5"/>
    <n v="100"/>
    <x v="0"/>
    <s v="A"/>
    <m/>
  </r>
  <r>
    <n v="886"/>
    <s v="Male"/>
    <n v="4.4000000000000004"/>
    <n v="80.099999999999994"/>
    <n v="5.8"/>
    <s v="Masters"/>
    <s v="Yes"/>
    <s v="Yes"/>
    <s v="Yes"/>
    <n v="48.8"/>
    <n v="77"/>
    <x v="5"/>
    <s v="C"/>
    <m/>
  </r>
  <r>
    <n v="887"/>
    <s v="Male"/>
    <n v="1.9"/>
    <n v="78.2"/>
    <n v="7.9"/>
    <s v="PhD"/>
    <s v="Yes"/>
    <s v="No"/>
    <s v="Yes"/>
    <n v="79.400000000000006"/>
    <n v="77"/>
    <x v="5"/>
    <s v="C"/>
    <m/>
  </r>
  <r>
    <n v="888"/>
    <s v="Female"/>
    <n v="3"/>
    <n v="85.3"/>
    <n v="7.7"/>
    <s v="High School"/>
    <s v="Yes"/>
    <s v="No"/>
    <s v="No"/>
    <n v="59.1"/>
    <n v="80"/>
    <x v="1"/>
    <s v="C"/>
    <m/>
  </r>
  <r>
    <n v="889"/>
    <s v="Female"/>
    <n v="5.3"/>
    <n v="74.099999999999994"/>
    <n v="5.7"/>
    <s v="Bachelors"/>
    <s v="Yes"/>
    <s v="Yes"/>
    <s v="Yes"/>
    <n v="69.8"/>
    <n v="82"/>
    <x v="1"/>
    <s v="B"/>
    <m/>
  </r>
  <r>
    <n v="890"/>
    <s v="Male"/>
    <n v="3.7"/>
    <n v="74.099999999999994"/>
    <n v="8.4"/>
    <s v="None"/>
    <s v="Yes"/>
    <s v="Yes"/>
    <s v="Yes"/>
    <n v="67"/>
    <n v="77"/>
    <x v="5"/>
    <s v="C"/>
    <m/>
  </r>
  <r>
    <n v="891"/>
    <s v="Male"/>
    <n v="7"/>
    <n v="91.8"/>
    <n v="8.1999999999999993"/>
    <s v="Bachelors"/>
    <s v="Yes"/>
    <s v="Yes"/>
    <s v="Yes"/>
    <n v="64.900000000000006"/>
    <n v="100"/>
    <x v="0"/>
    <s v="A"/>
    <m/>
  </r>
  <r>
    <n v="892"/>
    <s v="Male"/>
    <n v="4.0999999999999996"/>
    <n v="73.5"/>
    <n v="7"/>
    <s v="Masters"/>
    <s v="Yes"/>
    <s v="Yes"/>
    <s v="Yes"/>
    <n v="69.900000000000006"/>
    <n v="87"/>
    <x v="4"/>
    <s v="B"/>
    <m/>
  </r>
  <r>
    <n v="893"/>
    <s v="Male"/>
    <n v="3.8"/>
    <n v="91.7"/>
    <n v="6.9"/>
    <s v="High School"/>
    <s v="Yes"/>
    <s v="No"/>
    <s v="Yes"/>
    <n v="56.4"/>
    <n v="76"/>
    <x v="5"/>
    <s v="C"/>
    <m/>
  </r>
  <r>
    <n v="894"/>
    <s v="Male"/>
    <n v="3"/>
    <n v="89.6"/>
    <n v="7.5"/>
    <s v="None"/>
    <s v="No"/>
    <s v="No"/>
    <s v="No"/>
    <n v="82.4"/>
    <n v="80"/>
    <x v="1"/>
    <s v="C"/>
    <m/>
  </r>
  <r>
    <n v="895"/>
    <s v="Female"/>
    <n v="3.7"/>
    <n v="67.7"/>
    <n v="5.8"/>
    <s v="Masters"/>
    <s v="Yes"/>
    <s v="Yes"/>
    <s v="Yes"/>
    <n v="48.5"/>
    <n v="71"/>
    <x v="3"/>
    <s v="C"/>
    <m/>
  </r>
  <r>
    <n v="896"/>
    <s v="Female"/>
    <n v="3.3"/>
    <n v="78.2"/>
    <n v="6.8"/>
    <s v="None"/>
    <s v="Yes"/>
    <s v="No"/>
    <s v="Yes"/>
    <n v="76.5"/>
    <n v="81"/>
    <x v="1"/>
    <s v="B"/>
    <m/>
  </r>
  <r>
    <n v="897"/>
    <s v="Female"/>
    <n v="4.5999999999999996"/>
    <n v="96.9"/>
    <n v="4.2"/>
    <s v="Masters"/>
    <s v="Yes"/>
    <s v="No"/>
    <s v="Yes"/>
    <n v="66.099999999999994"/>
    <n v="91"/>
    <x v="6"/>
    <s v="A"/>
    <m/>
  </r>
  <r>
    <n v="898"/>
    <s v="Female"/>
    <n v="4.9000000000000004"/>
    <n v="75.2"/>
    <n v="7.9"/>
    <s v="Bachelors"/>
    <s v="Yes"/>
    <s v="Yes"/>
    <s v="No"/>
    <n v="55.9"/>
    <n v="79"/>
    <x v="5"/>
    <s v="C"/>
    <m/>
  </r>
  <r>
    <n v="899"/>
    <s v="Male"/>
    <n v="2.2999999999999998"/>
    <n v="80.400000000000006"/>
    <n v="4.9000000000000004"/>
    <s v="None"/>
    <s v="Yes"/>
    <s v="Yes"/>
    <s v="No"/>
    <n v="72.400000000000006"/>
    <n v="67"/>
    <x v="2"/>
    <s v="D"/>
    <m/>
  </r>
  <r>
    <n v="900"/>
    <s v="Male"/>
    <n v="1.5"/>
    <n v="89.6"/>
    <n v="8.6"/>
    <s v="High School"/>
    <s v="Yes"/>
    <s v="No"/>
    <s v="No"/>
    <n v="51.3"/>
    <n v="69"/>
    <x v="2"/>
    <s v="D"/>
    <m/>
  </r>
  <r>
    <n v="901"/>
    <s v="Male"/>
    <n v="0.7"/>
    <n v="92.8"/>
    <n v="6.4"/>
    <s v="High School"/>
    <s v="Yes"/>
    <s v="No"/>
    <s v="No"/>
    <n v="70.5"/>
    <n v="70"/>
    <x v="3"/>
    <s v="D"/>
    <m/>
  </r>
  <r>
    <n v="902"/>
    <s v="Female"/>
    <n v="4.3"/>
    <n v="82.5"/>
    <n v="6.5"/>
    <s v="Masters"/>
    <s v="Yes"/>
    <s v="Yes"/>
    <s v="No"/>
    <n v="52.9"/>
    <n v="81"/>
    <x v="1"/>
    <s v="B"/>
    <m/>
  </r>
  <r>
    <n v="903"/>
    <s v="Female"/>
    <n v="1.8"/>
    <n v="79"/>
    <n v="6"/>
    <s v="Masters"/>
    <s v="Yes"/>
    <s v="Yes"/>
    <s v="No"/>
    <n v="75.5"/>
    <n v="73"/>
    <x v="3"/>
    <s v="C"/>
    <m/>
  </r>
  <r>
    <n v="904"/>
    <s v="Male"/>
    <n v="0.5"/>
    <n v="99.2"/>
    <n v="6.5"/>
    <s v="None"/>
    <s v="No"/>
    <s v="Yes"/>
    <s v="Yes"/>
    <n v="58.9"/>
    <n v="69"/>
    <x v="2"/>
    <s v="D"/>
    <m/>
  </r>
  <r>
    <n v="905"/>
    <s v="Male"/>
    <n v="4.0999999999999996"/>
    <n v="100"/>
    <n v="8.5"/>
    <s v="High School"/>
    <s v="Yes"/>
    <s v="No"/>
    <s v="No"/>
    <n v="64.599999999999994"/>
    <n v="91"/>
    <x v="6"/>
    <s v="A"/>
    <m/>
  </r>
  <r>
    <n v="906"/>
    <s v="Female"/>
    <n v="7.2"/>
    <n v="94.8"/>
    <n v="3.8"/>
    <s v="Masters"/>
    <s v="Yes"/>
    <s v="Yes"/>
    <s v="No"/>
    <n v="73.5"/>
    <n v="100"/>
    <x v="0"/>
    <s v="A"/>
    <m/>
  </r>
  <r>
    <n v="907"/>
    <s v="Female"/>
    <n v="3.5"/>
    <n v="85.9"/>
    <n v="8.3000000000000007"/>
    <s v="Masters"/>
    <s v="Yes"/>
    <s v="Yes"/>
    <s v="No"/>
    <n v="60.7"/>
    <n v="85"/>
    <x v="4"/>
    <s v="B"/>
    <m/>
  </r>
  <r>
    <n v="908"/>
    <s v="Male"/>
    <n v="4.8"/>
    <n v="76.900000000000006"/>
    <n v="7.2"/>
    <s v="High School"/>
    <s v="Yes"/>
    <s v="No"/>
    <s v="Yes"/>
    <n v="69.3"/>
    <n v="86"/>
    <x v="4"/>
    <s v="B"/>
    <m/>
  </r>
  <r>
    <n v="909"/>
    <s v="Male"/>
    <n v="3.6"/>
    <n v="76.7"/>
    <n v="5.4"/>
    <s v="Bachelors"/>
    <s v="Yes"/>
    <s v="No"/>
    <s v="No"/>
    <n v="51.8"/>
    <n v="73"/>
    <x v="3"/>
    <s v="C"/>
    <m/>
  </r>
  <r>
    <n v="910"/>
    <s v="Female"/>
    <n v="3.4"/>
    <n v="90.2"/>
    <n v="5.5"/>
    <s v="High School"/>
    <s v="Yes"/>
    <s v="No"/>
    <s v="Yes"/>
    <n v="77.599999999999994"/>
    <n v="88"/>
    <x v="4"/>
    <s v="B"/>
    <m/>
  </r>
  <r>
    <n v="911"/>
    <s v="Male"/>
    <n v="4.9000000000000004"/>
    <n v="89.2"/>
    <n v="8.8000000000000007"/>
    <s v="High School"/>
    <s v="Yes"/>
    <s v="Yes"/>
    <s v="Yes"/>
    <n v="91.2"/>
    <n v="97"/>
    <x v="0"/>
    <s v="A"/>
    <m/>
  </r>
  <r>
    <n v="912"/>
    <s v="Male"/>
    <n v="3.1"/>
    <n v="99"/>
    <n v="5.7"/>
    <s v="None"/>
    <s v="Yes"/>
    <s v="Yes"/>
    <s v="No"/>
    <n v="100"/>
    <n v="100"/>
    <x v="0"/>
    <s v="A"/>
    <m/>
  </r>
  <r>
    <n v="913"/>
    <s v="Male"/>
    <n v="3.9"/>
    <n v="91.5"/>
    <n v="5.4"/>
    <s v="Bachelors"/>
    <s v="No"/>
    <s v="Yes"/>
    <s v="No"/>
    <n v="71.099999999999994"/>
    <n v="82"/>
    <x v="1"/>
    <s v="B"/>
    <m/>
  </r>
  <r>
    <n v="914"/>
    <s v="Female"/>
    <n v="4"/>
    <n v="70"/>
    <n v="8.1999999999999993"/>
    <s v="Masters"/>
    <s v="Yes"/>
    <s v="Yes"/>
    <s v="No"/>
    <n v="79.5"/>
    <n v="80"/>
    <x v="1"/>
    <s v="B"/>
    <m/>
  </r>
  <r>
    <n v="915"/>
    <s v="Female"/>
    <n v="2.5"/>
    <n v="95.5"/>
    <n v="7.2"/>
    <s v="None"/>
    <s v="Yes"/>
    <s v="No"/>
    <s v="No"/>
    <n v="48.6"/>
    <n v="77"/>
    <x v="5"/>
    <s v="C"/>
    <m/>
  </r>
  <r>
    <n v="916"/>
    <s v="Female"/>
    <n v="5"/>
    <n v="75"/>
    <n v="5.7"/>
    <s v="Bachelors"/>
    <s v="No"/>
    <s v="Yes"/>
    <s v="Yes"/>
    <n v="88"/>
    <n v="82"/>
    <x v="1"/>
    <s v="B"/>
    <m/>
  </r>
  <r>
    <n v="917"/>
    <s v="Female"/>
    <n v="3.2"/>
    <n v="81.2"/>
    <n v="7.1"/>
    <s v="Masters"/>
    <s v="Yes"/>
    <s v="Yes"/>
    <s v="Yes"/>
    <n v="79.3"/>
    <n v="88"/>
    <x v="4"/>
    <s v="B"/>
    <m/>
  </r>
  <r>
    <n v="918"/>
    <s v="Female"/>
    <n v="2.4"/>
    <n v="87.5"/>
    <n v="5.6"/>
    <s v="Bachelors"/>
    <s v="Yes"/>
    <s v="Yes"/>
    <s v="Yes"/>
    <n v="64.2"/>
    <n v="88"/>
    <x v="4"/>
    <s v="B"/>
    <m/>
  </r>
  <r>
    <n v="919"/>
    <s v="Female"/>
    <n v="4.3"/>
    <n v="100"/>
    <n v="8.1"/>
    <s v="PhD"/>
    <s v="Yes"/>
    <s v="Yes"/>
    <s v="No"/>
    <n v="84.8"/>
    <n v="97"/>
    <x v="0"/>
    <s v="A"/>
    <m/>
  </r>
  <r>
    <n v="920"/>
    <s v="Female"/>
    <n v="2.2000000000000002"/>
    <n v="100"/>
    <n v="8.1"/>
    <s v="High School"/>
    <s v="Yes"/>
    <s v="No"/>
    <s v="Yes"/>
    <n v="66.900000000000006"/>
    <n v="83"/>
    <x v="1"/>
    <s v="B"/>
    <m/>
  </r>
  <r>
    <n v="921"/>
    <s v="Male"/>
    <n v="3.5"/>
    <n v="91.1"/>
    <n v="7.4"/>
    <s v="None"/>
    <s v="Yes"/>
    <s v="Yes"/>
    <s v="Yes"/>
    <n v="64.5"/>
    <n v="73"/>
    <x v="3"/>
    <s v="C"/>
    <m/>
  </r>
  <r>
    <n v="922"/>
    <s v="Male"/>
    <n v="3.5"/>
    <n v="83.2"/>
    <n v="7.2"/>
    <s v="High School"/>
    <s v="Yes"/>
    <s v="Yes"/>
    <s v="No"/>
    <n v="75.7"/>
    <n v="91"/>
    <x v="6"/>
    <s v="A"/>
    <m/>
  </r>
  <r>
    <n v="923"/>
    <s v="Male"/>
    <n v="5.0999999999999996"/>
    <n v="90.3"/>
    <n v="8.9"/>
    <s v="High School"/>
    <s v="Yes"/>
    <s v="Yes"/>
    <s v="Yes"/>
    <n v="57.2"/>
    <n v="84"/>
    <x v="1"/>
    <s v="B"/>
    <m/>
  </r>
  <r>
    <n v="924"/>
    <s v="Male"/>
    <n v="4.2"/>
    <n v="93.9"/>
    <n v="6.8"/>
    <s v="Masters"/>
    <s v="Yes"/>
    <s v="Yes"/>
    <s v="No"/>
    <n v="82.3"/>
    <n v="93"/>
    <x v="6"/>
    <s v="A"/>
    <m/>
  </r>
  <r>
    <n v="925"/>
    <s v="Male"/>
    <n v="3.5"/>
    <n v="81.8"/>
    <n v="5.4"/>
    <s v="Bachelors"/>
    <s v="Yes"/>
    <s v="Yes"/>
    <s v="No"/>
    <n v="57.3"/>
    <n v="71"/>
    <x v="3"/>
    <s v="C"/>
    <m/>
  </r>
  <r>
    <n v="926"/>
    <s v="Male"/>
    <n v="4.7"/>
    <n v="100"/>
    <n v="7.3"/>
    <s v="Bachelors"/>
    <s v="Yes"/>
    <s v="No"/>
    <s v="No"/>
    <n v="57.4"/>
    <n v="95"/>
    <x v="0"/>
    <s v="A"/>
    <m/>
  </r>
  <r>
    <n v="927"/>
    <s v="Male"/>
    <n v="5.6"/>
    <n v="87.3"/>
    <n v="9.3000000000000007"/>
    <s v="Bachelors"/>
    <s v="Yes"/>
    <s v="No"/>
    <s v="No"/>
    <n v="59.1"/>
    <n v="100"/>
    <x v="0"/>
    <s v="A"/>
    <m/>
  </r>
  <r>
    <n v="928"/>
    <s v="Female"/>
    <n v="4.3"/>
    <n v="90"/>
    <n v="5.6"/>
    <s v="Masters"/>
    <s v="Yes"/>
    <s v="No"/>
    <s v="No"/>
    <n v="79.099999999999994"/>
    <n v="92"/>
    <x v="6"/>
    <s v="A"/>
    <m/>
  </r>
  <r>
    <n v="929"/>
    <s v="Female"/>
    <n v="3.5"/>
    <n v="91.7"/>
    <n v="6.4"/>
    <s v="High School"/>
    <s v="Yes"/>
    <s v="No"/>
    <s v="Yes"/>
    <n v="62.6"/>
    <n v="75"/>
    <x v="5"/>
    <s v="C"/>
    <m/>
  </r>
  <r>
    <n v="930"/>
    <s v="Male"/>
    <n v="1.5"/>
    <n v="89.2"/>
    <n v="7.3"/>
    <s v="High School"/>
    <s v="Yes"/>
    <s v="No"/>
    <s v="No"/>
    <n v="53.8"/>
    <n v="81"/>
    <x v="1"/>
    <s v="B"/>
    <m/>
  </r>
  <r>
    <n v="931"/>
    <s v="Male"/>
    <n v="1.9"/>
    <n v="93.4"/>
    <n v="6.7"/>
    <s v="High School"/>
    <s v="Yes"/>
    <s v="No"/>
    <s v="No"/>
    <n v="62.7"/>
    <n v="73"/>
    <x v="3"/>
    <s v="C"/>
    <m/>
  </r>
  <r>
    <n v="932"/>
    <s v="Female"/>
    <n v="3"/>
    <n v="78.8"/>
    <n v="5.6"/>
    <s v="Bachelors"/>
    <s v="Yes"/>
    <s v="Yes"/>
    <s v="Yes"/>
    <n v="69.599999999999994"/>
    <n v="64"/>
    <x v="7"/>
    <s v="D"/>
    <m/>
  </r>
  <r>
    <n v="933"/>
    <s v="Male"/>
    <n v="2.6"/>
    <n v="79.400000000000006"/>
    <n v="8.1"/>
    <s v="High School"/>
    <s v="Yes"/>
    <s v="Yes"/>
    <s v="Yes"/>
    <n v="55.8"/>
    <n v="75"/>
    <x v="5"/>
    <s v="C"/>
    <m/>
  </r>
  <r>
    <n v="934"/>
    <s v="Male"/>
    <n v="3.2"/>
    <n v="74"/>
    <n v="9.6"/>
    <s v="Bachelors"/>
    <s v="Yes"/>
    <s v="Yes"/>
    <s v="No"/>
    <n v="56.2"/>
    <n v="72"/>
    <x v="3"/>
    <s v="C"/>
    <m/>
  </r>
  <r>
    <n v="935"/>
    <s v="Female"/>
    <n v="3.6"/>
    <n v="89.4"/>
    <n v="7"/>
    <s v="Bachelors"/>
    <s v="Yes"/>
    <s v="No"/>
    <s v="No"/>
    <n v="95.3"/>
    <n v="100"/>
    <x v="0"/>
    <s v="A"/>
    <m/>
  </r>
  <r>
    <n v="936"/>
    <s v="Male"/>
    <n v="4.3"/>
    <n v="92.8"/>
    <n v="5.7"/>
    <s v="High School"/>
    <s v="Yes"/>
    <s v="No"/>
    <s v="No"/>
    <n v="59.7"/>
    <n v="83"/>
    <x v="1"/>
    <s v="B"/>
    <m/>
  </r>
  <r>
    <n v="937"/>
    <s v="Female"/>
    <n v="3.4"/>
    <n v="89.6"/>
    <n v="4.9000000000000004"/>
    <s v="Bachelors"/>
    <s v="Yes"/>
    <s v="No"/>
    <s v="No"/>
    <n v="66.099999999999994"/>
    <n v="86"/>
    <x v="4"/>
    <s v="B"/>
    <m/>
  </r>
  <r>
    <n v="938"/>
    <s v="Male"/>
    <n v="4.2"/>
    <n v="100"/>
    <n v="7.1"/>
    <s v="PhD"/>
    <s v="No"/>
    <s v="Yes"/>
    <s v="Yes"/>
    <n v="65.599999999999994"/>
    <n v="93"/>
    <x v="6"/>
    <s v="A"/>
    <m/>
  </r>
  <r>
    <n v="939"/>
    <s v="Female"/>
    <n v="3.6"/>
    <n v="84.9"/>
    <n v="8.1"/>
    <s v="High School"/>
    <s v="Yes"/>
    <s v="No"/>
    <s v="No"/>
    <n v="64.900000000000006"/>
    <n v="77"/>
    <x v="5"/>
    <s v="C"/>
    <m/>
  </r>
  <r>
    <n v="940"/>
    <s v="Female"/>
    <n v="0.5"/>
    <n v="91.7"/>
    <n v="7.4"/>
    <s v="Bachelors"/>
    <s v="Yes"/>
    <s v="Yes"/>
    <s v="No"/>
    <n v="77.5"/>
    <n v="75"/>
    <x v="5"/>
    <s v="C"/>
    <m/>
  </r>
  <r>
    <n v="941"/>
    <s v="Female"/>
    <n v="2.1"/>
    <n v="74.099999999999994"/>
    <n v="6.8"/>
    <s v="Masters"/>
    <s v="Yes"/>
    <s v="Yes"/>
    <s v="Yes"/>
    <n v="81.400000000000006"/>
    <n v="77"/>
    <x v="5"/>
    <s v="C"/>
    <m/>
  </r>
  <r>
    <n v="942"/>
    <s v="Male"/>
    <n v="3.3"/>
    <n v="81.099999999999994"/>
    <n v="6.1"/>
    <s v="Bachelors"/>
    <s v="No"/>
    <s v="Yes"/>
    <s v="No"/>
    <n v="66.3"/>
    <n v="85"/>
    <x v="4"/>
    <s v="B"/>
    <m/>
  </r>
  <r>
    <n v="943"/>
    <s v="Female"/>
    <n v="1.7"/>
    <n v="92"/>
    <n v="5.5"/>
    <s v="Masters"/>
    <s v="Yes"/>
    <s v="Yes"/>
    <s v="No"/>
    <n v="55.2"/>
    <n v="69"/>
    <x v="2"/>
    <s v="D"/>
    <m/>
  </r>
  <r>
    <n v="944"/>
    <s v="Male"/>
    <n v="4.4000000000000004"/>
    <n v="93.5"/>
    <n v="7.8"/>
    <s v="Bachelors"/>
    <s v="Yes"/>
    <s v="Yes"/>
    <s v="No"/>
    <n v="85.3"/>
    <n v="96"/>
    <x v="0"/>
    <s v="A"/>
    <m/>
  </r>
  <r>
    <n v="945"/>
    <s v="Male"/>
    <n v="5.8"/>
    <n v="82.1"/>
    <n v="7.9"/>
    <s v="Bachelors"/>
    <s v="Yes"/>
    <s v="Yes"/>
    <s v="Yes"/>
    <n v="68.900000000000006"/>
    <n v="96"/>
    <x v="0"/>
    <s v="A"/>
    <m/>
  </r>
  <r>
    <n v="946"/>
    <s v="Male"/>
    <n v="5.3"/>
    <n v="84.3"/>
    <n v="4.9000000000000004"/>
    <s v="High School"/>
    <s v="Yes"/>
    <s v="Yes"/>
    <s v="No"/>
    <n v="90.8"/>
    <n v="96"/>
    <x v="0"/>
    <s v="A"/>
    <m/>
  </r>
  <r>
    <n v="947"/>
    <s v="Male"/>
    <n v="3.2"/>
    <n v="69.8"/>
    <n v="8.6999999999999993"/>
    <s v="Masters"/>
    <s v="Yes"/>
    <s v="No"/>
    <s v="No"/>
    <n v="43.1"/>
    <n v="70"/>
    <x v="3"/>
    <s v="C"/>
    <m/>
  </r>
  <r>
    <n v="948"/>
    <s v="Female"/>
    <n v="5.7"/>
    <n v="81.400000000000006"/>
    <n v="7.5"/>
    <s v="Masters"/>
    <s v="Yes"/>
    <s v="No"/>
    <s v="No"/>
    <n v="72.3"/>
    <n v="86"/>
    <x v="4"/>
    <s v="B"/>
    <m/>
  </r>
  <r>
    <n v="949"/>
    <s v="Female"/>
    <n v="3.7"/>
    <n v="93.9"/>
    <n v="8.5"/>
    <s v="High School"/>
    <s v="No"/>
    <s v="No"/>
    <s v="No"/>
    <n v="93"/>
    <n v="100"/>
    <x v="0"/>
    <s v="A"/>
    <m/>
  </r>
  <r>
    <n v="950"/>
    <s v="Male"/>
    <n v="3"/>
    <n v="90.8"/>
    <n v="5.2"/>
    <s v="Bachelors"/>
    <s v="No"/>
    <s v="Yes"/>
    <s v="Yes"/>
    <n v="65.8"/>
    <n v="66"/>
    <x v="2"/>
    <s v="D"/>
    <m/>
  </r>
  <r>
    <n v="951"/>
    <s v="Male"/>
    <n v="2.6"/>
    <n v="90"/>
    <n v="5.2"/>
    <s v="None"/>
    <s v="No"/>
    <s v="No"/>
    <s v="No"/>
    <n v="67.3"/>
    <n v="72"/>
    <x v="3"/>
    <s v="C"/>
    <m/>
  </r>
  <r>
    <n v="952"/>
    <s v="Female"/>
    <n v="3"/>
    <n v="85.5"/>
    <n v="6.6"/>
    <s v="Bachelors"/>
    <s v="Yes"/>
    <s v="No"/>
    <s v="No"/>
    <n v="73.5"/>
    <n v="84"/>
    <x v="1"/>
    <s v="B"/>
    <m/>
  </r>
  <r>
    <n v="953"/>
    <s v="Male"/>
    <n v="2.9"/>
    <n v="85.1"/>
    <n v="7.4"/>
    <s v="Bachelors"/>
    <s v="Yes"/>
    <s v="Yes"/>
    <s v="Yes"/>
    <n v="63.3"/>
    <n v="90"/>
    <x v="6"/>
    <s v="B"/>
    <m/>
  </r>
  <r>
    <n v="954"/>
    <s v="Female"/>
    <n v="3.8"/>
    <n v="78.400000000000006"/>
    <n v="9"/>
    <s v="None"/>
    <s v="Yes"/>
    <s v="Yes"/>
    <s v="No"/>
    <n v="66.3"/>
    <n v="78"/>
    <x v="5"/>
    <s v="C"/>
    <m/>
  </r>
  <r>
    <n v="955"/>
    <s v="Male"/>
    <n v="3.7"/>
    <n v="92"/>
    <n v="7.6"/>
    <s v="Masters"/>
    <s v="Yes"/>
    <s v="Yes"/>
    <s v="No"/>
    <n v="65.900000000000006"/>
    <n v="100"/>
    <x v="0"/>
    <s v="A"/>
    <m/>
  </r>
  <r>
    <n v="956"/>
    <s v="Male"/>
    <n v="3.5"/>
    <n v="89.2"/>
    <n v="6.5"/>
    <s v="Bachelors"/>
    <s v="Yes"/>
    <s v="Yes"/>
    <s v="No"/>
    <n v="62.5"/>
    <n v="88"/>
    <x v="4"/>
    <s v="B"/>
    <m/>
  </r>
  <r>
    <n v="957"/>
    <s v="Female"/>
    <n v="4.2"/>
    <n v="89.9"/>
    <n v="5.6"/>
    <s v="Masters"/>
    <s v="Yes"/>
    <s v="No"/>
    <s v="Yes"/>
    <n v="84.7"/>
    <n v="94"/>
    <x v="6"/>
    <s v="A"/>
    <m/>
  </r>
  <r>
    <n v="958"/>
    <s v="Male"/>
    <n v="5.3"/>
    <n v="79.7"/>
    <n v="8.3000000000000007"/>
    <s v="PhD"/>
    <s v="Yes"/>
    <s v="No"/>
    <s v="No"/>
    <n v="75.5"/>
    <n v="89"/>
    <x v="4"/>
    <s v="B"/>
    <m/>
  </r>
  <r>
    <n v="959"/>
    <s v="Female"/>
    <n v="4.9000000000000004"/>
    <n v="63.5"/>
    <n v="5.6"/>
    <s v="Bachelors"/>
    <s v="Yes"/>
    <s v="Yes"/>
    <s v="No"/>
    <n v="73"/>
    <n v="88"/>
    <x v="4"/>
    <s v="B"/>
    <m/>
  </r>
  <r>
    <n v="960"/>
    <s v="Male"/>
    <n v="1.3"/>
    <n v="96"/>
    <n v="8.8000000000000007"/>
    <s v="Bachelors"/>
    <s v="Yes"/>
    <s v="No"/>
    <s v="No"/>
    <n v="79.7"/>
    <n v="81"/>
    <x v="1"/>
    <s v="B"/>
    <m/>
  </r>
  <r>
    <n v="961"/>
    <s v="Male"/>
    <n v="0.5"/>
    <n v="80.2"/>
    <n v="6.5"/>
    <s v="Bachelors"/>
    <s v="Yes"/>
    <s v="No"/>
    <s v="No"/>
    <n v="66.8"/>
    <n v="75"/>
    <x v="5"/>
    <s v="C"/>
    <m/>
  </r>
  <r>
    <n v="962"/>
    <s v="Male"/>
    <n v="4.9000000000000004"/>
    <n v="76.400000000000006"/>
    <n v="8.6999999999999993"/>
    <s v="None"/>
    <s v="Yes"/>
    <s v="No"/>
    <s v="No"/>
    <n v="60.7"/>
    <n v="81"/>
    <x v="1"/>
    <s v="B"/>
    <m/>
  </r>
  <r>
    <n v="963"/>
    <s v="Female"/>
    <n v="1.4"/>
    <n v="91.9"/>
    <n v="7.6"/>
    <s v="Masters"/>
    <s v="Yes"/>
    <s v="Yes"/>
    <s v="Yes"/>
    <n v="62.8"/>
    <n v="73"/>
    <x v="3"/>
    <s v="C"/>
    <m/>
  </r>
  <r>
    <n v="964"/>
    <s v="Male"/>
    <n v="3.2"/>
    <n v="81.099999999999994"/>
    <n v="6.6"/>
    <s v="High School"/>
    <s v="Yes"/>
    <s v="No"/>
    <s v="No"/>
    <n v="70"/>
    <n v="78"/>
    <x v="5"/>
    <s v="C"/>
    <m/>
  </r>
  <r>
    <n v="965"/>
    <s v="Male"/>
    <n v="1.7"/>
    <n v="95.6"/>
    <n v="6.2"/>
    <s v="PhD"/>
    <s v="Yes"/>
    <s v="Yes"/>
    <s v="No"/>
    <n v="57.3"/>
    <n v="70"/>
    <x v="3"/>
    <s v="D"/>
    <m/>
  </r>
  <r>
    <n v="966"/>
    <s v="Male"/>
    <n v="0.8"/>
    <n v="91.2"/>
    <n v="6.4"/>
    <s v="Bachelors"/>
    <s v="Yes"/>
    <s v="No"/>
    <s v="No"/>
    <n v="64"/>
    <n v="76"/>
    <x v="5"/>
    <s v="C"/>
    <m/>
  </r>
  <r>
    <n v="967"/>
    <s v="Male"/>
    <n v="4.3"/>
    <n v="91.8"/>
    <n v="7.3"/>
    <s v="High School"/>
    <s v="Yes"/>
    <s v="Yes"/>
    <s v="Yes"/>
    <n v="63.8"/>
    <n v="90"/>
    <x v="6"/>
    <s v="A"/>
    <m/>
  </r>
  <r>
    <n v="968"/>
    <s v="Female"/>
    <n v="4.5999999999999996"/>
    <n v="71.3"/>
    <n v="6.9"/>
    <s v="Bachelors"/>
    <s v="Yes"/>
    <s v="Yes"/>
    <s v="No"/>
    <n v="95.5"/>
    <n v="100"/>
    <x v="0"/>
    <s v="A"/>
    <m/>
  </r>
  <r>
    <n v="969"/>
    <s v="Female"/>
    <n v="2.6"/>
    <n v="97.1"/>
    <n v="6.1"/>
    <s v="Bachelors"/>
    <s v="Yes"/>
    <s v="No"/>
    <s v="No"/>
    <n v="36.700000000000003"/>
    <n v="60"/>
    <x v="7"/>
    <s v="D"/>
    <m/>
  </r>
  <r>
    <n v="970"/>
    <s v="Male"/>
    <n v="0.5"/>
    <n v="87.6"/>
    <n v="6.6"/>
    <s v="PhD"/>
    <s v="Yes"/>
    <s v="Yes"/>
    <s v="No"/>
    <n v="67.8"/>
    <n v="78"/>
    <x v="5"/>
    <s v="C"/>
    <m/>
  </r>
  <r>
    <n v="971"/>
    <s v="Female"/>
    <n v="2.7"/>
    <n v="81.3"/>
    <n v="6.9"/>
    <s v="High School"/>
    <s v="Yes"/>
    <s v="Yes"/>
    <s v="Yes"/>
    <n v="90.7"/>
    <n v="100"/>
    <x v="0"/>
    <s v="A"/>
    <m/>
  </r>
  <r>
    <n v="972"/>
    <s v="Male"/>
    <n v="4.0999999999999996"/>
    <n v="86.4"/>
    <n v="4.2"/>
    <s v="Masters"/>
    <s v="No"/>
    <s v="Yes"/>
    <s v="Yes"/>
    <n v="71.5"/>
    <n v="76"/>
    <x v="5"/>
    <s v="C"/>
    <m/>
  </r>
  <r>
    <n v="973"/>
    <s v="Male"/>
    <n v="1.3"/>
    <n v="67.2"/>
    <n v="7.3"/>
    <s v="Bachelors"/>
    <s v="Yes"/>
    <s v="No"/>
    <s v="No"/>
    <n v="79"/>
    <n v="84"/>
    <x v="1"/>
    <s v="B"/>
    <m/>
  </r>
  <r>
    <n v="974"/>
    <s v="Male"/>
    <n v="3.8"/>
    <n v="89.1"/>
    <n v="5.6"/>
    <s v="High School"/>
    <s v="No"/>
    <s v="Yes"/>
    <s v="Yes"/>
    <n v="71.2"/>
    <n v="78"/>
    <x v="5"/>
    <s v="C"/>
    <m/>
  </r>
  <r>
    <n v="975"/>
    <s v="Female"/>
    <n v="3.5"/>
    <n v="74.7"/>
    <n v="5.4"/>
    <s v="None"/>
    <s v="Yes"/>
    <s v="No"/>
    <s v="No"/>
    <n v="62"/>
    <n v="68"/>
    <x v="2"/>
    <s v="D"/>
    <m/>
  </r>
  <r>
    <n v="976"/>
    <s v="Female"/>
    <n v="4.4000000000000004"/>
    <n v="71.5"/>
    <n v="4.8"/>
    <s v="Bachelors"/>
    <s v="Yes"/>
    <s v="Yes"/>
    <s v="Yes"/>
    <n v="43.1"/>
    <n v="67"/>
    <x v="2"/>
    <s v="D"/>
    <m/>
  </r>
  <r>
    <n v="977"/>
    <s v="Female"/>
    <n v="3.7"/>
    <n v="69.8"/>
    <n v="4.5999999999999996"/>
    <s v="High School"/>
    <s v="No"/>
    <s v="Yes"/>
    <s v="No"/>
    <n v="72.5"/>
    <n v="81"/>
    <x v="1"/>
    <s v="B"/>
    <m/>
  </r>
  <r>
    <n v="978"/>
    <s v="Female"/>
    <n v="2"/>
    <n v="96.1"/>
    <n v="5.2"/>
    <s v="Bachelors"/>
    <s v="Yes"/>
    <s v="Yes"/>
    <s v="No"/>
    <n v="60.7"/>
    <n v="72"/>
    <x v="3"/>
    <s v="C"/>
    <m/>
  </r>
  <r>
    <n v="979"/>
    <s v="Female"/>
    <n v="5.3"/>
    <n v="78.7"/>
    <n v="5.9"/>
    <s v="PhD"/>
    <s v="Yes"/>
    <s v="Yes"/>
    <s v="No"/>
    <n v="60.4"/>
    <n v="83"/>
    <x v="1"/>
    <s v="B"/>
    <m/>
  </r>
  <r>
    <n v="980"/>
    <s v="Female"/>
    <n v="3.3"/>
    <n v="100"/>
    <n v="9.1"/>
    <s v="High School"/>
    <s v="Yes"/>
    <s v="Yes"/>
    <s v="No"/>
    <n v="64"/>
    <n v="94"/>
    <x v="6"/>
    <s v="A"/>
    <m/>
  </r>
  <r>
    <n v="981"/>
    <s v="Female"/>
    <n v="3.5"/>
    <n v="79.599999999999994"/>
    <n v="6.2"/>
    <s v="High School"/>
    <s v="Yes"/>
    <s v="Yes"/>
    <s v="No"/>
    <n v="90.9"/>
    <n v="91"/>
    <x v="6"/>
    <s v="A"/>
    <m/>
  </r>
  <r>
    <n v="982"/>
    <s v="Female"/>
    <n v="2.1"/>
    <n v="67.900000000000006"/>
    <n v="7"/>
    <s v="High School"/>
    <s v="No"/>
    <s v="No"/>
    <s v="Yes"/>
    <n v="98.9"/>
    <n v="80"/>
    <x v="1"/>
    <s v="C"/>
    <m/>
  </r>
  <r>
    <n v="983"/>
    <s v="Female"/>
    <n v="2.8"/>
    <n v="73.8"/>
    <n v="7.3"/>
    <s v="High School"/>
    <s v="Yes"/>
    <s v="No"/>
    <s v="Yes"/>
    <n v="72.599999999999994"/>
    <n v="78"/>
    <x v="5"/>
    <s v="C"/>
    <m/>
  </r>
  <r>
    <n v="984"/>
    <s v="Male"/>
    <n v="2.2000000000000002"/>
    <n v="97.4"/>
    <n v="7"/>
    <s v="Masters"/>
    <s v="Yes"/>
    <s v="Yes"/>
    <s v="No"/>
    <n v="64.400000000000006"/>
    <n v="85"/>
    <x v="4"/>
    <s v="B"/>
    <m/>
  </r>
  <r>
    <n v="985"/>
    <s v="Female"/>
    <n v="3.2"/>
    <n v="83.4"/>
    <n v="6.7"/>
    <s v="Bachelors"/>
    <s v="Yes"/>
    <s v="Yes"/>
    <s v="No"/>
    <n v="55.9"/>
    <n v="75"/>
    <x v="5"/>
    <s v="C"/>
    <m/>
  </r>
  <r>
    <n v="986"/>
    <s v="Female"/>
    <n v="6.1"/>
    <n v="79.5"/>
    <n v="5.4"/>
    <s v="High School"/>
    <s v="Yes"/>
    <s v="No"/>
    <s v="No"/>
    <n v="75.599999999999994"/>
    <n v="96"/>
    <x v="0"/>
    <s v="A"/>
    <m/>
  </r>
  <r>
    <n v="987"/>
    <s v="Female"/>
    <n v="1.4"/>
    <n v="86.6"/>
    <n v="8.5"/>
    <s v="High School"/>
    <s v="Yes"/>
    <s v="Yes"/>
    <s v="No"/>
    <n v="91.4"/>
    <n v="82"/>
    <x v="1"/>
    <s v="B"/>
    <m/>
  </r>
  <r>
    <n v="988"/>
    <s v="Female"/>
    <n v="1.1000000000000001"/>
    <n v="90"/>
    <n v="9"/>
    <s v="High School"/>
    <s v="Yes"/>
    <s v="Yes"/>
    <s v="No"/>
    <n v="67"/>
    <n v="86"/>
    <x v="4"/>
    <s v="B"/>
    <m/>
  </r>
  <r>
    <n v="989"/>
    <s v="Female"/>
    <n v="5.7"/>
    <n v="96.2"/>
    <n v="4.8"/>
    <s v="None"/>
    <s v="Yes"/>
    <s v="No"/>
    <s v="No"/>
    <n v="41.5"/>
    <n v="81"/>
    <x v="1"/>
    <s v="B"/>
    <m/>
  </r>
  <r>
    <n v="990"/>
    <s v="Female"/>
    <n v="3.2"/>
    <n v="99.5"/>
    <n v="5.6"/>
    <s v="High School"/>
    <s v="Yes"/>
    <s v="No"/>
    <s v="Yes"/>
    <n v="78"/>
    <n v="94"/>
    <x v="6"/>
    <s v="A"/>
    <m/>
  </r>
  <r>
    <n v="991"/>
    <s v="Female"/>
    <n v="2.5"/>
    <n v="81.400000000000006"/>
    <n v="6.5"/>
    <s v="None"/>
    <s v="Yes"/>
    <s v="No"/>
    <s v="No"/>
    <n v="81.8"/>
    <n v="82"/>
    <x v="1"/>
    <s v="B"/>
    <m/>
  </r>
  <r>
    <n v="992"/>
    <s v="Female"/>
    <n v="5.0999999999999996"/>
    <n v="71.7"/>
    <n v="5.6"/>
    <s v="Bachelors"/>
    <s v="Yes"/>
    <s v="Yes"/>
    <s v="No"/>
    <n v="51"/>
    <n v="80"/>
    <x v="1"/>
    <s v="B"/>
    <m/>
  </r>
  <r>
    <n v="993"/>
    <s v="Female"/>
    <n v="2.6"/>
    <n v="80.900000000000006"/>
    <n v="7.4"/>
    <s v="High School"/>
    <s v="Yes"/>
    <s v="Yes"/>
    <s v="No"/>
    <n v="72.099999999999994"/>
    <n v="79"/>
    <x v="5"/>
    <s v="C"/>
    <m/>
  </r>
  <r>
    <n v="994"/>
    <s v="Female"/>
    <n v="6.2"/>
    <n v="87.6"/>
    <n v="5.9"/>
    <s v="PhD"/>
    <s v="Yes"/>
    <s v="No"/>
    <s v="No"/>
    <n v="75.400000000000006"/>
    <n v="93"/>
    <x v="6"/>
    <s v="A"/>
    <m/>
  </r>
  <r>
    <n v="995"/>
    <s v="Female"/>
    <n v="4.5"/>
    <n v="75.400000000000006"/>
    <n v="9.4"/>
    <s v="Bachelors"/>
    <s v="Yes"/>
    <s v="Yes"/>
    <s v="No"/>
    <n v="69.099999999999994"/>
    <n v="79"/>
    <x v="5"/>
    <s v="C"/>
    <m/>
  </r>
  <r>
    <n v="996"/>
    <s v="Male"/>
    <n v="2.8"/>
    <n v="75.400000000000006"/>
    <n v="8.1999999999999993"/>
    <s v="Masters"/>
    <s v="Yes"/>
    <s v="Yes"/>
    <s v="No"/>
    <n v="60.5"/>
    <n v="71"/>
    <x v="3"/>
    <s v="C"/>
    <m/>
  </r>
  <r>
    <n v="997"/>
    <s v="Male"/>
    <n v="6.7"/>
    <n v="88.4"/>
    <n v="7.1"/>
    <s v="None"/>
    <s v="No"/>
    <s v="Yes"/>
    <s v="No"/>
    <n v="82.2"/>
    <n v="100"/>
    <x v="0"/>
    <s v="A"/>
    <m/>
  </r>
  <r>
    <n v="998"/>
    <s v="Female"/>
    <n v="2.6"/>
    <n v="84.5"/>
    <n v="8"/>
    <s v="High School"/>
    <s v="Yes"/>
    <s v="Yes"/>
    <s v="Yes"/>
    <n v="65.2"/>
    <n v="79"/>
    <x v="5"/>
    <s v="C"/>
    <m/>
  </r>
  <r>
    <n v="999"/>
    <s v="Female"/>
    <n v="4.5999999999999996"/>
    <n v="85.3"/>
    <n v="8.1"/>
    <s v="High School"/>
    <s v="No"/>
    <s v="No"/>
    <s v="Yes"/>
    <n v="52.2"/>
    <n v="82"/>
    <x v="1"/>
    <s v="B"/>
    <m/>
  </r>
  <r>
    <n v="1000"/>
    <s v="Male"/>
    <n v="3.9"/>
    <n v="77.400000000000006"/>
    <n v="6.1"/>
    <s v="Masters"/>
    <s v="Yes"/>
    <s v="No"/>
    <s v="No"/>
    <n v="45.4"/>
    <n v="70"/>
    <x v="3"/>
    <s v="C"/>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7000000}" name="PivotTable8"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6">
  <location ref="B22:C25" firstHeaderRow="1" firstDataRow="1" firstDataCol="1"/>
  <pivotFields count="12">
    <pivotField showAll="0"/>
    <pivotField showAll="0"/>
    <pivotField numFmtId="164" showAll="0">
      <items count="71">
        <item x="35"/>
        <item x="57"/>
        <item x="54"/>
        <item x="10"/>
        <item x="53"/>
        <item x="14"/>
        <item x="23"/>
        <item x="59"/>
        <item x="37"/>
        <item x="6"/>
        <item x="61"/>
        <item x="34"/>
        <item x="22"/>
        <item x="18"/>
        <item x="41"/>
        <item x="32"/>
        <item x="4"/>
        <item x="42"/>
        <item x="24"/>
        <item x="44"/>
        <item x="3"/>
        <item x="40"/>
        <item x="9"/>
        <item x="55"/>
        <item x="56"/>
        <item x="28"/>
        <item x="46"/>
        <item x="12"/>
        <item x="38"/>
        <item x="15"/>
        <item x="16"/>
        <item x="19"/>
        <item x="45"/>
        <item x="52"/>
        <item x="0"/>
        <item x="39"/>
        <item x="5"/>
        <item x="20"/>
        <item x="17"/>
        <item x="30"/>
        <item x="21"/>
        <item x="58"/>
        <item x="50"/>
        <item x="2"/>
        <item x="29"/>
        <item x="33"/>
        <item x="49"/>
        <item x="8"/>
        <item x="13"/>
        <item x="11"/>
        <item x="31"/>
        <item x="51"/>
        <item x="25"/>
        <item x="36"/>
        <item x="47"/>
        <item x="27"/>
        <item x="7"/>
        <item x="1"/>
        <item x="43"/>
        <item x="65"/>
        <item x="26"/>
        <item x="66"/>
        <item x="68"/>
        <item x="60"/>
        <item x="69"/>
        <item x="67"/>
        <item x="62"/>
        <item x="64"/>
        <item x="63"/>
        <item x="48"/>
        <item t="default"/>
      </items>
    </pivotField>
    <pivotField numFmtId="1" showAll="0"/>
    <pivotField numFmtId="164" showAll="0"/>
    <pivotField showAll="0">
      <items count="6">
        <item x="0"/>
        <item x="1"/>
        <item x="3"/>
        <item x="2"/>
        <item x="4"/>
        <item t="default"/>
      </items>
    </pivotField>
    <pivotField showAll="0">
      <items count="3">
        <item x="1"/>
        <item x="0"/>
        <item t="default"/>
      </items>
    </pivotField>
    <pivotField showAll="0">
      <items count="3">
        <item x="1"/>
        <item x="0"/>
        <item t="default"/>
      </items>
    </pivotField>
    <pivotField axis="axisRow" showAll="0">
      <items count="3">
        <item x="0"/>
        <item x="1"/>
        <item t="default"/>
      </items>
    </pivotField>
    <pivotField numFmtId="164" showAll="0"/>
    <pivotField dataField="1" numFmtId="1" showAll="0"/>
    <pivotField showAll="0"/>
  </pivotFields>
  <rowFields count="1">
    <field x="8"/>
  </rowFields>
  <rowItems count="3">
    <i>
      <x/>
    </i>
    <i>
      <x v="1"/>
    </i>
    <i t="grand">
      <x/>
    </i>
  </rowItems>
  <colItems count="1">
    <i/>
  </colItems>
  <dataFields count="1">
    <dataField name="Average of final_exam_score" fld="10" subtotal="average" baseField="0" baseItem="0"/>
  </dataFields>
  <chartFormats count="1">
    <chartFormat chart="1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PivotTable1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5">
  <location ref="B70:C73" firstHeaderRow="1" firstDataRow="1" firstDataCol="1"/>
  <pivotFields count="12">
    <pivotField showAll="0"/>
    <pivotField showAll="0"/>
    <pivotField numFmtId="164" showAll="0"/>
    <pivotField numFmtId="1" showAll="0"/>
    <pivotField numFmtId="164" showAll="0"/>
    <pivotField showAll="0">
      <items count="6">
        <item x="0"/>
        <item x="1"/>
        <item x="3"/>
        <item x="2"/>
        <item x="4"/>
        <item t="default"/>
      </items>
    </pivotField>
    <pivotField axis="axisRow" showAll="0">
      <items count="3">
        <item x="1"/>
        <item x="0"/>
        <item t="default"/>
      </items>
    </pivotField>
    <pivotField showAll="0">
      <items count="3">
        <item x="1"/>
        <item x="0"/>
        <item t="default"/>
      </items>
    </pivotField>
    <pivotField showAll="0">
      <items count="3">
        <item x="0"/>
        <item x="1"/>
        <item t="default"/>
      </items>
    </pivotField>
    <pivotField numFmtId="164" showAll="0"/>
    <pivotField dataField="1" numFmtId="1" showAll="0"/>
    <pivotField showAll="0"/>
  </pivotFields>
  <rowFields count="1">
    <field x="6"/>
  </rowFields>
  <rowItems count="3">
    <i>
      <x/>
    </i>
    <i>
      <x v="1"/>
    </i>
    <i t="grand">
      <x/>
    </i>
  </rowItems>
  <colItems count="1">
    <i/>
  </colItems>
  <dataFields count="1">
    <dataField name="Average of final_exam_score" fld="10" subtotal="average" baseField="0" baseItem="0"/>
  </dataFields>
  <chartFormats count="2">
    <chartFormat chart="0" format="0" series="1">
      <pivotArea type="data" outline="0" fieldPosition="0">
        <references count="1">
          <reference field="4294967294" count="1" selected="0">
            <x v="0"/>
          </reference>
        </references>
      </pivotArea>
    </chartFormat>
    <chartFormat chart="18"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10"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9">
  <location ref="B53:C59" firstHeaderRow="1" firstDataRow="1" firstDataCol="1"/>
  <pivotFields count="12">
    <pivotField showAll="0"/>
    <pivotField showAll="0"/>
    <pivotField numFmtId="164" showAll="0"/>
    <pivotField numFmtId="1" showAll="0"/>
    <pivotField numFmtId="164" showAll="0"/>
    <pivotField axis="axisRow" showAll="0" sortType="ascending">
      <items count="6">
        <item x="0"/>
        <item x="1"/>
        <item x="3"/>
        <item x="2"/>
        <item x="4"/>
        <item t="default"/>
      </items>
      <autoSortScope>
        <pivotArea dataOnly="0" outline="0" fieldPosition="0">
          <references count="1">
            <reference field="4294967294" count="1" selected="0">
              <x v="0"/>
            </reference>
          </references>
        </pivotArea>
      </autoSortScope>
    </pivotField>
    <pivotField showAll="0">
      <items count="3">
        <item x="1"/>
        <item x="0"/>
        <item t="default"/>
      </items>
    </pivotField>
    <pivotField showAll="0">
      <items count="3">
        <item x="1"/>
        <item x="0"/>
        <item t="default"/>
      </items>
    </pivotField>
    <pivotField showAll="0">
      <items count="3">
        <item x="0"/>
        <item x="1"/>
        <item t="default"/>
      </items>
    </pivotField>
    <pivotField numFmtId="164" showAll="0"/>
    <pivotField dataField="1" numFmtId="1" showAll="0"/>
    <pivotField showAll="0"/>
  </pivotFields>
  <rowFields count="1">
    <field x="5"/>
  </rowFields>
  <rowItems count="6">
    <i>
      <x v="1"/>
    </i>
    <i>
      <x/>
    </i>
    <i>
      <x v="3"/>
    </i>
    <i>
      <x v="2"/>
    </i>
    <i>
      <x v="4"/>
    </i>
    <i t="grand">
      <x/>
    </i>
  </rowItems>
  <colItems count="1">
    <i/>
  </colItems>
  <dataFields count="1">
    <dataField name="Average of final_exam_score" fld="10" subtotal="average" baseField="0" baseItem="0"/>
  </dataFields>
  <chartFormats count="9">
    <chartFormat chart="8" format="4"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 chart="20" format="10" series="1">
      <pivotArea type="data" outline="0" fieldPosition="0">
        <references count="1">
          <reference field="4294967294" count="1" selected="0">
            <x v="0"/>
          </reference>
        </references>
      </pivotArea>
    </chartFormat>
    <chartFormat chart="25" format="13" series="1">
      <pivotArea type="data" outline="0" fieldPosition="0">
        <references count="1">
          <reference field="4294967294" count="1" selected="0">
            <x v="0"/>
          </reference>
        </references>
      </pivotArea>
    </chartFormat>
    <chartFormat chart="25" format="14">
      <pivotArea type="data" outline="0" fieldPosition="0">
        <references count="2">
          <reference field="4294967294" count="1" selected="0">
            <x v="0"/>
          </reference>
          <reference field="5" count="1" selected="0">
            <x v="0"/>
          </reference>
        </references>
      </pivotArea>
    </chartFormat>
    <chartFormat chart="25" format="15">
      <pivotArea type="data" outline="0" fieldPosition="0">
        <references count="2">
          <reference field="4294967294" count="1" selected="0">
            <x v="0"/>
          </reference>
          <reference field="5" count="1" selected="0">
            <x v="1"/>
          </reference>
        </references>
      </pivotArea>
    </chartFormat>
    <chartFormat chart="25" format="16">
      <pivotArea type="data" outline="0" fieldPosition="0">
        <references count="2">
          <reference field="4294967294" count="1" selected="0">
            <x v="0"/>
          </reference>
          <reference field="5" count="1" selected="0">
            <x v="2"/>
          </reference>
        </references>
      </pivotArea>
    </chartFormat>
    <chartFormat chart="25" format="17">
      <pivotArea type="data" outline="0" fieldPosition="0">
        <references count="2">
          <reference field="4294967294" count="1" selected="0">
            <x v="0"/>
          </reference>
          <reference field="5" count="1" selected="0">
            <x v="3"/>
          </reference>
        </references>
      </pivotArea>
    </chartFormat>
    <chartFormat chart="25" format="18">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0BE20C-CF66-4AC2-837E-C5E824AB5EE5}" name="PivotTable3"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94:E95" firstHeaderRow="1" firstDataRow="1" firstDataCol="0"/>
  <pivotFields count="12">
    <pivotField dataField="1" showAll="0">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t="default"/>
      </items>
    </pivotField>
    <pivotField showAll="0"/>
    <pivotField numFmtId="164" showAll="0"/>
    <pivotField numFmtId="1" showAll="0"/>
    <pivotField numFmtId="164" showAll="0"/>
    <pivotField showAll="0">
      <items count="6">
        <item x="0"/>
        <item x="1"/>
        <item x="3"/>
        <item x="2"/>
        <item x="4"/>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numFmtId="164" showAll="0"/>
    <pivotField numFmtId="1" showAll="0"/>
    <pivotField showAll="0"/>
  </pivotFields>
  <rowItems count="1">
    <i/>
  </rowItems>
  <colItems count="1">
    <i/>
  </colItems>
  <dataFields count="1">
    <dataField name="Sum of student_id"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03C208-A869-42E1-8664-8027D438E1A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J76:K87" firstHeaderRow="1" firstDataRow="1" firstDataCol="1"/>
  <pivotFields count="14">
    <pivotField dataField="1" showAll="0"/>
    <pivotField showAll="0"/>
    <pivotField numFmtId="164" showAll="0"/>
    <pivotField numFmtId="1" showAll="0"/>
    <pivotField numFmtId="164" showAll="0"/>
    <pivotField showAll="0"/>
    <pivotField showAll="0"/>
    <pivotField showAll="0"/>
    <pivotField showAll="0"/>
    <pivotField numFmtId="164" showAll="0"/>
    <pivotField numFmtId="1" showAll="0"/>
    <pivotField axis="axisRow" showAll="0" sortType="ascending">
      <items count="18">
        <item m="1" x="16"/>
        <item m="1" x="15"/>
        <item m="1" x="13"/>
        <item m="1" x="14"/>
        <item m="1" x="12"/>
        <item m="1" x="10"/>
        <item m="1" x="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showAll="0"/>
    <pivotField showAll="0"/>
  </pivotFields>
  <rowFields count="1">
    <field x="11"/>
  </rowFields>
  <rowItems count="11">
    <i>
      <x v="16"/>
    </i>
    <i>
      <x v="15"/>
    </i>
    <i>
      <x v="14"/>
    </i>
    <i>
      <x v="9"/>
    </i>
    <i>
      <x v="10"/>
    </i>
    <i>
      <x v="13"/>
    </i>
    <i>
      <x v="12"/>
    </i>
    <i>
      <x v="11"/>
    </i>
    <i>
      <x v="8"/>
    </i>
    <i>
      <x v="7"/>
    </i>
    <i t="grand">
      <x/>
    </i>
  </rowItems>
  <colItems count="1">
    <i/>
  </colItems>
  <dataFields count="1">
    <dataField name="Count of student_id" fld="0" subtotal="count" baseField="0" baseItem="0"/>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17EBF4-A850-4CA9-946B-6EDE05682CD4}" name="PivotTable4" cacheId="0" dataOnRows="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B4:C9" firstHeaderRow="1" firstDataRow="1" firstDataCol="1"/>
  <pivotFields count="12">
    <pivotField dataField="1" showAll="0"/>
    <pivotField showAll="0"/>
    <pivotField dataField="1" numFmtId="164" showAll="0"/>
    <pivotField dataField="1" numFmtId="1" showAll="0"/>
    <pivotField dataField="1" numFmtId="164" showAll="0"/>
    <pivotField showAll="0">
      <items count="6">
        <item x="0"/>
        <item x="1"/>
        <item x="3"/>
        <item x="2"/>
        <item x="4"/>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numFmtId="164" showAll="0"/>
    <pivotField dataField="1" numFmtId="1" showAll="0"/>
    <pivotField showAll="0"/>
  </pivotFields>
  <rowFields count="1">
    <field x="-2"/>
  </rowFields>
  <rowItems count="5">
    <i>
      <x/>
    </i>
    <i i="1">
      <x v="1"/>
    </i>
    <i i="2">
      <x v="2"/>
    </i>
    <i i="3">
      <x v="3"/>
    </i>
    <i i="4">
      <x v="4"/>
    </i>
  </rowItems>
  <colItems count="1">
    <i/>
  </colItems>
  <dataFields count="5">
    <dataField name="Average of study_time_hours" fld="2" subtotal="average" baseField="0" baseItem="0" numFmtId="164"/>
    <dataField name="Average of attendance_percent" fld="3" subtotal="average" baseField="0" baseItem="0" numFmtId="1"/>
    <dataField name="Count of student_id" fld="0" subtotal="count" baseField="0" baseItem="0"/>
    <dataField name="Average of sleep_hours" fld="4" subtotal="average" baseField="0" baseItem="0" numFmtId="164"/>
    <dataField name="Average of final_exam_score" fld="10" subtotal="average"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9"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8">
  <location ref="B38:C41" firstHeaderRow="1" firstDataRow="1" firstDataCol="1"/>
  <pivotFields count="12">
    <pivotField showAll="0"/>
    <pivotField showAll="0"/>
    <pivotField numFmtId="164" showAll="0"/>
    <pivotField numFmtId="1" showAll="0"/>
    <pivotField numFmtId="164" showAll="0"/>
    <pivotField showAll="0">
      <items count="6">
        <item x="0"/>
        <item x="1"/>
        <item x="3"/>
        <item x="2"/>
        <item x="4"/>
        <item t="default"/>
      </items>
    </pivotField>
    <pivotField showAll="0">
      <items count="3">
        <item x="1"/>
        <item x="0"/>
        <item t="default"/>
      </items>
    </pivotField>
    <pivotField axis="axisRow" showAll="0">
      <items count="3">
        <item x="1"/>
        <item x="0"/>
        <item t="default"/>
      </items>
    </pivotField>
    <pivotField showAll="0">
      <items count="3">
        <item x="0"/>
        <item x="1"/>
        <item t="default"/>
      </items>
    </pivotField>
    <pivotField numFmtId="164" showAll="0"/>
    <pivotField dataField="1" numFmtId="1" showAll="0"/>
    <pivotField showAll="0"/>
  </pivotFields>
  <rowFields count="1">
    <field x="7"/>
  </rowFields>
  <rowItems count="3">
    <i>
      <x/>
    </i>
    <i>
      <x v="1"/>
    </i>
    <i t="grand">
      <x/>
    </i>
  </rowItems>
  <colItems count="1">
    <i/>
  </colItems>
  <dataFields count="1">
    <dataField name="Average of final_exam_score" fld="10" subtotal="average" baseField="0" baseItem="0"/>
  </dataFields>
  <chartFormats count="3">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2FBFFC6-1144-4760-8476-2993F8137266}"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9">
  <location ref="B76:C147" firstHeaderRow="1" firstDataRow="1" firstDataCol="1"/>
  <pivotFields count="12">
    <pivotField showAll="0"/>
    <pivotField showAll="0"/>
    <pivotField axis="axisRow" numFmtId="164" showAll="0">
      <items count="71">
        <item x="35"/>
        <item x="57"/>
        <item x="54"/>
        <item x="10"/>
        <item x="53"/>
        <item x="14"/>
        <item x="23"/>
        <item x="59"/>
        <item x="37"/>
        <item x="6"/>
        <item x="61"/>
        <item x="34"/>
        <item x="22"/>
        <item x="18"/>
        <item x="41"/>
        <item x="32"/>
        <item x="4"/>
        <item x="42"/>
        <item x="24"/>
        <item x="44"/>
        <item x="3"/>
        <item x="40"/>
        <item x="9"/>
        <item x="55"/>
        <item x="56"/>
        <item x="28"/>
        <item x="46"/>
        <item x="12"/>
        <item x="38"/>
        <item x="15"/>
        <item x="16"/>
        <item x="19"/>
        <item x="45"/>
        <item x="52"/>
        <item x="0"/>
        <item x="39"/>
        <item x="5"/>
        <item x="20"/>
        <item x="17"/>
        <item x="30"/>
        <item x="21"/>
        <item x="58"/>
        <item x="50"/>
        <item x="2"/>
        <item x="29"/>
        <item x="33"/>
        <item x="49"/>
        <item x="8"/>
        <item x="13"/>
        <item x="11"/>
        <item x="31"/>
        <item x="51"/>
        <item x="25"/>
        <item x="36"/>
        <item x="47"/>
        <item x="27"/>
        <item x="7"/>
        <item x="1"/>
        <item x="43"/>
        <item x="65"/>
        <item x="26"/>
        <item x="66"/>
        <item x="68"/>
        <item x="60"/>
        <item x="69"/>
        <item x="67"/>
        <item x="62"/>
        <item x="64"/>
        <item x="63"/>
        <item x="48"/>
        <item t="default"/>
      </items>
    </pivotField>
    <pivotField numFmtId="1" showAll="0"/>
    <pivotField numFmtId="164" showAll="0"/>
    <pivotField showAll="0">
      <items count="6">
        <item x="0"/>
        <item x="1"/>
        <item x="3"/>
        <item x="2"/>
        <item x="4"/>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numFmtId="164" showAll="0"/>
    <pivotField dataField="1" numFmtId="1" showAll="0"/>
    <pivotField showAll="0"/>
  </pivotFields>
  <rowFields count="1">
    <field x="2"/>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t="grand">
      <x/>
    </i>
  </rowItems>
  <colItems count="1">
    <i/>
  </colItems>
  <dataFields count="1">
    <dataField name="Average of final_exam_score" fld="10" subtotal="average" baseField="0" baseItem="0" numFmtId="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rnet_access" xr10:uid="{B51A3A0B-1DC0-417C-85EB-632EED8C07D0}" sourceName="internet_access">
  <pivotTables>
    <pivotTable tabId="2" name="PivotTable8"/>
    <pivotTable tabId="2" name="PivotTable10"/>
    <pivotTable tabId="2" name="PivotTable11"/>
    <pivotTable tabId="2" name="PivotTable9"/>
    <pivotTable tabId="2" name="PivotTable1"/>
    <pivotTable tabId="2" name="PivotTable3"/>
    <pivotTable tabId="2" name="PivotTable4"/>
  </pivotTables>
  <data>
    <tabular pivotCacheId="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_time_job" xr10:uid="{CB74AB3E-CF1E-46B4-AC65-FFD74FD6CA5D}" sourceName="part_time_job">
  <pivotTables>
    <pivotTable tabId="2" name="PivotTable8"/>
    <pivotTable tabId="2" name="PivotTable1"/>
    <pivotTable tabId="2" name="PivotTable10"/>
    <pivotTable tabId="2" name="PivotTable11"/>
    <pivotTable tabId="2" name="PivotTable9"/>
    <pivotTable tabId="2" name="PivotTable3"/>
    <pivotTable tabId="2" name="PivotTable4"/>
  </pivotTables>
  <data>
    <tabular pivotCacheId="1">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tracurricular_activities" xr10:uid="{11D51374-3655-44E8-A2A0-B16C1F99D0F8}" sourceName="extracurricular_activities">
  <pivotTables>
    <pivotTable tabId="2" name="PivotTable8"/>
    <pivotTable tabId="2" name="PivotTable1"/>
    <pivotTable tabId="2" name="PivotTable10"/>
    <pivotTable tabId="2" name="PivotTable11"/>
    <pivotTable tabId="2" name="PivotTable9"/>
    <pivotTable tabId="2" name="PivotTable3"/>
    <pivotTable tabId="2" name="PivotTable4"/>
  </pivotTables>
  <data>
    <tabular pivotCacheId="1">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ental_education" xr10:uid="{01055AB2-DBF3-48D2-B79D-080FE90193AA}" sourceName="parental_education">
  <pivotTables>
    <pivotTable tabId="2" name="PivotTable8"/>
    <pivotTable tabId="2" name="PivotTable1"/>
    <pivotTable tabId="2" name="PivotTable10"/>
    <pivotTable tabId="2" name="PivotTable11"/>
    <pivotTable tabId="2" name="PivotTable9"/>
    <pivotTable tabId="2" name="PivotTable3"/>
    <pivotTable tabId="2" name="PivotTable4"/>
  </pivotTables>
  <data>
    <tabular pivotCacheId="1">
      <items count="5">
        <i x="0" s="1"/>
        <i x="1" s="1"/>
        <i x="3"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ternet_access" xr10:uid="{9C9645C0-C433-4A38-82D9-C69860FDBE68}" cache="Slicer_internet_access" caption="internet Access" style="SlicerStyleDark5" rowHeight="241300"/>
  <slicer name="internet_access 1" xr10:uid="{0F521C83-B00C-4AA0-99AA-CA04F10EDF8E}" cache="Slicer_internet_access" caption="internet Access" style="SlicerStyleDark5" rowHeight="241300"/>
  <slicer name="part_time_job" xr10:uid="{0D9831C0-C35F-4FC4-A9C3-98D44BE2732C}" cache="Slicer_part_time_job" caption="part-Time job" style="SlicerStyleDark5" rowHeight="241300"/>
  <slicer name="part_time_job 1" xr10:uid="{A3A00D94-3819-4C55-A5D9-203DF97E85E3}" cache="Slicer_part_time_job" caption="part-Time job" style="SlicerStyleDark5" rowHeight="241300"/>
  <slicer name="extracurricular_activities" xr10:uid="{D15F8647-D92B-4404-A08B-477339969157}" cache="Slicer_extracurricular_activities" caption="extracurricular Activities" style="SlicerStyleDark5" rowHeight="241300"/>
  <slicer name="extracurricular_activities 1" xr10:uid="{32200E0A-6256-406D-8623-D255F1678A3F}" cache="Slicer_extracurricular_activities" caption="extracurricular Activities" style="SlicerStyleDark5" rowHeight="241300"/>
  <slicer name="parental_education" xr10:uid="{B899B869-7EC1-457D-B90C-9010BC46346E}" cache="Slicer_parental_education" caption="parental Education" columnCount="3" style="SlicerStyleDark5" rowHeight="252000"/>
  <slicer name="parental_education 1" xr10:uid="{B9E788AD-8D8B-4ADA-914C-9119717E701F}" cache="Slicer_parental_education" caption="parental Education" columnCount="3" style="SlicerStyleDark5"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1001"/>
  <sheetViews>
    <sheetView tabSelected="1" workbookViewId="0">
      <selection sqref="A1:XFD1048576"/>
    </sheetView>
  </sheetViews>
  <sheetFormatPr defaultRowHeight="14.5" x14ac:dyDescent="0.35"/>
  <cols>
    <col min="1" max="1" width="11.1796875" customWidth="1"/>
    <col min="2" max="2" width="9.1796875" style="1"/>
    <col min="3" max="3" width="16.81640625" style="2" customWidth="1"/>
    <col min="4" max="4" width="18.54296875" style="3" customWidth="1"/>
    <col min="5" max="5" width="11.81640625" style="2" customWidth="1"/>
    <col min="6" max="6" width="18" style="1" customWidth="1"/>
    <col min="7" max="7" width="14.81640625" style="1" customWidth="1"/>
    <col min="8" max="8" width="22.54296875" style="1" customWidth="1"/>
    <col min="9" max="9" width="13.453125" style="1" customWidth="1"/>
    <col min="10" max="10" width="14.54296875" style="2" customWidth="1"/>
    <col min="11" max="11" width="17.453125" style="3" customWidth="1"/>
    <col min="12" max="12" width="10.54296875" style="1" customWidth="1"/>
    <col min="14" max="14" width="16" customWidth="1"/>
  </cols>
  <sheetData>
    <row r="1" spans="1:18" x14ac:dyDescent="0.35">
      <c r="A1" t="s">
        <v>0</v>
      </c>
      <c r="B1" s="1" t="s">
        <v>1</v>
      </c>
      <c r="C1" s="2" t="s">
        <v>2</v>
      </c>
      <c r="D1" s="3" t="s">
        <v>3</v>
      </c>
      <c r="E1" s="2" t="s">
        <v>4</v>
      </c>
      <c r="F1" s="1" t="s">
        <v>5</v>
      </c>
      <c r="G1" s="1" t="s">
        <v>6</v>
      </c>
      <c r="H1" s="1" t="s">
        <v>7</v>
      </c>
      <c r="I1" s="1" t="s">
        <v>8</v>
      </c>
      <c r="J1" s="2" t="s">
        <v>9</v>
      </c>
      <c r="K1" s="3" t="s">
        <v>10</v>
      </c>
      <c r="L1" s="1" t="s">
        <v>11</v>
      </c>
      <c r="N1" t="s">
        <v>12</v>
      </c>
      <c r="O1" t="s">
        <v>13</v>
      </c>
      <c r="P1" t="s">
        <v>14</v>
      </c>
      <c r="Q1" t="s">
        <v>15</v>
      </c>
      <c r="R1" t="s">
        <v>16</v>
      </c>
    </row>
    <row r="2" spans="1:18" x14ac:dyDescent="0.35">
      <c r="A2">
        <v>1</v>
      </c>
      <c r="B2" s="1" t="s">
        <v>17</v>
      </c>
      <c r="C2" s="2">
        <v>4</v>
      </c>
      <c r="D2" s="3">
        <v>98</v>
      </c>
      <c r="E2" s="2">
        <v>6.5</v>
      </c>
      <c r="F2" s="1" t="s">
        <v>18</v>
      </c>
      <c r="G2" s="1" t="s">
        <v>19</v>
      </c>
      <c r="H2" s="1" t="s">
        <v>19</v>
      </c>
      <c r="I2" s="1" t="s">
        <v>20</v>
      </c>
      <c r="J2" s="2">
        <v>76.900000000000006</v>
      </c>
      <c r="K2" s="3">
        <v>100</v>
      </c>
      <c r="L2" s="1" t="s">
        <v>21</v>
      </c>
      <c r="N2" t="s">
        <v>22</v>
      </c>
      <c r="O2">
        <v>3.57</v>
      </c>
      <c r="P2">
        <v>0.5</v>
      </c>
      <c r="Q2">
        <v>8.1</v>
      </c>
      <c r="R2">
        <v>3.6</v>
      </c>
    </row>
    <row r="3" spans="1:18" x14ac:dyDescent="0.35">
      <c r="A3">
        <v>2</v>
      </c>
      <c r="B3" s="1" t="s">
        <v>23</v>
      </c>
      <c r="C3" s="2">
        <v>6.3</v>
      </c>
      <c r="D3" s="3">
        <v>100</v>
      </c>
      <c r="E3" s="2">
        <v>5.7</v>
      </c>
      <c r="F3" s="1" t="s">
        <v>24</v>
      </c>
      <c r="G3" s="1" t="s">
        <v>19</v>
      </c>
      <c r="H3" s="1" t="s">
        <v>19</v>
      </c>
      <c r="I3" s="1" t="s">
        <v>19</v>
      </c>
      <c r="J3" s="2">
        <v>75.5</v>
      </c>
      <c r="K3" s="3">
        <v>100</v>
      </c>
      <c r="L3" s="1" t="s">
        <v>21</v>
      </c>
      <c r="N3" t="s">
        <v>25</v>
      </c>
      <c r="O3">
        <v>85.09</v>
      </c>
      <c r="P3">
        <v>54.8</v>
      </c>
      <c r="Q3">
        <v>100</v>
      </c>
      <c r="R3">
        <v>85.2</v>
      </c>
    </row>
    <row r="4" spans="1:18" x14ac:dyDescent="0.35">
      <c r="A4">
        <v>3</v>
      </c>
      <c r="B4" s="1" t="s">
        <v>17</v>
      </c>
      <c r="C4" s="2">
        <v>4.9000000000000004</v>
      </c>
      <c r="D4" s="3">
        <v>85.3</v>
      </c>
      <c r="E4" s="2">
        <v>7.9</v>
      </c>
      <c r="F4" s="1" t="s">
        <v>18</v>
      </c>
      <c r="G4" s="1" t="s">
        <v>19</v>
      </c>
      <c r="H4" s="1" t="s">
        <v>20</v>
      </c>
      <c r="I4" s="1" t="s">
        <v>19</v>
      </c>
      <c r="J4" s="2">
        <v>88.5</v>
      </c>
      <c r="K4" s="3">
        <v>97</v>
      </c>
      <c r="L4" s="1" t="s">
        <v>21</v>
      </c>
      <c r="N4" t="s">
        <v>26</v>
      </c>
      <c r="O4">
        <v>6.8</v>
      </c>
      <c r="P4">
        <v>3.2</v>
      </c>
      <c r="Q4">
        <v>10</v>
      </c>
      <c r="R4">
        <v>6.8</v>
      </c>
    </row>
    <row r="5" spans="1:18" x14ac:dyDescent="0.35">
      <c r="A5">
        <v>4</v>
      </c>
      <c r="B5" s="1" t="s">
        <v>17</v>
      </c>
      <c r="C5" s="2">
        <v>2.6</v>
      </c>
      <c r="D5" s="3">
        <v>77.5</v>
      </c>
      <c r="E5" s="2">
        <v>8</v>
      </c>
      <c r="F5" s="1" t="s">
        <v>27</v>
      </c>
      <c r="G5" s="1" t="s">
        <v>19</v>
      </c>
      <c r="H5" s="1" t="s">
        <v>19</v>
      </c>
      <c r="I5" s="1" t="s">
        <v>20</v>
      </c>
      <c r="J5" s="2">
        <v>85.1</v>
      </c>
      <c r="K5" s="3">
        <v>84</v>
      </c>
      <c r="L5" s="1" t="s">
        <v>28</v>
      </c>
      <c r="N5" t="s">
        <v>29</v>
      </c>
      <c r="O5">
        <v>69.739999999999995</v>
      </c>
      <c r="P5">
        <v>31.3</v>
      </c>
      <c r="Q5">
        <v>100</v>
      </c>
      <c r="R5">
        <v>69.599999999999994</v>
      </c>
    </row>
    <row r="6" spans="1:18" x14ac:dyDescent="0.35">
      <c r="A6">
        <v>5</v>
      </c>
      <c r="B6" s="1" t="s">
        <v>17</v>
      </c>
      <c r="C6" s="2">
        <v>2.2000000000000002</v>
      </c>
      <c r="D6" s="3">
        <v>89.6</v>
      </c>
      <c r="E6" s="2">
        <v>4.5999999999999996</v>
      </c>
      <c r="F6" s="1" t="s">
        <v>18</v>
      </c>
      <c r="G6" s="1" t="s">
        <v>19</v>
      </c>
      <c r="H6" s="1" t="s">
        <v>20</v>
      </c>
      <c r="I6" s="1" t="s">
        <v>19</v>
      </c>
      <c r="J6" s="2">
        <v>61.8</v>
      </c>
      <c r="K6" s="3">
        <v>68</v>
      </c>
      <c r="L6" s="1" t="s">
        <v>30</v>
      </c>
      <c r="N6" t="s">
        <v>31</v>
      </c>
      <c r="O6">
        <v>83.54</v>
      </c>
      <c r="P6">
        <v>46.8</v>
      </c>
      <c r="Q6">
        <v>100</v>
      </c>
      <c r="R6">
        <v>83.8</v>
      </c>
    </row>
    <row r="7" spans="1:18" x14ac:dyDescent="0.35">
      <c r="A7">
        <v>6</v>
      </c>
      <c r="B7" s="1" t="s">
        <v>23</v>
      </c>
      <c r="C7" s="2">
        <v>4.2</v>
      </c>
      <c r="D7" s="3">
        <v>78.2</v>
      </c>
      <c r="E7" s="2">
        <v>5.7</v>
      </c>
      <c r="F7" s="1" t="s">
        <v>24</v>
      </c>
      <c r="G7" s="1" t="s">
        <v>19</v>
      </c>
      <c r="H7" s="1" t="s">
        <v>20</v>
      </c>
      <c r="I7" s="1" t="s">
        <v>20</v>
      </c>
      <c r="J7" s="2">
        <v>79.8</v>
      </c>
      <c r="K7" s="3">
        <v>82</v>
      </c>
      <c r="L7" s="1" t="s">
        <v>28</v>
      </c>
    </row>
    <row r="8" spans="1:18" x14ac:dyDescent="0.35">
      <c r="A8">
        <v>7</v>
      </c>
      <c r="B8" s="1" t="s">
        <v>17</v>
      </c>
      <c r="C8" s="2">
        <v>1.5</v>
      </c>
      <c r="D8" s="3">
        <v>100</v>
      </c>
      <c r="E8" s="2">
        <v>5</v>
      </c>
      <c r="F8" s="1" t="s">
        <v>24</v>
      </c>
      <c r="G8" s="1" t="s">
        <v>19</v>
      </c>
      <c r="H8" s="1" t="s">
        <v>19</v>
      </c>
      <c r="I8" s="1" t="s">
        <v>19</v>
      </c>
      <c r="J8" s="2">
        <v>58.6</v>
      </c>
      <c r="K8" s="3">
        <v>70</v>
      </c>
      <c r="L8" s="1" t="s">
        <v>30</v>
      </c>
    </row>
    <row r="9" spans="1:18" x14ac:dyDescent="0.35">
      <c r="A9">
        <v>8</v>
      </c>
      <c r="B9" s="1" t="s">
        <v>17</v>
      </c>
      <c r="C9" s="2">
        <v>6.2</v>
      </c>
      <c r="D9" s="3">
        <v>86.4</v>
      </c>
      <c r="E9" s="2">
        <v>6</v>
      </c>
      <c r="F9" s="1" t="s">
        <v>24</v>
      </c>
      <c r="G9" s="1" t="s">
        <v>19</v>
      </c>
      <c r="H9" s="1" t="s">
        <v>19</v>
      </c>
      <c r="I9" s="1" t="s">
        <v>20</v>
      </c>
      <c r="J9" s="2">
        <v>78.400000000000006</v>
      </c>
      <c r="K9" s="3">
        <v>88</v>
      </c>
      <c r="L9" s="1" t="s">
        <v>28</v>
      </c>
    </row>
    <row r="10" spans="1:18" x14ac:dyDescent="0.35">
      <c r="A10">
        <v>9</v>
      </c>
      <c r="B10" s="1" t="s">
        <v>17</v>
      </c>
      <c r="C10" s="2">
        <v>5.3</v>
      </c>
      <c r="D10" s="3">
        <v>81.3</v>
      </c>
      <c r="E10" s="2">
        <v>6.7</v>
      </c>
      <c r="F10" s="1" t="s">
        <v>18</v>
      </c>
      <c r="G10" s="1" t="s">
        <v>19</v>
      </c>
      <c r="H10" s="1" t="s">
        <v>20</v>
      </c>
      <c r="I10" s="1" t="s">
        <v>20</v>
      </c>
      <c r="J10" s="2">
        <v>63.8</v>
      </c>
      <c r="K10" s="3">
        <v>84</v>
      </c>
      <c r="L10" s="1" t="s">
        <v>28</v>
      </c>
    </row>
    <row r="11" spans="1:18" x14ac:dyDescent="0.35">
      <c r="A11">
        <v>10</v>
      </c>
      <c r="B11" s="1" t="s">
        <v>23</v>
      </c>
      <c r="C11" s="2">
        <v>2.8</v>
      </c>
      <c r="D11" s="3">
        <v>86.8</v>
      </c>
      <c r="E11" s="2">
        <v>5.0999999999999996</v>
      </c>
      <c r="F11" s="1" t="s">
        <v>18</v>
      </c>
      <c r="G11" s="1" t="s">
        <v>19</v>
      </c>
      <c r="H11" s="1" t="s">
        <v>19</v>
      </c>
      <c r="I11" s="1" t="s">
        <v>20</v>
      </c>
      <c r="J11" s="2">
        <v>57.7</v>
      </c>
      <c r="K11" s="3">
        <v>74</v>
      </c>
      <c r="L11" s="1" t="s">
        <v>32</v>
      </c>
    </row>
    <row r="12" spans="1:18" x14ac:dyDescent="0.35">
      <c r="A12">
        <v>11</v>
      </c>
      <c r="B12" s="1" t="s">
        <v>17</v>
      </c>
      <c r="C12" s="2">
        <v>0.9</v>
      </c>
      <c r="D12" s="3">
        <v>71.5</v>
      </c>
      <c r="E12" s="2">
        <v>5.7</v>
      </c>
      <c r="F12" s="1" t="s">
        <v>24</v>
      </c>
      <c r="G12" s="1" t="s">
        <v>19</v>
      </c>
      <c r="H12" s="1" t="s">
        <v>20</v>
      </c>
      <c r="I12" s="1" t="s">
        <v>19</v>
      </c>
      <c r="J12" s="2">
        <v>73.400000000000006</v>
      </c>
      <c r="K12" s="3">
        <v>69</v>
      </c>
      <c r="L12" s="1" t="s">
        <v>30</v>
      </c>
    </row>
    <row r="13" spans="1:18" x14ac:dyDescent="0.35">
      <c r="A13">
        <v>12</v>
      </c>
      <c r="B13" s="1" t="s">
        <v>17</v>
      </c>
      <c r="C13" s="2">
        <v>5.5</v>
      </c>
      <c r="D13" s="3">
        <v>75.3</v>
      </c>
      <c r="E13" s="2">
        <v>5.6</v>
      </c>
      <c r="F13" s="1" t="s">
        <v>27</v>
      </c>
      <c r="G13" s="1" t="s">
        <v>19</v>
      </c>
      <c r="H13" s="1" t="s">
        <v>19</v>
      </c>
      <c r="I13" s="1" t="s">
        <v>20</v>
      </c>
      <c r="J13" s="2">
        <v>37.9</v>
      </c>
      <c r="K13" s="3">
        <v>77</v>
      </c>
      <c r="L13" s="1" t="s">
        <v>32</v>
      </c>
    </row>
    <row r="14" spans="1:18" x14ac:dyDescent="0.35">
      <c r="A14">
        <v>13</v>
      </c>
      <c r="B14" s="1" t="s">
        <v>17</v>
      </c>
      <c r="C14" s="2">
        <v>3.3</v>
      </c>
      <c r="D14" s="3">
        <v>97</v>
      </c>
      <c r="E14" s="2">
        <v>7</v>
      </c>
      <c r="F14" s="1" t="s">
        <v>33</v>
      </c>
      <c r="G14" s="1" t="s">
        <v>19</v>
      </c>
      <c r="H14" s="1" t="s">
        <v>19</v>
      </c>
      <c r="I14" s="1" t="s">
        <v>19</v>
      </c>
      <c r="J14" s="2">
        <v>49</v>
      </c>
      <c r="K14" s="3">
        <v>83</v>
      </c>
      <c r="L14" s="1" t="s">
        <v>28</v>
      </c>
    </row>
    <row r="15" spans="1:18" x14ac:dyDescent="0.35">
      <c r="A15">
        <v>14</v>
      </c>
      <c r="B15" s="1" t="s">
        <v>17</v>
      </c>
      <c r="C15" s="2">
        <v>5.4</v>
      </c>
      <c r="D15" s="3">
        <v>78.400000000000006</v>
      </c>
      <c r="E15" s="2">
        <v>6.9</v>
      </c>
      <c r="F15" s="1" t="s">
        <v>18</v>
      </c>
      <c r="G15" s="1" t="s">
        <v>20</v>
      </c>
      <c r="H15" s="1" t="s">
        <v>20</v>
      </c>
      <c r="I15" s="1" t="s">
        <v>20</v>
      </c>
      <c r="J15" s="2">
        <v>67.900000000000006</v>
      </c>
      <c r="K15" s="3">
        <v>93</v>
      </c>
      <c r="L15" s="1" t="s">
        <v>21</v>
      </c>
    </row>
    <row r="16" spans="1:18" x14ac:dyDescent="0.35">
      <c r="A16">
        <v>15</v>
      </c>
      <c r="B16" s="1" t="s">
        <v>23</v>
      </c>
      <c r="C16" s="2">
        <v>1.1000000000000001</v>
      </c>
      <c r="D16" s="3">
        <v>74.5</v>
      </c>
      <c r="E16" s="2">
        <v>5.9</v>
      </c>
      <c r="F16" s="1" t="s">
        <v>33</v>
      </c>
      <c r="G16" s="1" t="s">
        <v>19</v>
      </c>
      <c r="H16" s="1" t="s">
        <v>19</v>
      </c>
      <c r="I16" s="1" t="s">
        <v>19</v>
      </c>
      <c r="J16" s="2">
        <v>71</v>
      </c>
      <c r="K16" s="3">
        <v>74</v>
      </c>
      <c r="L16" s="1" t="s">
        <v>32</v>
      </c>
    </row>
    <row r="17" spans="1:12" x14ac:dyDescent="0.35">
      <c r="A17">
        <v>16</v>
      </c>
      <c r="B17" s="1" t="s">
        <v>17</v>
      </c>
      <c r="C17" s="2">
        <v>2.6</v>
      </c>
      <c r="D17" s="3">
        <v>90.4</v>
      </c>
      <c r="E17" s="2">
        <v>7</v>
      </c>
      <c r="F17" s="1" t="s">
        <v>24</v>
      </c>
      <c r="G17" s="1" t="s">
        <v>19</v>
      </c>
      <c r="H17" s="1" t="s">
        <v>19</v>
      </c>
      <c r="I17" s="1" t="s">
        <v>20</v>
      </c>
      <c r="J17" s="2">
        <v>65.599999999999994</v>
      </c>
      <c r="K17" s="3">
        <v>85</v>
      </c>
      <c r="L17" s="1" t="s">
        <v>28</v>
      </c>
    </row>
    <row r="18" spans="1:12" x14ac:dyDescent="0.35">
      <c r="A18">
        <v>17</v>
      </c>
      <c r="B18" s="1" t="s">
        <v>23</v>
      </c>
      <c r="C18" s="2">
        <v>3.5</v>
      </c>
      <c r="D18" s="3">
        <v>96.9</v>
      </c>
      <c r="E18" s="2">
        <v>6.1</v>
      </c>
      <c r="F18" s="1" t="s">
        <v>18</v>
      </c>
      <c r="G18" s="1" t="s">
        <v>19</v>
      </c>
      <c r="H18" s="1" t="s">
        <v>19</v>
      </c>
      <c r="I18" s="1" t="s">
        <v>20</v>
      </c>
      <c r="J18" s="2">
        <v>51</v>
      </c>
      <c r="K18" s="3">
        <v>82</v>
      </c>
      <c r="L18" s="1" t="s">
        <v>28</v>
      </c>
    </row>
    <row r="19" spans="1:12" x14ac:dyDescent="0.35">
      <c r="A19">
        <v>18</v>
      </c>
      <c r="B19" s="1" t="s">
        <v>23</v>
      </c>
      <c r="C19" s="2">
        <v>3.6</v>
      </c>
      <c r="D19" s="3">
        <v>92.2</v>
      </c>
      <c r="E19" s="2">
        <v>6.5</v>
      </c>
      <c r="F19" s="1" t="s">
        <v>18</v>
      </c>
      <c r="G19" s="1" t="s">
        <v>19</v>
      </c>
      <c r="H19" s="1" t="s">
        <v>19</v>
      </c>
      <c r="I19" s="1" t="s">
        <v>19</v>
      </c>
      <c r="J19" s="2">
        <v>60.2</v>
      </c>
      <c r="K19" s="3">
        <v>76</v>
      </c>
      <c r="L19" s="1" t="s">
        <v>32</v>
      </c>
    </row>
    <row r="20" spans="1:12" x14ac:dyDescent="0.35">
      <c r="A20">
        <v>19</v>
      </c>
      <c r="B20" s="1" t="s">
        <v>23</v>
      </c>
      <c r="C20" s="2">
        <v>2.8</v>
      </c>
      <c r="D20" s="3">
        <v>95</v>
      </c>
      <c r="E20" s="2">
        <v>8.8000000000000007</v>
      </c>
      <c r="F20" s="1" t="s">
        <v>33</v>
      </c>
      <c r="G20" s="1" t="s">
        <v>20</v>
      </c>
      <c r="H20" s="1" t="s">
        <v>19</v>
      </c>
      <c r="I20" s="1" t="s">
        <v>20</v>
      </c>
      <c r="J20" s="2">
        <v>74.7</v>
      </c>
      <c r="K20" s="3">
        <v>90</v>
      </c>
      <c r="L20" s="1" t="s">
        <v>28</v>
      </c>
    </row>
    <row r="21" spans="1:12" x14ac:dyDescent="0.35">
      <c r="A21">
        <v>20</v>
      </c>
      <c r="B21" s="1" t="s">
        <v>17</v>
      </c>
      <c r="C21" s="2">
        <v>4.4000000000000004</v>
      </c>
      <c r="D21" s="3">
        <v>77.400000000000006</v>
      </c>
      <c r="E21" s="2">
        <v>8.4</v>
      </c>
      <c r="F21" s="1" t="s">
        <v>33</v>
      </c>
      <c r="G21" s="1" t="s">
        <v>20</v>
      </c>
      <c r="H21" s="1" t="s">
        <v>20</v>
      </c>
      <c r="I21" s="1" t="s">
        <v>19</v>
      </c>
      <c r="J21" s="2">
        <v>77</v>
      </c>
      <c r="K21" s="3">
        <v>93</v>
      </c>
      <c r="L21" s="1" t="s">
        <v>21</v>
      </c>
    </row>
    <row r="22" spans="1:12" x14ac:dyDescent="0.35">
      <c r="A22">
        <v>21</v>
      </c>
      <c r="B22" s="1" t="s">
        <v>23</v>
      </c>
      <c r="C22" s="2">
        <v>1.9</v>
      </c>
      <c r="D22" s="3">
        <v>70.8</v>
      </c>
      <c r="E22" s="2">
        <v>5.2</v>
      </c>
      <c r="F22" s="1" t="s">
        <v>24</v>
      </c>
      <c r="G22" s="1" t="s">
        <v>19</v>
      </c>
      <c r="H22" s="1" t="s">
        <v>19</v>
      </c>
      <c r="I22" s="1" t="s">
        <v>20</v>
      </c>
      <c r="J22" s="2">
        <v>69.8</v>
      </c>
      <c r="K22" s="3">
        <v>74</v>
      </c>
      <c r="L22" s="1" t="s">
        <v>32</v>
      </c>
    </row>
    <row r="23" spans="1:12" x14ac:dyDescent="0.35">
      <c r="A23">
        <v>22</v>
      </c>
      <c r="B23" s="1" t="s">
        <v>17</v>
      </c>
      <c r="C23" s="2">
        <v>3.3</v>
      </c>
      <c r="D23" s="3">
        <v>100</v>
      </c>
      <c r="E23" s="2">
        <v>7.8</v>
      </c>
      <c r="F23" s="1" t="s">
        <v>27</v>
      </c>
      <c r="G23" s="1" t="s">
        <v>19</v>
      </c>
      <c r="H23" s="1" t="s">
        <v>19</v>
      </c>
      <c r="I23" s="1" t="s">
        <v>20</v>
      </c>
      <c r="J23" s="2">
        <v>83.9</v>
      </c>
      <c r="K23" s="3">
        <v>100</v>
      </c>
      <c r="L23" s="1" t="s">
        <v>21</v>
      </c>
    </row>
    <row r="24" spans="1:12" x14ac:dyDescent="0.35">
      <c r="A24">
        <v>23</v>
      </c>
      <c r="B24" s="1" t="s">
        <v>23</v>
      </c>
      <c r="C24" s="2">
        <v>3.7</v>
      </c>
      <c r="D24" s="3">
        <v>81.8</v>
      </c>
      <c r="E24" s="2">
        <v>7.8</v>
      </c>
      <c r="F24" s="1" t="s">
        <v>24</v>
      </c>
      <c r="G24" s="1" t="s">
        <v>20</v>
      </c>
      <c r="H24" s="1" t="s">
        <v>20</v>
      </c>
      <c r="I24" s="1" t="s">
        <v>20</v>
      </c>
      <c r="J24" s="2">
        <v>74.8</v>
      </c>
      <c r="K24" s="3">
        <v>73</v>
      </c>
      <c r="L24" s="1" t="s">
        <v>32</v>
      </c>
    </row>
    <row r="25" spans="1:12" x14ac:dyDescent="0.35">
      <c r="A25">
        <v>24</v>
      </c>
      <c r="B25" s="1" t="s">
        <v>23</v>
      </c>
      <c r="C25" s="2">
        <v>4.3</v>
      </c>
      <c r="D25" s="3">
        <v>82.5</v>
      </c>
      <c r="E25" s="2">
        <v>5.4</v>
      </c>
      <c r="F25" s="1" t="s">
        <v>34</v>
      </c>
      <c r="G25" s="1" t="s">
        <v>20</v>
      </c>
      <c r="H25" s="1" t="s">
        <v>19</v>
      </c>
      <c r="I25" s="1" t="s">
        <v>20</v>
      </c>
      <c r="J25" s="2">
        <v>61</v>
      </c>
      <c r="K25" s="3">
        <v>71</v>
      </c>
      <c r="L25" s="1" t="s">
        <v>32</v>
      </c>
    </row>
    <row r="26" spans="1:12" x14ac:dyDescent="0.35">
      <c r="A26">
        <v>25</v>
      </c>
      <c r="B26" s="1" t="s">
        <v>23</v>
      </c>
      <c r="C26" s="2">
        <v>4.5999999999999996</v>
      </c>
      <c r="D26" s="3">
        <v>98.3</v>
      </c>
      <c r="E26" s="2">
        <v>7.8</v>
      </c>
      <c r="F26" s="1" t="s">
        <v>27</v>
      </c>
      <c r="G26" s="1" t="s">
        <v>19</v>
      </c>
      <c r="H26" s="1" t="s">
        <v>19</v>
      </c>
      <c r="I26" s="1" t="s">
        <v>19</v>
      </c>
      <c r="J26" s="2">
        <v>66.599999999999994</v>
      </c>
      <c r="K26" s="3">
        <v>97</v>
      </c>
      <c r="L26" s="1" t="s">
        <v>21</v>
      </c>
    </row>
    <row r="27" spans="1:12" x14ac:dyDescent="0.35">
      <c r="A27">
        <v>26</v>
      </c>
      <c r="B27" s="1" t="s">
        <v>23</v>
      </c>
      <c r="C27" s="2">
        <v>1.8</v>
      </c>
      <c r="D27" s="3">
        <v>90.6</v>
      </c>
      <c r="E27" s="2">
        <v>8.6</v>
      </c>
      <c r="F27" s="1" t="s">
        <v>24</v>
      </c>
      <c r="G27" s="1" t="s">
        <v>19</v>
      </c>
      <c r="H27" s="1" t="s">
        <v>20</v>
      </c>
      <c r="I27" s="1" t="s">
        <v>20</v>
      </c>
      <c r="J27" s="2">
        <v>53.2</v>
      </c>
      <c r="K27" s="3">
        <v>76</v>
      </c>
      <c r="L27" s="1" t="s">
        <v>32</v>
      </c>
    </row>
    <row r="28" spans="1:12" x14ac:dyDescent="0.35">
      <c r="A28">
        <v>27</v>
      </c>
      <c r="B28" s="1" t="s">
        <v>23</v>
      </c>
      <c r="C28" s="2">
        <v>1.2</v>
      </c>
      <c r="D28" s="3">
        <v>89.6</v>
      </c>
      <c r="E28" s="2">
        <v>5.5</v>
      </c>
      <c r="F28" s="1" t="s">
        <v>33</v>
      </c>
      <c r="G28" s="1" t="s">
        <v>19</v>
      </c>
      <c r="H28" s="1" t="s">
        <v>20</v>
      </c>
      <c r="I28" s="1" t="s">
        <v>19</v>
      </c>
      <c r="J28" s="2">
        <v>68.7</v>
      </c>
      <c r="K28" s="3">
        <v>79</v>
      </c>
      <c r="L28" s="1" t="s">
        <v>32</v>
      </c>
    </row>
    <row r="29" spans="1:12" x14ac:dyDescent="0.35">
      <c r="A29">
        <v>28</v>
      </c>
      <c r="B29" s="1" t="s">
        <v>23</v>
      </c>
      <c r="C29" s="2">
        <v>5.4</v>
      </c>
      <c r="D29" s="3">
        <v>100</v>
      </c>
      <c r="E29" s="2">
        <v>5.7</v>
      </c>
      <c r="F29" s="1" t="s">
        <v>24</v>
      </c>
      <c r="G29" s="1" t="s">
        <v>20</v>
      </c>
      <c r="H29" s="1" t="s">
        <v>20</v>
      </c>
      <c r="I29" s="1" t="s">
        <v>20</v>
      </c>
      <c r="J29" s="2">
        <v>83.3</v>
      </c>
      <c r="K29" s="3">
        <v>97</v>
      </c>
      <c r="L29" s="1" t="s">
        <v>21</v>
      </c>
    </row>
    <row r="30" spans="1:12" x14ac:dyDescent="0.35">
      <c r="A30">
        <v>29</v>
      </c>
      <c r="B30" s="1" t="s">
        <v>23</v>
      </c>
      <c r="C30" s="2">
        <v>4</v>
      </c>
      <c r="D30" s="3">
        <v>78.599999999999994</v>
      </c>
      <c r="E30" s="2">
        <v>8</v>
      </c>
      <c r="F30" s="1" t="s">
        <v>18</v>
      </c>
      <c r="G30" s="1" t="s">
        <v>19</v>
      </c>
      <c r="H30" s="1" t="s">
        <v>20</v>
      </c>
      <c r="I30" s="1" t="s">
        <v>20</v>
      </c>
      <c r="J30" s="2">
        <v>78.2</v>
      </c>
      <c r="K30" s="3">
        <v>84</v>
      </c>
      <c r="L30" s="1" t="s">
        <v>28</v>
      </c>
    </row>
    <row r="31" spans="1:12" x14ac:dyDescent="0.35">
      <c r="A31">
        <v>30</v>
      </c>
      <c r="B31" s="1" t="s">
        <v>23</v>
      </c>
      <c r="C31" s="2">
        <v>2.4</v>
      </c>
      <c r="D31" s="3">
        <v>94.3</v>
      </c>
      <c r="E31" s="2">
        <v>7.1</v>
      </c>
      <c r="F31" s="1" t="s">
        <v>18</v>
      </c>
      <c r="G31" s="1" t="s">
        <v>19</v>
      </c>
      <c r="H31" s="1" t="s">
        <v>19</v>
      </c>
      <c r="I31" s="1" t="s">
        <v>20</v>
      </c>
      <c r="J31" s="2">
        <v>86.8</v>
      </c>
      <c r="K31" s="3">
        <v>90</v>
      </c>
      <c r="L31" s="1" t="s">
        <v>28</v>
      </c>
    </row>
    <row r="32" spans="1:12" x14ac:dyDescent="0.35">
      <c r="A32">
        <v>31</v>
      </c>
      <c r="B32" s="1" t="s">
        <v>17</v>
      </c>
      <c r="C32" s="2">
        <v>5.8</v>
      </c>
      <c r="D32" s="3">
        <v>85.6</v>
      </c>
      <c r="E32" s="2">
        <v>7.5</v>
      </c>
      <c r="F32" s="1" t="s">
        <v>18</v>
      </c>
      <c r="G32" s="1" t="s">
        <v>19</v>
      </c>
      <c r="H32" s="1" t="s">
        <v>20</v>
      </c>
      <c r="I32" s="1" t="s">
        <v>19</v>
      </c>
      <c r="J32" s="2">
        <v>66.400000000000006</v>
      </c>
      <c r="K32" s="3">
        <v>82</v>
      </c>
      <c r="L32" s="1" t="s">
        <v>28</v>
      </c>
    </row>
    <row r="33" spans="1:12" x14ac:dyDescent="0.35">
      <c r="A33">
        <v>32</v>
      </c>
      <c r="B33" s="1" t="s">
        <v>17</v>
      </c>
      <c r="C33" s="2">
        <v>3.7</v>
      </c>
      <c r="D33" s="3">
        <v>87.7</v>
      </c>
      <c r="E33" s="2">
        <v>7.2</v>
      </c>
      <c r="F33" s="1" t="s">
        <v>27</v>
      </c>
      <c r="G33" s="1" t="s">
        <v>19</v>
      </c>
      <c r="H33" s="1" t="s">
        <v>19</v>
      </c>
      <c r="I33" s="1" t="s">
        <v>20</v>
      </c>
      <c r="J33" s="2">
        <v>86.2</v>
      </c>
      <c r="K33" s="3">
        <v>88</v>
      </c>
      <c r="L33" s="1" t="s">
        <v>28</v>
      </c>
    </row>
    <row r="34" spans="1:12" x14ac:dyDescent="0.35">
      <c r="A34">
        <v>33</v>
      </c>
      <c r="B34" s="1" t="s">
        <v>23</v>
      </c>
      <c r="C34" s="2">
        <v>5.3</v>
      </c>
      <c r="D34" s="3">
        <v>100</v>
      </c>
      <c r="E34" s="2">
        <v>7.3</v>
      </c>
      <c r="F34" s="1" t="s">
        <v>33</v>
      </c>
      <c r="G34" s="1" t="s">
        <v>19</v>
      </c>
      <c r="H34" s="1" t="s">
        <v>19</v>
      </c>
      <c r="I34" s="1" t="s">
        <v>20</v>
      </c>
      <c r="J34" s="2">
        <v>67.7</v>
      </c>
      <c r="K34" s="3">
        <v>100</v>
      </c>
      <c r="L34" s="1" t="s">
        <v>21</v>
      </c>
    </row>
    <row r="35" spans="1:12" x14ac:dyDescent="0.35">
      <c r="A35">
        <v>34</v>
      </c>
      <c r="B35" s="1" t="s">
        <v>23</v>
      </c>
      <c r="C35" s="2">
        <v>3.6</v>
      </c>
      <c r="D35" s="3">
        <v>90.1</v>
      </c>
      <c r="E35" s="2">
        <v>5.2</v>
      </c>
      <c r="F35" s="1" t="s">
        <v>18</v>
      </c>
      <c r="G35" s="1" t="s">
        <v>20</v>
      </c>
      <c r="H35" s="1" t="s">
        <v>19</v>
      </c>
      <c r="I35" s="1" t="s">
        <v>20</v>
      </c>
      <c r="J35" s="2">
        <v>87.7</v>
      </c>
      <c r="K35" s="3">
        <v>93</v>
      </c>
      <c r="L35" s="1" t="s">
        <v>21</v>
      </c>
    </row>
    <row r="36" spans="1:12" x14ac:dyDescent="0.35">
      <c r="A36">
        <v>35</v>
      </c>
      <c r="B36" s="1" t="s">
        <v>23</v>
      </c>
      <c r="C36" s="2">
        <v>6.6</v>
      </c>
      <c r="D36" s="3">
        <v>90.4</v>
      </c>
      <c r="E36" s="2">
        <v>8.1</v>
      </c>
      <c r="F36" s="1" t="s">
        <v>33</v>
      </c>
      <c r="G36" s="1" t="s">
        <v>19</v>
      </c>
      <c r="H36" s="1" t="s">
        <v>19</v>
      </c>
      <c r="I36" s="1" t="s">
        <v>19</v>
      </c>
      <c r="J36" s="2">
        <v>69.7</v>
      </c>
      <c r="K36" s="3">
        <v>100</v>
      </c>
      <c r="L36" s="1" t="s">
        <v>21</v>
      </c>
    </row>
    <row r="37" spans="1:12" x14ac:dyDescent="0.35">
      <c r="A37">
        <v>36</v>
      </c>
      <c r="B37" s="1" t="s">
        <v>17</v>
      </c>
      <c r="C37" s="2">
        <v>6.1</v>
      </c>
      <c r="D37" s="3">
        <v>95.7</v>
      </c>
      <c r="E37" s="2">
        <v>8.1999999999999993</v>
      </c>
      <c r="F37" s="1" t="s">
        <v>27</v>
      </c>
      <c r="G37" s="1" t="s">
        <v>19</v>
      </c>
      <c r="H37" s="1" t="s">
        <v>19</v>
      </c>
      <c r="I37" s="1" t="s">
        <v>19</v>
      </c>
      <c r="J37" s="2">
        <v>78.5</v>
      </c>
      <c r="K37" s="3">
        <v>93</v>
      </c>
      <c r="L37" s="1" t="s">
        <v>21</v>
      </c>
    </row>
    <row r="38" spans="1:12" x14ac:dyDescent="0.35">
      <c r="A38">
        <v>37</v>
      </c>
      <c r="B38" s="1" t="s">
        <v>23</v>
      </c>
      <c r="C38" s="2">
        <v>3.1</v>
      </c>
      <c r="D38" s="3">
        <v>81.400000000000006</v>
      </c>
      <c r="E38" s="2">
        <v>6.5</v>
      </c>
      <c r="F38" s="1" t="s">
        <v>24</v>
      </c>
      <c r="G38" s="1" t="s">
        <v>19</v>
      </c>
      <c r="H38" s="1" t="s">
        <v>20</v>
      </c>
      <c r="I38" s="1" t="s">
        <v>19</v>
      </c>
      <c r="J38" s="2">
        <v>87.7</v>
      </c>
      <c r="K38" s="3">
        <v>83</v>
      </c>
      <c r="L38" s="1" t="s">
        <v>28</v>
      </c>
    </row>
    <row r="39" spans="1:12" x14ac:dyDescent="0.35">
      <c r="A39">
        <v>38</v>
      </c>
      <c r="B39" s="1" t="s">
        <v>17</v>
      </c>
      <c r="C39" s="2">
        <v>5</v>
      </c>
      <c r="D39" s="3">
        <v>76.599999999999994</v>
      </c>
      <c r="E39" s="2">
        <v>6.7</v>
      </c>
      <c r="F39" s="1" t="s">
        <v>27</v>
      </c>
      <c r="G39" s="1" t="s">
        <v>19</v>
      </c>
      <c r="H39" s="1" t="s">
        <v>19</v>
      </c>
      <c r="I39" s="1" t="s">
        <v>20</v>
      </c>
      <c r="J39" s="2">
        <v>67.7</v>
      </c>
      <c r="K39" s="3">
        <v>81</v>
      </c>
      <c r="L39" s="1" t="s">
        <v>28</v>
      </c>
    </row>
    <row r="40" spans="1:12" x14ac:dyDescent="0.35">
      <c r="A40">
        <v>39</v>
      </c>
      <c r="B40" s="1" t="s">
        <v>17</v>
      </c>
      <c r="C40" s="2">
        <v>4.5</v>
      </c>
      <c r="D40" s="3">
        <v>74.599999999999994</v>
      </c>
      <c r="E40" s="2">
        <v>5</v>
      </c>
      <c r="F40" s="1" t="s">
        <v>24</v>
      </c>
      <c r="G40" s="1" t="s">
        <v>19</v>
      </c>
      <c r="H40" s="1" t="s">
        <v>19</v>
      </c>
      <c r="I40" s="1" t="s">
        <v>19</v>
      </c>
      <c r="J40" s="2">
        <v>72.599999999999994</v>
      </c>
      <c r="K40" s="3">
        <v>90</v>
      </c>
      <c r="L40" s="1" t="s">
        <v>28</v>
      </c>
    </row>
    <row r="41" spans="1:12" x14ac:dyDescent="0.35">
      <c r="A41">
        <v>40</v>
      </c>
      <c r="B41" s="1" t="s">
        <v>17</v>
      </c>
      <c r="C41" s="2">
        <v>5.6</v>
      </c>
      <c r="D41" s="3">
        <v>65.3</v>
      </c>
      <c r="E41" s="2">
        <v>7.4</v>
      </c>
      <c r="F41" s="1" t="s">
        <v>33</v>
      </c>
      <c r="G41" s="1" t="s">
        <v>19</v>
      </c>
      <c r="H41" s="1" t="s">
        <v>19</v>
      </c>
      <c r="I41" s="1" t="s">
        <v>20</v>
      </c>
      <c r="J41" s="2">
        <v>85.5</v>
      </c>
      <c r="K41" s="3">
        <v>92</v>
      </c>
      <c r="L41" s="1" t="s">
        <v>21</v>
      </c>
    </row>
    <row r="42" spans="1:12" x14ac:dyDescent="0.35">
      <c r="A42">
        <v>41</v>
      </c>
      <c r="B42" s="1" t="s">
        <v>17</v>
      </c>
      <c r="C42" s="2">
        <v>2.1</v>
      </c>
      <c r="D42" s="3">
        <v>100</v>
      </c>
      <c r="E42" s="2">
        <v>7.5</v>
      </c>
      <c r="F42" s="1" t="s">
        <v>24</v>
      </c>
      <c r="G42" s="1" t="s">
        <v>19</v>
      </c>
      <c r="H42" s="1" t="s">
        <v>19</v>
      </c>
      <c r="I42" s="1" t="s">
        <v>19</v>
      </c>
      <c r="J42" s="2">
        <v>68.400000000000006</v>
      </c>
      <c r="K42" s="3">
        <v>75</v>
      </c>
      <c r="L42" s="1" t="s">
        <v>32</v>
      </c>
    </row>
    <row r="43" spans="1:12" x14ac:dyDescent="0.35">
      <c r="A43">
        <v>42</v>
      </c>
      <c r="B43" s="1" t="s">
        <v>17</v>
      </c>
      <c r="C43" s="2">
        <v>4.5</v>
      </c>
      <c r="D43" s="3">
        <v>74</v>
      </c>
      <c r="E43" s="2">
        <v>6.7</v>
      </c>
      <c r="F43" s="1" t="s">
        <v>24</v>
      </c>
      <c r="G43" s="1" t="s">
        <v>19</v>
      </c>
      <c r="H43" s="1" t="s">
        <v>20</v>
      </c>
      <c r="I43" s="1" t="s">
        <v>20</v>
      </c>
      <c r="J43" s="2">
        <v>54.1</v>
      </c>
      <c r="K43" s="3">
        <v>79</v>
      </c>
      <c r="L43" s="1" t="s">
        <v>32</v>
      </c>
    </row>
    <row r="44" spans="1:12" x14ac:dyDescent="0.35">
      <c r="A44">
        <v>43</v>
      </c>
      <c r="B44" s="1" t="s">
        <v>23</v>
      </c>
      <c r="C44" s="2">
        <v>5.0999999999999996</v>
      </c>
      <c r="D44" s="3">
        <v>82.8</v>
      </c>
      <c r="E44" s="2">
        <v>8.1</v>
      </c>
      <c r="F44" s="1" t="s">
        <v>18</v>
      </c>
      <c r="G44" s="1" t="s">
        <v>19</v>
      </c>
      <c r="H44" s="1" t="s">
        <v>19</v>
      </c>
      <c r="I44" s="1" t="s">
        <v>20</v>
      </c>
      <c r="J44" s="2">
        <v>95.7</v>
      </c>
      <c r="K44" s="3">
        <v>100</v>
      </c>
      <c r="L44" s="1" t="s">
        <v>21</v>
      </c>
    </row>
    <row r="45" spans="1:12" x14ac:dyDescent="0.35">
      <c r="A45">
        <v>44</v>
      </c>
      <c r="B45" s="1" t="s">
        <v>23</v>
      </c>
      <c r="C45" s="2">
        <v>0.9</v>
      </c>
      <c r="D45" s="3">
        <v>82.2</v>
      </c>
      <c r="E45" s="2">
        <v>6.4</v>
      </c>
      <c r="F45" s="1" t="s">
        <v>18</v>
      </c>
      <c r="G45" s="1" t="s">
        <v>19</v>
      </c>
      <c r="H45" s="1" t="s">
        <v>19</v>
      </c>
      <c r="I45" s="1" t="s">
        <v>20</v>
      </c>
      <c r="J45" s="2">
        <v>64.400000000000006</v>
      </c>
      <c r="K45" s="3">
        <v>79</v>
      </c>
      <c r="L45" s="1" t="s">
        <v>32</v>
      </c>
    </row>
    <row r="46" spans="1:12" x14ac:dyDescent="0.35">
      <c r="A46">
        <v>45</v>
      </c>
      <c r="B46" s="1" t="s">
        <v>23</v>
      </c>
      <c r="C46" s="2">
        <v>1.7</v>
      </c>
      <c r="D46" s="3">
        <v>88.1</v>
      </c>
      <c r="E46" s="2">
        <v>7.5</v>
      </c>
      <c r="F46" s="1" t="s">
        <v>18</v>
      </c>
      <c r="G46" s="1" t="s">
        <v>20</v>
      </c>
      <c r="H46" s="1" t="s">
        <v>19</v>
      </c>
      <c r="I46" s="1" t="s">
        <v>20</v>
      </c>
      <c r="J46" s="2">
        <v>71.900000000000006</v>
      </c>
      <c r="K46" s="3">
        <v>71</v>
      </c>
      <c r="L46" s="1" t="s">
        <v>32</v>
      </c>
    </row>
    <row r="47" spans="1:12" x14ac:dyDescent="0.35">
      <c r="A47">
        <v>46</v>
      </c>
      <c r="B47" s="1" t="s">
        <v>23</v>
      </c>
      <c r="C47" s="2">
        <v>0.5</v>
      </c>
      <c r="D47" s="3">
        <v>93.2</v>
      </c>
      <c r="E47" s="2">
        <v>5.6</v>
      </c>
      <c r="F47" s="1" t="s">
        <v>24</v>
      </c>
      <c r="G47" s="1" t="s">
        <v>20</v>
      </c>
      <c r="H47" s="1" t="s">
        <v>20</v>
      </c>
      <c r="I47" s="1" t="s">
        <v>19</v>
      </c>
      <c r="J47" s="2">
        <v>83.9</v>
      </c>
      <c r="K47" s="3">
        <v>62</v>
      </c>
      <c r="L47" s="1" t="s">
        <v>30</v>
      </c>
    </row>
    <row r="48" spans="1:12" x14ac:dyDescent="0.35">
      <c r="A48">
        <v>47</v>
      </c>
      <c r="B48" s="1" t="s">
        <v>23</v>
      </c>
      <c r="C48" s="2">
        <v>3.1</v>
      </c>
      <c r="D48" s="3">
        <v>93.6</v>
      </c>
      <c r="E48" s="2">
        <v>6.8</v>
      </c>
      <c r="F48" s="1" t="s">
        <v>18</v>
      </c>
      <c r="G48" s="1" t="s">
        <v>19</v>
      </c>
      <c r="H48" s="1" t="s">
        <v>19</v>
      </c>
      <c r="I48" s="1" t="s">
        <v>19</v>
      </c>
      <c r="J48" s="2">
        <v>62.7</v>
      </c>
      <c r="K48" s="3">
        <v>68</v>
      </c>
      <c r="L48" s="1" t="s">
        <v>30</v>
      </c>
    </row>
    <row r="49" spans="1:12" x14ac:dyDescent="0.35">
      <c r="A49">
        <v>48</v>
      </c>
      <c r="B49" s="1" t="s">
        <v>17</v>
      </c>
      <c r="C49" s="2">
        <v>4.5999999999999996</v>
      </c>
      <c r="D49" s="3">
        <v>79.2</v>
      </c>
      <c r="E49" s="2">
        <v>6.6</v>
      </c>
      <c r="F49" s="1" t="s">
        <v>27</v>
      </c>
      <c r="G49" s="1" t="s">
        <v>19</v>
      </c>
      <c r="H49" s="1" t="s">
        <v>19</v>
      </c>
      <c r="I49" s="1" t="s">
        <v>19</v>
      </c>
      <c r="J49" s="2">
        <v>57.9</v>
      </c>
      <c r="K49" s="3">
        <v>80</v>
      </c>
      <c r="L49" s="1" t="s">
        <v>28</v>
      </c>
    </row>
    <row r="50" spans="1:12" x14ac:dyDescent="0.35">
      <c r="A50">
        <v>49</v>
      </c>
      <c r="B50" s="1" t="s">
        <v>23</v>
      </c>
      <c r="C50" s="2">
        <v>5.8</v>
      </c>
      <c r="D50" s="3">
        <v>83.3</v>
      </c>
      <c r="E50" s="2">
        <v>7.1</v>
      </c>
      <c r="F50" s="1" t="s">
        <v>18</v>
      </c>
      <c r="G50" s="1" t="s">
        <v>20</v>
      </c>
      <c r="H50" s="1" t="s">
        <v>19</v>
      </c>
      <c r="I50" s="1" t="s">
        <v>20</v>
      </c>
      <c r="J50" s="2">
        <v>73</v>
      </c>
      <c r="K50" s="3">
        <v>89</v>
      </c>
      <c r="L50" s="1" t="s">
        <v>28</v>
      </c>
    </row>
    <row r="51" spans="1:12" x14ac:dyDescent="0.35">
      <c r="A51">
        <v>50</v>
      </c>
      <c r="B51" s="1" t="s">
        <v>23</v>
      </c>
      <c r="C51" s="2">
        <v>3.6</v>
      </c>
      <c r="D51" s="3">
        <v>87.8</v>
      </c>
      <c r="E51" s="2">
        <v>6.4</v>
      </c>
      <c r="F51" s="1" t="s">
        <v>24</v>
      </c>
      <c r="G51" s="1" t="s">
        <v>19</v>
      </c>
      <c r="H51" s="1" t="s">
        <v>19</v>
      </c>
      <c r="I51" s="1" t="s">
        <v>20</v>
      </c>
      <c r="J51" s="2">
        <v>48.5</v>
      </c>
      <c r="K51" s="3">
        <v>69</v>
      </c>
      <c r="L51" s="1" t="s">
        <v>30</v>
      </c>
    </row>
    <row r="52" spans="1:12" x14ac:dyDescent="0.35">
      <c r="A52">
        <v>51</v>
      </c>
      <c r="B52" s="1" t="s">
        <v>17</v>
      </c>
      <c r="C52" s="2">
        <v>5.9</v>
      </c>
      <c r="D52" s="3">
        <v>82.5</v>
      </c>
      <c r="E52" s="2">
        <v>6.6</v>
      </c>
      <c r="F52" s="1" t="s">
        <v>18</v>
      </c>
      <c r="G52" s="1" t="s">
        <v>19</v>
      </c>
      <c r="H52" s="1" t="s">
        <v>19</v>
      </c>
      <c r="I52" s="1" t="s">
        <v>20</v>
      </c>
      <c r="J52" s="2">
        <v>66.5</v>
      </c>
      <c r="K52" s="3">
        <v>100</v>
      </c>
      <c r="L52" s="1" t="s">
        <v>21</v>
      </c>
    </row>
    <row r="53" spans="1:12" x14ac:dyDescent="0.35">
      <c r="A53">
        <v>52</v>
      </c>
      <c r="B53" s="1" t="s">
        <v>23</v>
      </c>
      <c r="C53" s="2">
        <v>1.4</v>
      </c>
      <c r="D53" s="3">
        <v>100</v>
      </c>
      <c r="E53" s="2">
        <v>7.8</v>
      </c>
      <c r="F53" s="1" t="s">
        <v>24</v>
      </c>
      <c r="G53" s="1" t="s">
        <v>20</v>
      </c>
      <c r="H53" s="1" t="s">
        <v>20</v>
      </c>
      <c r="I53" s="1" t="s">
        <v>20</v>
      </c>
      <c r="J53" s="2">
        <v>72.900000000000006</v>
      </c>
      <c r="K53" s="3">
        <v>82</v>
      </c>
      <c r="L53" s="1" t="s">
        <v>28</v>
      </c>
    </row>
    <row r="54" spans="1:12" x14ac:dyDescent="0.35">
      <c r="A54">
        <v>53</v>
      </c>
      <c r="B54" s="1" t="s">
        <v>17</v>
      </c>
      <c r="C54" s="2">
        <v>0.9</v>
      </c>
      <c r="D54" s="3">
        <v>89.9</v>
      </c>
      <c r="E54" s="2">
        <v>6.3</v>
      </c>
      <c r="F54" s="1" t="s">
        <v>33</v>
      </c>
      <c r="G54" s="1" t="s">
        <v>19</v>
      </c>
      <c r="H54" s="1" t="s">
        <v>20</v>
      </c>
      <c r="I54" s="1" t="s">
        <v>20</v>
      </c>
      <c r="J54" s="2">
        <v>66.8</v>
      </c>
      <c r="K54" s="3">
        <v>73</v>
      </c>
      <c r="L54" s="1" t="s">
        <v>32</v>
      </c>
    </row>
    <row r="55" spans="1:12" x14ac:dyDescent="0.35">
      <c r="A55">
        <v>54</v>
      </c>
      <c r="B55" s="1" t="s">
        <v>23</v>
      </c>
      <c r="C55" s="2">
        <v>3.4</v>
      </c>
      <c r="D55" s="3">
        <v>92.3</v>
      </c>
      <c r="E55" s="2">
        <v>4.9000000000000004</v>
      </c>
      <c r="F55" s="1" t="s">
        <v>33</v>
      </c>
      <c r="G55" s="1" t="s">
        <v>19</v>
      </c>
      <c r="H55" s="1" t="s">
        <v>20</v>
      </c>
      <c r="I55" s="1" t="s">
        <v>20</v>
      </c>
      <c r="J55" s="2">
        <v>51.5</v>
      </c>
      <c r="K55" s="3">
        <v>85</v>
      </c>
      <c r="L55" s="1" t="s">
        <v>28</v>
      </c>
    </row>
    <row r="56" spans="1:12" x14ac:dyDescent="0.35">
      <c r="A56">
        <v>55</v>
      </c>
      <c r="B56" s="1" t="s">
        <v>17</v>
      </c>
      <c r="C56" s="2">
        <v>4.0999999999999996</v>
      </c>
      <c r="D56" s="3">
        <v>91.6</v>
      </c>
      <c r="E56" s="2">
        <v>8.9</v>
      </c>
      <c r="F56" s="1" t="s">
        <v>18</v>
      </c>
      <c r="G56" s="1" t="s">
        <v>20</v>
      </c>
      <c r="H56" s="1" t="s">
        <v>19</v>
      </c>
      <c r="I56" s="1" t="s">
        <v>20</v>
      </c>
      <c r="J56" s="2">
        <v>89.1</v>
      </c>
      <c r="K56" s="3">
        <v>100</v>
      </c>
      <c r="L56" s="1" t="s">
        <v>21</v>
      </c>
    </row>
    <row r="57" spans="1:12" x14ac:dyDescent="0.35">
      <c r="A57">
        <v>56</v>
      </c>
      <c r="B57" s="1" t="s">
        <v>23</v>
      </c>
      <c r="C57" s="2">
        <v>3.5</v>
      </c>
      <c r="D57" s="3">
        <v>96.7</v>
      </c>
      <c r="E57" s="2">
        <v>8.5</v>
      </c>
      <c r="F57" s="1" t="s">
        <v>18</v>
      </c>
      <c r="G57" s="1" t="s">
        <v>19</v>
      </c>
      <c r="H57" s="1" t="s">
        <v>19</v>
      </c>
      <c r="I57" s="1" t="s">
        <v>19</v>
      </c>
      <c r="J57" s="2">
        <v>71.2</v>
      </c>
      <c r="K57" s="3">
        <v>84</v>
      </c>
      <c r="L57" s="1" t="s">
        <v>28</v>
      </c>
    </row>
    <row r="58" spans="1:12" x14ac:dyDescent="0.35">
      <c r="A58">
        <v>57</v>
      </c>
      <c r="B58" s="1" t="s">
        <v>23</v>
      </c>
      <c r="C58" s="2">
        <v>0.5</v>
      </c>
      <c r="D58" s="3">
        <v>86.8</v>
      </c>
      <c r="E58" s="2">
        <v>5.2</v>
      </c>
      <c r="F58" s="1" t="s">
        <v>33</v>
      </c>
      <c r="G58" s="1" t="s">
        <v>19</v>
      </c>
      <c r="H58" s="1" t="s">
        <v>19</v>
      </c>
      <c r="I58" s="1" t="s">
        <v>20</v>
      </c>
      <c r="J58" s="2">
        <v>87.2</v>
      </c>
      <c r="K58" s="3">
        <v>72</v>
      </c>
      <c r="L58" s="1" t="s">
        <v>32</v>
      </c>
    </row>
    <row r="59" spans="1:12" x14ac:dyDescent="0.35">
      <c r="A59">
        <v>58</v>
      </c>
      <c r="B59" s="1" t="s">
        <v>17</v>
      </c>
      <c r="C59" s="2">
        <v>3.4</v>
      </c>
      <c r="D59" s="3">
        <v>72</v>
      </c>
      <c r="E59" s="2">
        <v>7.6</v>
      </c>
      <c r="F59" s="1" t="s">
        <v>18</v>
      </c>
      <c r="G59" s="1" t="s">
        <v>19</v>
      </c>
      <c r="H59" s="1" t="s">
        <v>20</v>
      </c>
      <c r="I59" s="1" t="s">
        <v>20</v>
      </c>
      <c r="J59" s="2">
        <v>66.900000000000006</v>
      </c>
      <c r="K59" s="3">
        <v>84</v>
      </c>
      <c r="L59" s="1" t="s">
        <v>28</v>
      </c>
    </row>
    <row r="60" spans="1:12" x14ac:dyDescent="0.35">
      <c r="A60">
        <v>59</v>
      </c>
      <c r="B60" s="1" t="s">
        <v>17</v>
      </c>
      <c r="C60" s="2">
        <v>1.5</v>
      </c>
      <c r="D60" s="3">
        <v>89</v>
      </c>
      <c r="E60" s="2">
        <v>6.2</v>
      </c>
      <c r="F60" s="1" t="s">
        <v>33</v>
      </c>
      <c r="G60" s="1" t="s">
        <v>19</v>
      </c>
      <c r="H60" s="1" t="s">
        <v>20</v>
      </c>
      <c r="I60" s="1" t="s">
        <v>20</v>
      </c>
      <c r="J60" s="2">
        <v>59.4</v>
      </c>
      <c r="K60" s="3">
        <v>75</v>
      </c>
      <c r="L60" s="1" t="s">
        <v>32</v>
      </c>
    </row>
    <row r="61" spans="1:12" x14ac:dyDescent="0.35">
      <c r="A61">
        <v>60</v>
      </c>
      <c r="B61" s="1" t="s">
        <v>17</v>
      </c>
      <c r="C61" s="2">
        <v>4.5</v>
      </c>
      <c r="D61" s="3">
        <v>78.5</v>
      </c>
      <c r="E61" s="2">
        <v>7.1</v>
      </c>
      <c r="F61" s="1" t="s">
        <v>18</v>
      </c>
      <c r="G61" s="1" t="s">
        <v>19</v>
      </c>
      <c r="H61" s="1" t="s">
        <v>20</v>
      </c>
      <c r="I61" s="1" t="s">
        <v>20</v>
      </c>
      <c r="J61" s="2">
        <v>73.2</v>
      </c>
      <c r="K61" s="3">
        <v>90</v>
      </c>
      <c r="L61" s="1" t="s">
        <v>28</v>
      </c>
    </row>
    <row r="62" spans="1:12" x14ac:dyDescent="0.35">
      <c r="A62">
        <v>61</v>
      </c>
      <c r="B62" s="1" t="s">
        <v>17</v>
      </c>
      <c r="C62" s="2">
        <v>4</v>
      </c>
      <c r="D62" s="3">
        <v>79.7</v>
      </c>
      <c r="E62" s="2">
        <v>7.2</v>
      </c>
      <c r="F62" s="1" t="s">
        <v>33</v>
      </c>
      <c r="G62" s="1" t="s">
        <v>19</v>
      </c>
      <c r="H62" s="1" t="s">
        <v>19</v>
      </c>
      <c r="I62" s="1" t="s">
        <v>20</v>
      </c>
      <c r="J62" s="2">
        <v>67.400000000000006</v>
      </c>
      <c r="K62" s="3">
        <v>80</v>
      </c>
      <c r="L62" s="1" t="s">
        <v>28</v>
      </c>
    </row>
    <row r="63" spans="1:12" x14ac:dyDescent="0.35">
      <c r="A63">
        <v>62</v>
      </c>
      <c r="B63" s="1" t="s">
        <v>17</v>
      </c>
      <c r="C63" s="2">
        <v>2.1</v>
      </c>
      <c r="D63" s="3">
        <v>90.9</v>
      </c>
      <c r="E63" s="2">
        <v>6.5</v>
      </c>
      <c r="F63" s="1" t="s">
        <v>18</v>
      </c>
      <c r="G63" s="1" t="s">
        <v>20</v>
      </c>
      <c r="H63" s="1" t="s">
        <v>19</v>
      </c>
      <c r="I63" s="1" t="s">
        <v>19</v>
      </c>
      <c r="J63" s="2">
        <v>55.9</v>
      </c>
      <c r="K63" s="3">
        <v>71</v>
      </c>
      <c r="L63" s="1" t="s">
        <v>32</v>
      </c>
    </row>
    <row r="64" spans="1:12" x14ac:dyDescent="0.35">
      <c r="A64">
        <v>63</v>
      </c>
      <c r="B64" s="1" t="s">
        <v>17</v>
      </c>
      <c r="C64" s="2">
        <v>2.7</v>
      </c>
      <c r="D64" s="3">
        <v>97.4</v>
      </c>
      <c r="E64" s="2">
        <v>5.9</v>
      </c>
      <c r="F64" s="1" t="s">
        <v>18</v>
      </c>
      <c r="G64" s="1" t="s">
        <v>19</v>
      </c>
      <c r="H64" s="1" t="s">
        <v>19</v>
      </c>
      <c r="I64" s="1" t="s">
        <v>20</v>
      </c>
      <c r="J64" s="2">
        <v>87.6</v>
      </c>
      <c r="K64" s="3">
        <v>88</v>
      </c>
      <c r="L64" s="1" t="s">
        <v>28</v>
      </c>
    </row>
    <row r="65" spans="1:12" x14ac:dyDescent="0.35">
      <c r="A65">
        <v>64</v>
      </c>
      <c r="B65" s="1" t="s">
        <v>17</v>
      </c>
      <c r="C65" s="2">
        <v>1.9</v>
      </c>
      <c r="D65" s="3">
        <v>85.2</v>
      </c>
      <c r="E65" s="2">
        <v>6</v>
      </c>
      <c r="F65" s="1" t="s">
        <v>27</v>
      </c>
      <c r="G65" s="1" t="s">
        <v>19</v>
      </c>
      <c r="H65" s="1" t="s">
        <v>20</v>
      </c>
      <c r="I65" s="1" t="s">
        <v>20</v>
      </c>
      <c r="J65" s="2">
        <v>62.5</v>
      </c>
      <c r="K65" s="3">
        <v>73</v>
      </c>
      <c r="L65" s="1" t="s">
        <v>32</v>
      </c>
    </row>
    <row r="66" spans="1:12" x14ac:dyDescent="0.35">
      <c r="A66">
        <v>65</v>
      </c>
      <c r="B66" s="1" t="s">
        <v>17</v>
      </c>
      <c r="C66" s="2">
        <v>3.4</v>
      </c>
      <c r="D66" s="3">
        <v>88.1</v>
      </c>
      <c r="E66" s="2">
        <v>5.7</v>
      </c>
      <c r="F66" s="1" t="s">
        <v>18</v>
      </c>
      <c r="G66" s="1" t="s">
        <v>19</v>
      </c>
      <c r="H66" s="1" t="s">
        <v>20</v>
      </c>
      <c r="I66" s="1" t="s">
        <v>19</v>
      </c>
      <c r="J66" s="2">
        <v>47.9</v>
      </c>
      <c r="K66" s="3">
        <v>81</v>
      </c>
      <c r="L66" s="1" t="s">
        <v>28</v>
      </c>
    </row>
    <row r="67" spans="1:12" x14ac:dyDescent="0.35">
      <c r="A67">
        <v>66</v>
      </c>
      <c r="B67" s="1" t="s">
        <v>23</v>
      </c>
      <c r="C67" s="2">
        <v>4.9000000000000004</v>
      </c>
      <c r="D67" s="3">
        <v>100</v>
      </c>
      <c r="E67" s="2">
        <v>5.8</v>
      </c>
      <c r="F67" s="1" t="s">
        <v>18</v>
      </c>
      <c r="G67" s="1" t="s">
        <v>19</v>
      </c>
      <c r="H67" s="1" t="s">
        <v>20</v>
      </c>
      <c r="I67" s="1" t="s">
        <v>20</v>
      </c>
      <c r="J67" s="2">
        <v>85.9</v>
      </c>
      <c r="K67" s="3">
        <v>97</v>
      </c>
      <c r="L67" s="1" t="s">
        <v>21</v>
      </c>
    </row>
    <row r="68" spans="1:12" x14ac:dyDescent="0.35">
      <c r="A68">
        <v>67</v>
      </c>
      <c r="B68" s="1" t="s">
        <v>23</v>
      </c>
      <c r="C68" s="2">
        <v>2</v>
      </c>
      <c r="D68" s="3">
        <v>87.4</v>
      </c>
      <c r="E68" s="2">
        <v>6.7</v>
      </c>
      <c r="F68" s="1" t="s">
        <v>24</v>
      </c>
      <c r="G68" s="1" t="s">
        <v>19</v>
      </c>
      <c r="H68" s="1" t="s">
        <v>19</v>
      </c>
      <c r="I68" s="1" t="s">
        <v>20</v>
      </c>
      <c r="J68" s="2">
        <v>63.9</v>
      </c>
      <c r="K68" s="3">
        <v>68</v>
      </c>
      <c r="L68" s="1" t="s">
        <v>30</v>
      </c>
    </row>
    <row r="69" spans="1:12" x14ac:dyDescent="0.35">
      <c r="A69">
        <v>68</v>
      </c>
      <c r="B69" s="1" t="s">
        <v>17</v>
      </c>
      <c r="C69" s="2">
        <v>4.3</v>
      </c>
      <c r="D69" s="3">
        <v>100</v>
      </c>
      <c r="E69" s="2">
        <v>5.9</v>
      </c>
      <c r="F69" s="1" t="s">
        <v>18</v>
      </c>
      <c r="G69" s="1" t="s">
        <v>20</v>
      </c>
      <c r="H69" s="1" t="s">
        <v>19</v>
      </c>
      <c r="I69" s="1" t="s">
        <v>20</v>
      </c>
      <c r="J69" s="2">
        <v>62.7</v>
      </c>
      <c r="K69" s="3">
        <v>79</v>
      </c>
      <c r="L69" s="1" t="s">
        <v>32</v>
      </c>
    </row>
    <row r="70" spans="1:12" x14ac:dyDescent="0.35">
      <c r="A70">
        <v>69</v>
      </c>
      <c r="B70" s="1" t="s">
        <v>23</v>
      </c>
      <c r="C70" s="2">
        <v>2.7</v>
      </c>
      <c r="D70" s="3">
        <v>90.7</v>
      </c>
      <c r="E70" s="2">
        <v>7.6</v>
      </c>
      <c r="F70" s="1" t="s">
        <v>18</v>
      </c>
      <c r="G70" s="1" t="s">
        <v>20</v>
      </c>
      <c r="H70" s="1" t="s">
        <v>20</v>
      </c>
      <c r="I70" s="1" t="s">
        <v>19</v>
      </c>
      <c r="J70" s="2">
        <v>48.8</v>
      </c>
      <c r="K70" s="3">
        <v>74</v>
      </c>
      <c r="L70" s="1" t="s">
        <v>32</v>
      </c>
    </row>
    <row r="71" spans="1:12" x14ac:dyDescent="0.35">
      <c r="A71">
        <v>70</v>
      </c>
      <c r="B71" s="1" t="s">
        <v>23</v>
      </c>
      <c r="C71" s="2">
        <v>2.2999999999999998</v>
      </c>
      <c r="D71" s="3">
        <v>67.400000000000006</v>
      </c>
      <c r="E71" s="2">
        <v>8.6</v>
      </c>
      <c r="F71" s="1" t="s">
        <v>24</v>
      </c>
      <c r="G71" s="1" t="s">
        <v>19</v>
      </c>
      <c r="H71" s="1" t="s">
        <v>20</v>
      </c>
      <c r="I71" s="1" t="s">
        <v>20</v>
      </c>
      <c r="J71" s="2">
        <v>90.9</v>
      </c>
      <c r="K71" s="3">
        <v>85</v>
      </c>
      <c r="L71" s="1" t="s">
        <v>28</v>
      </c>
    </row>
    <row r="72" spans="1:12" x14ac:dyDescent="0.35">
      <c r="A72">
        <v>71</v>
      </c>
      <c r="B72" s="1" t="s">
        <v>23</v>
      </c>
      <c r="C72" s="2">
        <v>3.3</v>
      </c>
      <c r="D72" s="3">
        <v>92.5</v>
      </c>
      <c r="E72" s="2">
        <v>6.1</v>
      </c>
      <c r="F72" s="1" t="s">
        <v>24</v>
      </c>
      <c r="G72" s="1" t="s">
        <v>19</v>
      </c>
      <c r="H72" s="1" t="s">
        <v>19</v>
      </c>
      <c r="I72" s="1" t="s">
        <v>20</v>
      </c>
      <c r="J72" s="2">
        <v>54.5</v>
      </c>
      <c r="K72" s="3">
        <v>80</v>
      </c>
      <c r="L72" s="1" t="s">
        <v>32</v>
      </c>
    </row>
    <row r="73" spans="1:12" x14ac:dyDescent="0.35">
      <c r="A73">
        <v>72</v>
      </c>
      <c r="B73" s="1" t="s">
        <v>23</v>
      </c>
      <c r="C73" s="2">
        <v>1.9</v>
      </c>
      <c r="D73" s="3">
        <v>88.8</v>
      </c>
      <c r="E73" s="2">
        <v>7.1</v>
      </c>
      <c r="F73" s="1" t="s">
        <v>18</v>
      </c>
      <c r="G73" s="1" t="s">
        <v>19</v>
      </c>
      <c r="H73" s="1" t="s">
        <v>19</v>
      </c>
      <c r="I73" s="1" t="s">
        <v>20</v>
      </c>
      <c r="J73" s="2">
        <v>70.7</v>
      </c>
      <c r="K73" s="3">
        <v>77</v>
      </c>
      <c r="L73" s="1" t="s">
        <v>32</v>
      </c>
    </row>
    <row r="74" spans="1:12" x14ac:dyDescent="0.35">
      <c r="A74">
        <v>73</v>
      </c>
      <c r="B74" s="1" t="s">
        <v>17</v>
      </c>
      <c r="C74" s="2">
        <v>2.7</v>
      </c>
      <c r="D74" s="3">
        <v>97.9</v>
      </c>
      <c r="E74" s="2">
        <v>7.4</v>
      </c>
      <c r="F74" s="1" t="s">
        <v>33</v>
      </c>
      <c r="G74" s="1" t="s">
        <v>19</v>
      </c>
      <c r="H74" s="1" t="s">
        <v>19</v>
      </c>
      <c r="I74" s="1" t="s">
        <v>20</v>
      </c>
      <c r="J74" s="2">
        <v>81</v>
      </c>
      <c r="K74" s="3">
        <v>95</v>
      </c>
      <c r="L74" s="1" t="s">
        <v>21</v>
      </c>
    </row>
    <row r="75" spans="1:12" x14ac:dyDescent="0.35">
      <c r="A75">
        <v>74</v>
      </c>
      <c r="B75" s="1" t="s">
        <v>23</v>
      </c>
      <c r="C75" s="2">
        <v>1.7</v>
      </c>
      <c r="D75" s="3">
        <v>91.7</v>
      </c>
      <c r="E75" s="2">
        <v>7.4</v>
      </c>
      <c r="F75" s="1" t="s">
        <v>18</v>
      </c>
      <c r="G75" s="1" t="s">
        <v>19</v>
      </c>
      <c r="H75" s="1" t="s">
        <v>19</v>
      </c>
      <c r="I75" s="1" t="s">
        <v>20</v>
      </c>
      <c r="J75" s="2">
        <v>75.099999999999994</v>
      </c>
      <c r="K75" s="3">
        <v>78</v>
      </c>
      <c r="L75" s="1" t="s">
        <v>32</v>
      </c>
    </row>
    <row r="76" spans="1:12" x14ac:dyDescent="0.35">
      <c r="A76">
        <v>75</v>
      </c>
      <c r="B76" s="1" t="s">
        <v>17</v>
      </c>
      <c r="C76" s="2">
        <v>6.4</v>
      </c>
      <c r="D76" s="3">
        <v>83.6</v>
      </c>
      <c r="E76" s="2">
        <v>6.9</v>
      </c>
      <c r="F76" s="1" t="s">
        <v>24</v>
      </c>
      <c r="G76" s="1" t="s">
        <v>19</v>
      </c>
      <c r="H76" s="1" t="s">
        <v>19</v>
      </c>
      <c r="I76" s="1" t="s">
        <v>20</v>
      </c>
      <c r="J76" s="2">
        <v>69.3</v>
      </c>
      <c r="K76" s="3">
        <v>100</v>
      </c>
      <c r="L76" s="1" t="s">
        <v>21</v>
      </c>
    </row>
    <row r="77" spans="1:12" x14ac:dyDescent="0.35">
      <c r="A77">
        <v>76</v>
      </c>
      <c r="B77" s="1" t="s">
        <v>23</v>
      </c>
      <c r="C77" s="2">
        <v>3.6</v>
      </c>
      <c r="D77" s="3">
        <v>72.8</v>
      </c>
      <c r="E77" s="2">
        <v>7.7</v>
      </c>
      <c r="F77" s="1" t="s">
        <v>33</v>
      </c>
      <c r="G77" s="1" t="s">
        <v>20</v>
      </c>
      <c r="H77" s="1" t="s">
        <v>20</v>
      </c>
      <c r="I77" s="1" t="s">
        <v>20</v>
      </c>
      <c r="J77" s="2">
        <v>49.6</v>
      </c>
      <c r="K77" s="3">
        <v>64</v>
      </c>
      <c r="L77" s="1" t="s">
        <v>30</v>
      </c>
    </row>
    <row r="78" spans="1:12" x14ac:dyDescent="0.35">
      <c r="A78">
        <v>77</v>
      </c>
      <c r="B78" s="1" t="s">
        <v>23</v>
      </c>
      <c r="C78" s="2">
        <v>2.5</v>
      </c>
      <c r="D78" s="3">
        <v>82.9</v>
      </c>
      <c r="E78" s="2">
        <v>7.4</v>
      </c>
      <c r="F78" s="1" t="s">
        <v>24</v>
      </c>
      <c r="G78" s="1" t="s">
        <v>19</v>
      </c>
      <c r="H78" s="1" t="s">
        <v>19</v>
      </c>
      <c r="I78" s="1" t="s">
        <v>20</v>
      </c>
      <c r="J78" s="2">
        <v>60.3</v>
      </c>
      <c r="K78" s="3">
        <v>72</v>
      </c>
      <c r="L78" s="1" t="s">
        <v>32</v>
      </c>
    </row>
    <row r="79" spans="1:12" x14ac:dyDescent="0.35">
      <c r="A79">
        <v>78</v>
      </c>
      <c r="B79" s="1" t="s">
        <v>23</v>
      </c>
      <c r="C79" s="2">
        <v>3.8</v>
      </c>
      <c r="D79" s="3">
        <v>76.5</v>
      </c>
      <c r="E79" s="2">
        <v>5.3</v>
      </c>
      <c r="F79" s="1" t="s">
        <v>18</v>
      </c>
      <c r="G79" s="1" t="s">
        <v>19</v>
      </c>
      <c r="H79" s="1" t="s">
        <v>19</v>
      </c>
      <c r="I79" s="1" t="s">
        <v>20</v>
      </c>
      <c r="J79" s="2">
        <v>72.3</v>
      </c>
      <c r="K79" s="3">
        <v>79</v>
      </c>
      <c r="L79" s="1" t="s">
        <v>32</v>
      </c>
    </row>
    <row r="80" spans="1:12" x14ac:dyDescent="0.35">
      <c r="A80">
        <v>79</v>
      </c>
      <c r="B80" s="1" t="s">
        <v>17</v>
      </c>
      <c r="C80" s="2">
        <v>3.3</v>
      </c>
      <c r="D80" s="3">
        <v>79.2</v>
      </c>
      <c r="E80" s="2">
        <v>7.8</v>
      </c>
      <c r="F80" s="1" t="s">
        <v>24</v>
      </c>
      <c r="G80" s="1" t="s">
        <v>19</v>
      </c>
      <c r="H80" s="1" t="s">
        <v>19</v>
      </c>
      <c r="I80" s="1" t="s">
        <v>19</v>
      </c>
      <c r="J80" s="2">
        <v>60.6</v>
      </c>
      <c r="K80" s="3">
        <v>75</v>
      </c>
      <c r="L80" s="1" t="s">
        <v>32</v>
      </c>
    </row>
    <row r="81" spans="1:12" x14ac:dyDescent="0.35">
      <c r="A81">
        <v>80</v>
      </c>
      <c r="B81" s="1" t="s">
        <v>23</v>
      </c>
      <c r="C81" s="2">
        <v>3.2</v>
      </c>
      <c r="D81" s="3">
        <v>90.9</v>
      </c>
      <c r="E81" s="2">
        <v>7.9</v>
      </c>
      <c r="F81" s="1" t="s">
        <v>24</v>
      </c>
      <c r="G81" s="1" t="s">
        <v>19</v>
      </c>
      <c r="H81" s="1" t="s">
        <v>20</v>
      </c>
      <c r="I81" s="1" t="s">
        <v>20</v>
      </c>
      <c r="J81" s="2">
        <v>72.400000000000006</v>
      </c>
      <c r="K81" s="3">
        <v>87</v>
      </c>
      <c r="L81" s="1" t="s">
        <v>28</v>
      </c>
    </row>
    <row r="82" spans="1:12" x14ac:dyDescent="0.35">
      <c r="A82">
        <v>81</v>
      </c>
      <c r="B82" s="1" t="s">
        <v>17</v>
      </c>
      <c r="C82" s="2">
        <v>4.4000000000000004</v>
      </c>
      <c r="D82" s="3">
        <v>100</v>
      </c>
      <c r="E82" s="2">
        <v>5.9</v>
      </c>
      <c r="F82" s="1" t="s">
        <v>24</v>
      </c>
      <c r="G82" s="1" t="s">
        <v>19</v>
      </c>
      <c r="H82" s="1" t="s">
        <v>20</v>
      </c>
      <c r="I82" s="1" t="s">
        <v>20</v>
      </c>
      <c r="J82" s="2">
        <v>78.2</v>
      </c>
      <c r="K82" s="3">
        <v>98</v>
      </c>
      <c r="L82" s="1" t="s">
        <v>21</v>
      </c>
    </row>
    <row r="83" spans="1:12" x14ac:dyDescent="0.35">
      <c r="A83">
        <v>82</v>
      </c>
      <c r="B83" s="1" t="s">
        <v>23</v>
      </c>
      <c r="C83" s="2">
        <v>4.5999999999999996</v>
      </c>
      <c r="D83" s="3">
        <v>88.9</v>
      </c>
      <c r="E83" s="2">
        <v>6.8</v>
      </c>
      <c r="F83" s="1" t="s">
        <v>18</v>
      </c>
      <c r="G83" s="1" t="s">
        <v>19</v>
      </c>
      <c r="H83" s="1" t="s">
        <v>19</v>
      </c>
      <c r="I83" s="1" t="s">
        <v>20</v>
      </c>
      <c r="J83" s="2">
        <v>81.599999999999994</v>
      </c>
      <c r="K83" s="3">
        <v>75</v>
      </c>
      <c r="L83" s="1" t="s">
        <v>32</v>
      </c>
    </row>
    <row r="84" spans="1:12" x14ac:dyDescent="0.35">
      <c r="A84">
        <v>83</v>
      </c>
      <c r="B84" s="1" t="s">
        <v>17</v>
      </c>
      <c r="C84" s="2">
        <v>2.7</v>
      </c>
      <c r="D84" s="3">
        <v>73</v>
      </c>
      <c r="E84" s="2">
        <v>7.6</v>
      </c>
      <c r="F84" s="1" t="s">
        <v>24</v>
      </c>
      <c r="G84" s="1" t="s">
        <v>19</v>
      </c>
      <c r="H84" s="1" t="s">
        <v>20</v>
      </c>
      <c r="I84" s="1" t="s">
        <v>19</v>
      </c>
      <c r="J84" s="2">
        <v>55.3</v>
      </c>
      <c r="K84" s="3">
        <v>64</v>
      </c>
      <c r="L84" s="1" t="s">
        <v>30</v>
      </c>
    </row>
    <row r="85" spans="1:12" x14ac:dyDescent="0.35">
      <c r="A85">
        <v>84</v>
      </c>
      <c r="B85" s="1" t="s">
        <v>23</v>
      </c>
      <c r="C85" s="2">
        <v>2.6</v>
      </c>
      <c r="D85" s="3">
        <v>89.4</v>
      </c>
      <c r="E85" s="2">
        <v>6.5</v>
      </c>
      <c r="F85" s="1" t="s">
        <v>18</v>
      </c>
      <c r="G85" s="1" t="s">
        <v>19</v>
      </c>
      <c r="H85" s="1" t="s">
        <v>20</v>
      </c>
      <c r="I85" s="1" t="s">
        <v>20</v>
      </c>
      <c r="J85" s="2">
        <v>96.4</v>
      </c>
      <c r="K85" s="3">
        <v>90</v>
      </c>
      <c r="L85" s="1" t="s">
        <v>21</v>
      </c>
    </row>
    <row r="86" spans="1:12" x14ac:dyDescent="0.35">
      <c r="A86">
        <v>85</v>
      </c>
      <c r="B86" s="1" t="s">
        <v>17</v>
      </c>
      <c r="C86" s="2">
        <v>3.1</v>
      </c>
      <c r="D86" s="3">
        <v>97</v>
      </c>
      <c r="E86" s="2">
        <v>8.1</v>
      </c>
      <c r="F86" s="1" t="s">
        <v>18</v>
      </c>
      <c r="G86" s="1" t="s">
        <v>19</v>
      </c>
      <c r="H86" s="1" t="s">
        <v>19</v>
      </c>
      <c r="I86" s="1" t="s">
        <v>19</v>
      </c>
      <c r="J86" s="2">
        <v>79.2</v>
      </c>
      <c r="K86" s="3">
        <v>99</v>
      </c>
      <c r="L86" s="1" t="s">
        <v>21</v>
      </c>
    </row>
    <row r="87" spans="1:12" x14ac:dyDescent="0.35">
      <c r="A87">
        <v>86</v>
      </c>
      <c r="B87" s="1" t="s">
        <v>17</v>
      </c>
      <c r="C87" s="2">
        <v>0.5</v>
      </c>
      <c r="D87" s="3">
        <v>78.900000000000006</v>
      </c>
      <c r="E87" s="2">
        <v>9.6</v>
      </c>
      <c r="F87" s="1" t="s">
        <v>18</v>
      </c>
      <c r="G87" s="1" t="s">
        <v>19</v>
      </c>
      <c r="H87" s="1" t="s">
        <v>19</v>
      </c>
      <c r="I87" s="1" t="s">
        <v>19</v>
      </c>
      <c r="J87" s="2">
        <v>70</v>
      </c>
      <c r="K87" s="3">
        <v>64</v>
      </c>
      <c r="L87" s="1" t="s">
        <v>30</v>
      </c>
    </row>
    <row r="88" spans="1:12" x14ac:dyDescent="0.35">
      <c r="A88">
        <v>87</v>
      </c>
      <c r="B88" s="1" t="s">
        <v>23</v>
      </c>
      <c r="C88" s="2">
        <v>1.2</v>
      </c>
      <c r="D88" s="3">
        <v>83.7</v>
      </c>
      <c r="E88" s="2">
        <v>5.9</v>
      </c>
      <c r="F88" s="1" t="s">
        <v>18</v>
      </c>
      <c r="G88" s="1" t="s">
        <v>19</v>
      </c>
      <c r="H88" s="1" t="s">
        <v>20</v>
      </c>
      <c r="I88" s="1" t="s">
        <v>20</v>
      </c>
      <c r="J88" s="2">
        <v>83.1</v>
      </c>
      <c r="K88" s="3">
        <v>79</v>
      </c>
      <c r="L88" s="1" t="s">
        <v>32</v>
      </c>
    </row>
    <row r="89" spans="1:12" x14ac:dyDescent="0.35">
      <c r="A89">
        <v>88</v>
      </c>
      <c r="B89" s="1" t="s">
        <v>17</v>
      </c>
      <c r="C89" s="2">
        <v>5.6</v>
      </c>
      <c r="D89" s="3">
        <v>85.1</v>
      </c>
      <c r="E89" s="2">
        <v>5.0999999999999996</v>
      </c>
      <c r="F89" s="1" t="s">
        <v>33</v>
      </c>
      <c r="G89" s="1" t="s">
        <v>19</v>
      </c>
      <c r="H89" s="1" t="s">
        <v>20</v>
      </c>
      <c r="I89" s="1" t="s">
        <v>20</v>
      </c>
      <c r="J89" s="2">
        <v>98.4</v>
      </c>
      <c r="K89" s="3">
        <v>100</v>
      </c>
      <c r="L89" s="1" t="s">
        <v>21</v>
      </c>
    </row>
    <row r="90" spans="1:12" x14ac:dyDescent="0.35">
      <c r="A90">
        <v>89</v>
      </c>
      <c r="B90" s="1" t="s">
        <v>23</v>
      </c>
      <c r="C90" s="2">
        <v>6</v>
      </c>
      <c r="D90" s="3">
        <v>77.2</v>
      </c>
      <c r="E90" s="2">
        <v>7.2</v>
      </c>
      <c r="F90" s="1" t="s">
        <v>24</v>
      </c>
      <c r="G90" s="1" t="s">
        <v>19</v>
      </c>
      <c r="H90" s="1" t="s">
        <v>20</v>
      </c>
      <c r="I90" s="1" t="s">
        <v>20</v>
      </c>
      <c r="J90" s="2">
        <v>52.7</v>
      </c>
      <c r="K90" s="3">
        <v>79</v>
      </c>
      <c r="L90" s="1" t="s">
        <v>32</v>
      </c>
    </row>
    <row r="91" spans="1:12" x14ac:dyDescent="0.35">
      <c r="A91">
        <v>90</v>
      </c>
      <c r="B91" s="1" t="s">
        <v>23</v>
      </c>
      <c r="C91" s="2">
        <v>3.1</v>
      </c>
      <c r="D91" s="3">
        <v>91.5</v>
      </c>
      <c r="E91" s="2">
        <v>7.7</v>
      </c>
      <c r="F91" s="1" t="s">
        <v>18</v>
      </c>
      <c r="G91" s="1" t="s">
        <v>19</v>
      </c>
      <c r="H91" s="1" t="s">
        <v>20</v>
      </c>
      <c r="I91" s="1" t="s">
        <v>19</v>
      </c>
      <c r="J91" s="2">
        <v>67.3</v>
      </c>
      <c r="K91" s="3">
        <v>85</v>
      </c>
      <c r="L91" s="1" t="s">
        <v>28</v>
      </c>
    </row>
    <row r="92" spans="1:12" x14ac:dyDescent="0.35">
      <c r="A92">
        <v>91</v>
      </c>
      <c r="B92" s="1" t="s">
        <v>23</v>
      </c>
      <c r="C92" s="2">
        <v>4.4000000000000004</v>
      </c>
      <c r="D92" s="3">
        <v>83.8</v>
      </c>
      <c r="E92" s="2">
        <v>6.5</v>
      </c>
      <c r="F92" s="1" t="s">
        <v>24</v>
      </c>
      <c r="G92" s="1" t="s">
        <v>19</v>
      </c>
      <c r="H92" s="1" t="s">
        <v>20</v>
      </c>
      <c r="I92" s="1" t="s">
        <v>20</v>
      </c>
      <c r="J92" s="2">
        <v>41.5</v>
      </c>
      <c r="K92" s="3">
        <v>72</v>
      </c>
      <c r="L92" s="1" t="s">
        <v>32</v>
      </c>
    </row>
    <row r="93" spans="1:12" x14ac:dyDescent="0.35">
      <c r="A93">
        <v>92</v>
      </c>
      <c r="B93" s="1" t="s">
        <v>23</v>
      </c>
      <c r="C93" s="2">
        <v>4</v>
      </c>
      <c r="D93" s="3">
        <v>89.2</v>
      </c>
      <c r="E93" s="2">
        <v>8.5</v>
      </c>
      <c r="F93" s="1" t="s">
        <v>24</v>
      </c>
      <c r="G93" s="1" t="s">
        <v>19</v>
      </c>
      <c r="H93" s="1" t="s">
        <v>19</v>
      </c>
      <c r="I93" s="1" t="s">
        <v>19</v>
      </c>
      <c r="J93" s="2">
        <v>72.3</v>
      </c>
      <c r="K93" s="3">
        <v>86</v>
      </c>
      <c r="L93" s="1" t="s">
        <v>28</v>
      </c>
    </row>
    <row r="94" spans="1:12" x14ac:dyDescent="0.35">
      <c r="A94">
        <v>93</v>
      </c>
      <c r="B94" s="1" t="s">
        <v>23</v>
      </c>
      <c r="C94" s="2">
        <v>8.1</v>
      </c>
      <c r="D94" s="3">
        <v>76.099999999999994</v>
      </c>
      <c r="E94" s="2">
        <v>5.2</v>
      </c>
      <c r="F94" s="1" t="s">
        <v>18</v>
      </c>
      <c r="G94" s="1" t="s">
        <v>19</v>
      </c>
      <c r="H94" s="1" t="s">
        <v>19</v>
      </c>
      <c r="I94" s="1" t="s">
        <v>20</v>
      </c>
      <c r="J94" s="2">
        <v>74.400000000000006</v>
      </c>
      <c r="K94" s="3">
        <v>98</v>
      </c>
      <c r="L94" s="1" t="s">
        <v>21</v>
      </c>
    </row>
    <row r="95" spans="1:12" x14ac:dyDescent="0.35">
      <c r="A95">
        <v>94</v>
      </c>
      <c r="B95" s="1" t="s">
        <v>23</v>
      </c>
      <c r="C95" s="2">
        <v>5.2</v>
      </c>
      <c r="D95" s="3">
        <v>80.599999999999994</v>
      </c>
      <c r="E95" s="2">
        <v>7.6</v>
      </c>
      <c r="F95" s="1" t="s">
        <v>18</v>
      </c>
      <c r="G95" s="1" t="s">
        <v>19</v>
      </c>
      <c r="H95" s="1" t="s">
        <v>19</v>
      </c>
      <c r="I95" s="1" t="s">
        <v>20</v>
      </c>
      <c r="J95" s="2">
        <v>69.5</v>
      </c>
      <c r="K95" s="3">
        <v>88</v>
      </c>
      <c r="L95" s="1" t="s">
        <v>28</v>
      </c>
    </row>
    <row r="96" spans="1:12" x14ac:dyDescent="0.35">
      <c r="A96">
        <v>95</v>
      </c>
      <c r="B96" s="1" t="s">
        <v>23</v>
      </c>
      <c r="C96" s="2">
        <v>3.3</v>
      </c>
      <c r="D96" s="3">
        <v>92.2</v>
      </c>
      <c r="E96" s="2">
        <v>6.1</v>
      </c>
      <c r="F96" s="1" t="s">
        <v>34</v>
      </c>
      <c r="G96" s="1" t="s">
        <v>19</v>
      </c>
      <c r="H96" s="1" t="s">
        <v>19</v>
      </c>
      <c r="I96" s="1" t="s">
        <v>20</v>
      </c>
      <c r="J96" s="2">
        <v>62.1</v>
      </c>
      <c r="K96" s="3">
        <v>100</v>
      </c>
      <c r="L96" s="1" t="s">
        <v>21</v>
      </c>
    </row>
    <row r="97" spans="1:12" x14ac:dyDescent="0.35">
      <c r="A97">
        <v>96</v>
      </c>
      <c r="B97" s="1" t="s">
        <v>23</v>
      </c>
      <c r="C97" s="2">
        <v>2.1</v>
      </c>
      <c r="D97" s="3">
        <v>81.3</v>
      </c>
      <c r="E97" s="2">
        <v>8.9</v>
      </c>
      <c r="F97" s="1" t="s">
        <v>18</v>
      </c>
      <c r="G97" s="1" t="s">
        <v>19</v>
      </c>
      <c r="H97" s="1" t="s">
        <v>20</v>
      </c>
      <c r="I97" s="1" t="s">
        <v>20</v>
      </c>
      <c r="J97" s="2">
        <v>45.4</v>
      </c>
      <c r="K97" s="3">
        <v>75</v>
      </c>
      <c r="L97" s="1" t="s">
        <v>32</v>
      </c>
    </row>
    <row r="98" spans="1:12" x14ac:dyDescent="0.35">
      <c r="A98">
        <v>97</v>
      </c>
      <c r="B98" s="1" t="s">
        <v>23</v>
      </c>
      <c r="C98" s="2">
        <v>1.1000000000000001</v>
      </c>
      <c r="D98" s="3">
        <v>100</v>
      </c>
      <c r="E98" s="2">
        <v>9.1999999999999993</v>
      </c>
      <c r="F98" s="1" t="s">
        <v>27</v>
      </c>
      <c r="G98" s="1" t="s">
        <v>19</v>
      </c>
      <c r="H98" s="1" t="s">
        <v>20</v>
      </c>
      <c r="I98" s="1" t="s">
        <v>19</v>
      </c>
      <c r="J98" s="2">
        <v>74.5</v>
      </c>
      <c r="K98" s="3">
        <v>87</v>
      </c>
      <c r="L98" s="1" t="s">
        <v>28</v>
      </c>
    </row>
    <row r="99" spans="1:12" x14ac:dyDescent="0.35">
      <c r="A99">
        <v>98</v>
      </c>
      <c r="B99" s="1" t="s">
        <v>23</v>
      </c>
      <c r="C99" s="2">
        <v>3.8</v>
      </c>
      <c r="D99" s="3">
        <v>81</v>
      </c>
      <c r="E99" s="2">
        <v>5.9</v>
      </c>
      <c r="F99" s="1" t="s">
        <v>24</v>
      </c>
      <c r="G99" s="1" t="s">
        <v>20</v>
      </c>
      <c r="H99" s="1" t="s">
        <v>20</v>
      </c>
      <c r="I99" s="1" t="s">
        <v>20</v>
      </c>
      <c r="J99" s="2">
        <v>87.5</v>
      </c>
      <c r="K99" s="3">
        <v>89</v>
      </c>
      <c r="L99" s="1" t="s">
        <v>28</v>
      </c>
    </row>
    <row r="100" spans="1:12" x14ac:dyDescent="0.35">
      <c r="A100">
        <v>99</v>
      </c>
      <c r="B100" s="1" t="s">
        <v>23</v>
      </c>
      <c r="C100" s="2">
        <v>2.4</v>
      </c>
      <c r="D100" s="3">
        <v>87.2</v>
      </c>
      <c r="E100" s="2">
        <v>6.1</v>
      </c>
      <c r="F100" s="1" t="s">
        <v>24</v>
      </c>
      <c r="G100" s="1" t="s">
        <v>19</v>
      </c>
      <c r="H100" s="1" t="s">
        <v>19</v>
      </c>
      <c r="I100" s="1" t="s">
        <v>19</v>
      </c>
      <c r="J100" s="2">
        <v>62.9</v>
      </c>
      <c r="K100" s="3">
        <v>65</v>
      </c>
      <c r="L100" s="1" t="s">
        <v>30</v>
      </c>
    </row>
    <row r="101" spans="1:12" x14ac:dyDescent="0.35">
      <c r="A101">
        <v>100</v>
      </c>
      <c r="B101" s="1" t="s">
        <v>17</v>
      </c>
      <c r="C101" s="2">
        <v>1.4</v>
      </c>
      <c r="D101" s="3">
        <v>94.3</v>
      </c>
      <c r="E101" s="2">
        <v>7.8</v>
      </c>
      <c r="F101" s="1" t="s">
        <v>24</v>
      </c>
      <c r="G101" s="1" t="s">
        <v>20</v>
      </c>
      <c r="H101" s="1" t="s">
        <v>20</v>
      </c>
      <c r="I101" s="1" t="s">
        <v>20</v>
      </c>
      <c r="J101" s="2">
        <v>75.3</v>
      </c>
      <c r="K101" s="3">
        <v>79</v>
      </c>
      <c r="L101" s="1" t="s">
        <v>32</v>
      </c>
    </row>
    <row r="102" spans="1:12" x14ac:dyDescent="0.35">
      <c r="A102">
        <v>101</v>
      </c>
      <c r="B102" s="1" t="s">
        <v>17</v>
      </c>
      <c r="C102" s="2">
        <v>2.5</v>
      </c>
      <c r="D102" s="3">
        <v>70.8</v>
      </c>
      <c r="E102" s="2">
        <v>6.3</v>
      </c>
      <c r="F102" s="1" t="s">
        <v>24</v>
      </c>
      <c r="G102" s="1" t="s">
        <v>19</v>
      </c>
      <c r="H102" s="1" t="s">
        <v>19</v>
      </c>
      <c r="I102" s="1" t="s">
        <v>20</v>
      </c>
      <c r="J102" s="2">
        <v>51.2</v>
      </c>
      <c r="K102" s="3">
        <v>75</v>
      </c>
      <c r="L102" s="1" t="s">
        <v>32</v>
      </c>
    </row>
    <row r="103" spans="1:12" x14ac:dyDescent="0.35">
      <c r="A103">
        <v>102</v>
      </c>
      <c r="B103" s="1" t="s">
        <v>23</v>
      </c>
      <c r="C103" s="2">
        <v>1.9</v>
      </c>
      <c r="D103" s="3">
        <v>67.400000000000006</v>
      </c>
      <c r="E103" s="2">
        <v>6.7</v>
      </c>
      <c r="F103" s="1" t="s">
        <v>18</v>
      </c>
      <c r="G103" s="1" t="s">
        <v>19</v>
      </c>
      <c r="H103" s="1" t="s">
        <v>19</v>
      </c>
      <c r="I103" s="1" t="s">
        <v>19</v>
      </c>
      <c r="J103" s="2">
        <v>75.5</v>
      </c>
      <c r="K103" s="3">
        <v>66</v>
      </c>
      <c r="L103" s="1" t="s">
        <v>30</v>
      </c>
    </row>
    <row r="104" spans="1:12" x14ac:dyDescent="0.35">
      <c r="A104">
        <v>103</v>
      </c>
      <c r="B104" s="1" t="s">
        <v>23</v>
      </c>
      <c r="C104" s="2">
        <v>6</v>
      </c>
      <c r="D104" s="3">
        <v>69.7</v>
      </c>
      <c r="E104" s="2">
        <v>6.8</v>
      </c>
      <c r="F104" s="1" t="s">
        <v>18</v>
      </c>
      <c r="G104" s="1" t="s">
        <v>20</v>
      </c>
      <c r="H104" s="1" t="s">
        <v>20</v>
      </c>
      <c r="I104" s="1" t="s">
        <v>20</v>
      </c>
      <c r="J104" s="2">
        <v>65.3</v>
      </c>
      <c r="K104" s="3">
        <v>90</v>
      </c>
      <c r="L104" s="1" t="s">
        <v>28</v>
      </c>
    </row>
    <row r="105" spans="1:12" x14ac:dyDescent="0.35">
      <c r="A105">
        <v>104</v>
      </c>
      <c r="B105" s="1" t="s">
        <v>23</v>
      </c>
      <c r="C105" s="2">
        <v>4.8</v>
      </c>
      <c r="D105" s="3">
        <v>97.6</v>
      </c>
      <c r="E105" s="2">
        <v>4.5</v>
      </c>
      <c r="F105" s="1" t="s">
        <v>24</v>
      </c>
      <c r="G105" s="1" t="s">
        <v>19</v>
      </c>
      <c r="H105" s="1" t="s">
        <v>20</v>
      </c>
      <c r="I105" s="1" t="s">
        <v>20</v>
      </c>
      <c r="J105" s="2">
        <v>60.9</v>
      </c>
      <c r="K105" s="3">
        <v>93</v>
      </c>
      <c r="L105" s="1" t="s">
        <v>21</v>
      </c>
    </row>
    <row r="106" spans="1:12" x14ac:dyDescent="0.35">
      <c r="A106">
        <v>105</v>
      </c>
      <c r="B106" s="1" t="s">
        <v>23</v>
      </c>
      <c r="C106" s="2">
        <v>3.5</v>
      </c>
      <c r="D106" s="3">
        <v>79.5</v>
      </c>
      <c r="E106" s="2">
        <v>6.8</v>
      </c>
      <c r="F106" s="1" t="s">
        <v>27</v>
      </c>
      <c r="G106" s="1" t="s">
        <v>19</v>
      </c>
      <c r="H106" s="1" t="s">
        <v>20</v>
      </c>
      <c r="I106" s="1" t="s">
        <v>19</v>
      </c>
      <c r="J106" s="2">
        <v>60.9</v>
      </c>
      <c r="K106" s="3">
        <v>87</v>
      </c>
      <c r="L106" s="1" t="s">
        <v>28</v>
      </c>
    </row>
    <row r="107" spans="1:12" x14ac:dyDescent="0.35">
      <c r="A107">
        <v>106</v>
      </c>
      <c r="B107" s="1" t="s">
        <v>23</v>
      </c>
      <c r="C107" s="2">
        <v>5.7</v>
      </c>
      <c r="D107" s="3">
        <v>100</v>
      </c>
      <c r="E107" s="2">
        <v>6</v>
      </c>
      <c r="F107" s="1" t="s">
        <v>33</v>
      </c>
      <c r="G107" s="1" t="s">
        <v>19</v>
      </c>
      <c r="H107" s="1" t="s">
        <v>19</v>
      </c>
      <c r="I107" s="1" t="s">
        <v>19</v>
      </c>
      <c r="J107" s="2">
        <v>65.3</v>
      </c>
      <c r="K107" s="3">
        <v>93</v>
      </c>
      <c r="L107" s="1" t="s">
        <v>21</v>
      </c>
    </row>
    <row r="108" spans="1:12" x14ac:dyDescent="0.35">
      <c r="A108">
        <v>107</v>
      </c>
      <c r="B108" s="1" t="s">
        <v>23</v>
      </c>
      <c r="C108" s="2">
        <v>3.6</v>
      </c>
      <c r="D108" s="3">
        <v>79.400000000000006</v>
      </c>
      <c r="E108" s="2">
        <v>6.2</v>
      </c>
      <c r="F108" s="1" t="s">
        <v>24</v>
      </c>
      <c r="G108" s="1" t="s">
        <v>19</v>
      </c>
      <c r="H108" s="1" t="s">
        <v>19</v>
      </c>
      <c r="I108" s="1" t="s">
        <v>19</v>
      </c>
      <c r="J108" s="2">
        <v>74.599999999999994</v>
      </c>
      <c r="K108" s="3">
        <v>76</v>
      </c>
      <c r="L108" s="1" t="s">
        <v>32</v>
      </c>
    </row>
    <row r="109" spans="1:12" x14ac:dyDescent="0.35">
      <c r="A109">
        <v>108</v>
      </c>
      <c r="B109" s="1" t="s">
        <v>23</v>
      </c>
      <c r="C109" s="2">
        <v>2.2000000000000002</v>
      </c>
      <c r="D109" s="3">
        <v>86.8</v>
      </c>
      <c r="E109" s="2">
        <v>8.5</v>
      </c>
      <c r="F109" s="1" t="s">
        <v>24</v>
      </c>
      <c r="G109" s="1" t="s">
        <v>19</v>
      </c>
      <c r="H109" s="1" t="s">
        <v>19</v>
      </c>
      <c r="I109" s="1" t="s">
        <v>20</v>
      </c>
      <c r="J109" s="2">
        <v>54.3</v>
      </c>
      <c r="K109" s="3">
        <v>74</v>
      </c>
      <c r="L109" s="1" t="s">
        <v>32</v>
      </c>
    </row>
    <row r="110" spans="1:12" x14ac:dyDescent="0.35">
      <c r="A110">
        <v>109</v>
      </c>
      <c r="B110" s="1" t="s">
        <v>23</v>
      </c>
      <c r="C110" s="2">
        <v>5.8</v>
      </c>
      <c r="D110" s="3">
        <v>100</v>
      </c>
      <c r="E110" s="2">
        <v>5.3</v>
      </c>
      <c r="F110" s="1" t="s">
        <v>24</v>
      </c>
      <c r="G110" s="1" t="s">
        <v>19</v>
      </c>
      <c r="H110" s="1" t="s">
        <v>19</v>
      </c>
      <c r="I110" s="1" t="s">
        <v>20</v>
      </c>
      <c r="J110" s="2">
        <v>65.2</v>
      </c>
      <c r="K110" s="3">
        <v>100</v>
      </c>
      <c r="L110" s="1" t="s">
        <v>21</v>
      </c>
    </row>
    <row r="111" spans="1:12" x14ac:dyDescent="0.35">
      <c r="A111">
        <v>110</v>
      </c>
      <c r="B111" s="1" t="s">
        <v>17</v>
      </c>
      <c r="C111" s="2">
        <v>4.3</v>
      </c>
      <c r="D111" s="3">
        <v>100</v>
      </c>
      <c r="E111" s="2">
        <v>7.8</v>
      </c>
      <c r="F111" s="1" t="s">
        <v>24</v>
      </c>
      <c r="G111" s="1" t="s">
        <v>20</v>
      </c>
      <c r="H111" s="1" t="s">
        <v>20</v>
      </c>
      <c r="I111" s="1" t="s">
        <v>19</v>
      </c>
      <c r="J111" s="2">
        <v>69.5</v>
      </c>
      <c r="K111" s="3">
        <v>76</v>
      </c>
      <c r="L111" s="1" t="s">
        <v>32</v>
      </c>
    </row>
    <row r="112" spans="1:12" x14ac:dyDescent="0.35">
      <c r="A112">
        <v>111</v>
      </c>
      <c r="B112" s="1" t="s">
        <v>23</v>
      </c>
      <c r="C112" s="2">
        <v>1.9</v>
      </c>
      <c r="D112" s="3">
        <v>100</v>
      </c>
      <c r="E112" s="2">
        <v>6.5</v>
      </c>
      <c r="F112" s="1" t="s">
        <v>24</v>
      </c>
      <c r="G112" s="1" t="s">
        <v>19</v>
      </c>
      <c r="H112" s="1" t="s">
        <v>20</v>
      </c>
      <c r="I112" s="1" t="s">
        <v>19</v>
      </c>
      <c r="J112" s="2">
        <v>56.8</v>
      </c>
      <c r="K112" s="3">
        <v>62</v>
      </c>
      <c r="L112" s="1" t="s">
        <v>30</v>
      </c>
    </row>
    <row r="113" spans="1:12" x14ac:dyDescent="0.35">
      <c r="A113">
        <v>112</v>
      </c>
      <c r="B113" s="1" t="s">
        <v>17</v>
      </c>
      <c r="C113" s="2">
        <v>3.2</v>
      </c>
      <c r="D113" s="3">
        <v>97.1</v>
      </c>
      <c r="E113" s="2">
        <v>6.5</v>
      </c>
      <c r="F113" s="1" t="s">
        <v>18</v>
      </c>
      <c r="G113" s="1" t="s">
        <v>20</v>
      </c>
      <c r="H113" s="1" t="s">
        <v>20</v>
      </c>
      <c r="I113" s="1" t="s">
        <v>20</v>
      </c>
      <c r="J113" s="2">
        <v>91.6</v>
      </c>
      <c r="K113" s="3">
        <v>91</v>
      </c>
      <c r="L113" s="1" t="s">
        <v>21</v>
      </c>
    </row>
    <row r="114" spans="1:12" x14ac:dyDescent="0.35">
      <c r="A114">
        <v>113</v>
      </c>
      <c r="B114" s="1" t="s">
        <v>23</v>
      </c>
      <c r="C114" s="2">
        <v>2.2000000000000002</v>
      </c>
      <c r="D114" s="3">
        <v>95.2</v>
      </c>
      <c r="E114" s="2">
        <v>7.7</v>
      </c>
      <c r="F114" s="1" t="s">
        <v>24</v>
      </c>
      <c r="G114" s="1" t="s">
        <v>20</v>
      </c>
      <c r="H114" s="1" t="s">
        <v>19</v>
      </c>
      <c r="I114" s="1" t="s">
        <v>20</v>
      </c>
      <c r="J114" s="2">
        <v>59.8</v>
      </c>
      <c r="K114" s="3">
        <v>73</v>
      </c>
      <c r="L114" s="1" t="s">
        <v>32</v>
      </c>
    </row>
    <row r="115" spans="1:12" x14ac:dyDescent="0.35">
      <c r="A115">
        <v>114</v>
      </c>
      <c r="B115" s="1" t="s">
        <v>23</v>
      </c>
      <c r="C115" s="2">
        <v>1.4</v>
      </c>
      <c r="D115" s="3">
        <v>90.9</v>
      </c>
      <c r="E115" s="2">
        <v>7.2</v>
      </c>
      <c r="F115" s="1" t="s">
        <v>18</v>
      </c>
      <c r="G115" s="1" t="s">
        <v>19</v>
      </c>
      <c r="H115" s="1" t="s">
        <v>20</v>
      </c>
      <c r="I115" s="1" t="s">
        <v>20</v>
      </c>
      <c r="J115" s="2">
        <v>62</v>
      </c>
      <c r="K115" s="3">
        <v>75</v>
      </c>
      <c r="L115" s="1" t="s">
        <v>32</v>
      </c>
    </row>
    <row r="116" spans="1:12" x14ac:dyDescent="0.35">
      <c r="A116">
        <v>115</v>
      </c>
      <c r="B116" s="1" t="s">
        <v>17</v>
      </c>
      <c r="C116" s="2">
        <v>4.9000000000000004</v>
      </c>
      <c r="D116" s="3">
        <v>92.8</v>
      </c>
      <c r="E116" s="2">
        <v>7.5</v>
      </c>
      <c r="F116" s="1" t="s">
        <v>27</v>
      </c>
      <c r="G116" s="1" t="s">
        <v>19</v>
      </c>
      <c r="H116" s="1" t="s">
        <v>19</v>
      </c>
      <c r="I116" s="1" t="s">
        <v>20</v>
      </c>
      <c r="J116" s="2">
        <v>58.3</v>
      </c>
      <c r="K116" s="3">
        <v>97</v>
      </c>
      <c r="L116" s="1" t="s">
        <v>21</v>
      </c>
    </row>
    <row r="117" spans="1:12" x14ac:dyDescent="0.35">
      <c r="A117">
        <v>116</v>
      </c>
      <c r="B117" s="1" t="s">
        <v>23</v>
      </c>
      <c r="C117" s="2">
        <v>6.4</v>
      </c>
      <c r="D117" s="3">
        <v>79.5</v>
      </c>
      <c r="E117" s="2">
        <v>8</v>
      </c>
      <c r="F117" s="1" t="s">
        <v>33</v>
      </c>
      <c r="G117" s="1" t="s">
        <v>20</v>
      </c>
      <c r="H117" s="1" t="s">
        <v>20</v>
      </c>
      <c r="I117" s="1" t="s">
        <v>19</v>
      </c>
      <c r="J117" s="2">
        <v>91.6</v>
      </c>
      <c r="K117" s="3">
        <v>95</v>
      </c>
      <c r="L117" s="1" t="s">
        <v>21</v>
      </c>
    </row>
    <row r="118" spans="1:12" x14ac:dyDescent="0.35">
      <c r="A118">
        <v>117</v>
      </c>
      <c r="B118" s="1" t="s">
        <v>17</v>
      </c>
      <c r="C118" s="2">
        <v>1.4</v>
      </c>
      <c r="D118" s="3">
        <v>76.8</v>
      </c>
      <c r="E118" s="2">
        <v>6.4</v>
      </c>
      <c r="F118" s="1" t="s">
        <v>27</v>
      </c>
      <c r="G118" s="1" t="s">
        <v>20</v>
      </c>
      <c r="H118" s="1" t="s">
        <v>19</v>
      </c>
      <c r="I118" s="1" t="s">
        <v>20</v>
      </c>
      <c r="J118" s="2">
        <v>76.599999999999994</v>
      </c>
      <c r="K118" s="3">
        <v>59</v>
      </c>
      <c r="L118" s="1" t="s">
        <v>35</v>
      </c>
    </row>
    <row r="119" spans="1:12" x14ac:dyDescent="0.35">
      <c r="A119">
        <v>118</v>
      </c>
      <c r="B119" s="1" t="s">
        <v>23</v>
      </c>
      <c r="C119" s="2">
        <v>4.3</v>
      </c>
      <c r="D119" s="3">
        <v>85</v>
      </c>
      <c r="E119" s="2">
        <v>6.1</v>
      </c>
      <c r="F119" s="1" t="s">
        <v>24</v>
      </c>
      <c r="G119" s="1" t="s">
        <v>19</v>
      </c>
      <c r="H119" s="1" t="s">
        <v>19</v>
      </c>
      <c r="I119" s="1" t="s">
        <v>20</v>
      </c>
      <c r="J119" s="2">
        <v>58.8</v>
      </c>
      <c r="K119" s="3">
        <v>96</v>
      </c>
      <c r="L119" s="1" t="s">
        <v>21</v>
      </c>
    </row>
    <row r="120" spans="1:12" x14ac:dyDescent="0.35">
      <c r="A120">
        <v>119</v>
      </c>
      <c r="B120" s="1" t="s">
        <v>23</v>
      </c>
      <c r="C120" s="2">
        <v>2.5</v>
      </c>
      <c r="D120" s="3">
        <v>83.3</v>
      </c>
      <c r="E120" s="2">
        <v>5.5</v>
      </c>
      <c r="F120" s="1" t="s">
        <v>18</v>
      </c>
      <c r="G120" s="1" t="s">
        <v>19</v>
      </c>
      <c r="H120" s="1" t="s">
        <v>19</v>
      </c>
      <c r="I120" s="1" t="s">
        <v>19</v>
      </c>
      <c r="J120" s="2">
        <v>83.3</v>
      </c>
      <c r="K120" s="3">
        <v>75</v>
      </c>
      <c r="L120" s="1" t="s">
        <v>32</v>
      </c>
    </row>
    <row r="121" spans="1:12" x14ac:dyDescent="0.35">
      <c r="A121">
        <v>120</v>
      </c>
      <c r="B121" s="1" t="s">
        <v>17</v>
      </c>
      <c r="C121" s="2">
        <v>2.8</v>
      </c>
      <c r="D121" s="3">
        <v>80.5</v>
      </c>
      <c r="E121" s="2">
        <v>5.8</v>
      </c>
      <c r="F121" s="1" t="s">
        <v>18</v>
      </c>
      <c r="G121" s="1" t="s">
        <v>19</v>
      </c>
      <c r="H121" s="1" t="s">
        <v>20</v>
      </c>
      <c r="I121" s="1" t="s">
        <v>20</v>
      </c>
      <c r="J121" s="2">
        <v>72.400000000000006</v>
      </c>
      <c r="K121" s="3">
        <v>73</v>
      </c>
      <c r="L121" s="1" t="s">
        <v>32</v>
      </c>
    </row>
    <row r="122" spans="1:12" x14ac:dyDescent="0.35">
      <c r="A122">
        <v>121</v>
      </c>
      <c r="B122" s="1" t="s">
        <v>23</v>
      </c>
      <c r="C122" s="2">
        <v>2.6</v>
      </c>
      <c r="D122" s="3">
        <v>92</v>
      </c>
      <c r="E122" s="2">
        <v>10</v>
      </c>
      <c r="F122" s="1" t="s">
        <v>24</v>
      </c>
      <c r="G122" s="1" t="s">
        <v>19</v>
      </c>
      <c r="H122" s="1" t="s">
        <v>19</v>
      </c>
      <c r="I122" s="1" t="s">
        <v>20</v>
      </c>
      <c r="J122" s="2">
        <v>73.099999999999994</v>
      </c>
      <c r="K122" s="3">
        <v>96</v>
      </c>
      <c r="L122" s="1" t="s">
        <v>21</v>
      </c>
    </row>
    <row r="123" spans="1:12" x14ac:dyDescent="0.35">
      <c r="A123">
        <v>122</v>
      </c>
      <c r="B123" s="1" t="s">
        <v>17</v>
      </c>
      <c r="C123" s="2">
        <v>2.2000000000000002</v>
      </c>
      <c r="D123" s="3">
        <v>94.6</v>
      </c>
      <c r="E123" s="2">
        <v>8.3000000000000007</v>
      </c>
      <c r="F123" s="1" t="s">
        <v>24</v>
      </c>
      <c r="G123" s="1" t="s">
        <v>19</v>
      </c>
      <c r="H123" s="1" t="s">
        <v>19</v>
      </c>
      <c r="I123" s="1" t="s">
        <v>20</v>
      </c>
      <c r="J123" s="2">
        <v>65.900000000000006</v>
      </c>
      <c r="K123" s="3">
        <v>81</v>
      </c>
      <c r="L123" s="1" t="s">
        <v>28</v>
      </c>
    </row>
    <row r="124" spans="1:12" x14ac:dyDescent="0.35">
      <c r="A124">
        <v>123</v>
      </c>
      <c r="B124" s="1" t="s">
        <v>23</v>
      </c>
      <c r="C124" s="2">
        <v>3.6</v>
      </c>
      <c r="D124" s="3">
        <v>85.9</v>
      </c>
      <c r="E124" s="2">
        <v>5.2</v>
      </c>
      <c r="F124" s="1" t="s">
        <v>33</v>
      </c>
      <c r="G124" s="1" t="s">
        <v>19</v>
      </c>
      <c r="H124" s="1" t="s">
        <v>20</v>
      </c>
      <c r="I124" s="1" t="s">
        <v>19</v>
      </c>
      <c r="J124" s="2">
        <v>61</v>
      </c>
      <c r="K124" s="3">
        <v>77</v>
      </c>
      <c r="L124" s="1" t="s">
        <v>32</v>
      </c>
    </row>
    <row r="125" spans="1:12" x14ac:dyDescent="0.35">
      <c r="A125">
        <v>124</v>
      </c>
      <c r="B125" s="1" t="s">
        <v>17</v>
      </c>
      <c r="C125" s="2">
        <v>2.2999999999999998</v>
      </c>
      <c r="D125" s="3">
        <v>99.8</v>
      </c>
      <c r="E125" s="2">
        <v>5.2</v>
      </c>
      <c r="F125" s="1" t="s">
        <v>18</v>
      </c>
      <c r="G125" s="1" t="s">
        <v>19</v>
      </c>
      <c r="H125" s="1" t="s">
        <v>19</v>
      </c>
      <c r="I125" s="1" t="s">
        <v>20</v>
      </c>
      <c r="J125" s="2">
        <v>74.099999999999994</v>
      </c>
      <c r="K125" s="3">
        <v>88</v>
      </c>
      <c r="L125" s="1" t="s">
        <v>28</v>
      </c>
    </row>
    <row r="126" spans="1:12" x14ac:dyDescent="0.35">
      <c r="A126">
        <v>125</v>
      </c>
      <c r="B126" s="1" t="s">
        <v>17</v>
      </c>
      <c r="C126" s="2">
        <v>3.9</v>
      </c>
      <c r="D126" s="3">
        <v>73.599999999999994</v>
      </c>
      <c r="E126" s="2">
        <v>7.4</v>
      </c>
      <c r="F126" s="1" t="s">
        <v>18</v>
      </c>
      <c r="G126" s="1" t="s">
        <v>19</v>
      </c>
      <c r="H126" s="1" t="s">
        <v>19</v>
      </c>
      <c r="I126" s="1" t="s">
        <v>20</v>
      </c>
      <c r="J126" s="2">
        <v>63.5</v>
      </c>
      <c r="K126" s="3">
        <v>88</v>
      </c>
      <c r="L126" s="1" t="s">
        <v>28</v>
      </c>
    </row>
    <row r="127" spans="1:12" x14ac:dyDescent="0.35">
      <c r="A127">
        <v>126</v>
      </c>
      <c r="B127" s="1" t="s">
        <v>23</v>
      </c>
      <c r="C127" s="2">
        <v>3.4</v>
      </c>
      <c r="D127" s="3">
        <v>83.1</v>
      </c>
      <c r="E127" s="2">
        <v>7.5</v>
      </c>
      <c r="F127" s="1" t="s">
        <v>18</v>
      </c>
      <c r="G127" s="1" t="s">
        <v>19</v>
      </c>
      <c r="H127" s="1" t="s">
        <v>19</v>
      </c>
      <c r="I127" s="1" t="s">
        <v>20</v>
      </c>
      <c r="J127" s="2">
        <v>91.8</v>
      </c>
      <c r="K127" s="3">
        <v>92</v>
      </c>
      <c r="L127" s="1" t="s">
        <v>21</v>
      </c>
    </row>
    <row r="128" spans="1:12" x14ac:dyDescent="0.35">
      <c r="A128">
        <v>127</v>
      </c>
      <c r="B128" s="1" t="s">
        <v>23</v>
      </c>
      <c r="C128" s="2">
        <v>3.1</v>
      </c>
      <c r="D128" s="3">
        <v>77.8</v>
      </c>
      <c r="E128" s="2">
        <v>7.5</v>
      </c>
      <c r="F128" s="1" t="s">
        <v>18</v>
      </c>
      <c r="G128" s="1" t="s">
        <v>19</v>
      </c>
      <c r="H128" s="1" t="s">
        <v>19</v>
      </c>
      <c r="I128" s="1" t="s">
        <v>20</v>
      </c>
      <c r="J128" s="2">
        <v>54.8</v>
      </c>
      <c r="K128" s="3">
        <v>85</v>
      </c>
      <c r="L128" s="1" t="s">
        <v>28</v>
      </c>
    </row>
    <row r="129" spans="1:12" x14ac:dyDescent="0.35">
      <c r="A129">
        <v>128</v>
      </c>
      <c r="B129" s="1" t="s">
        <v>17</v>
      </c>
      <c r="C129" s="2">
        <v>2.1</v>
      </c>
      <c r="D129" s="3">
        <v>66.3</v>
      </c>
      <c r="E129" s="2">
        <v>6.5</v>
      </c>
      <c r="F129" s="1" t="s">
        <v>24</v>
      </c>
      <c r="G129" s="1" t="s">
        <v>19</v>
      </c>
      <c r="H129" s="1" t="s">
        <v>20</v>
      </c>
      <c r="I129" s="1" t="s">
        <v>19</v>
      </c>
      <c r="J129" s="2">
        <v>88.4</v>
      </c>
      <c r="K129" s="3">
        <v>63</v>
      </c>
      <c r="L129" s="1" t="s">
        <v>30</v>
      </c>
    </row>
    <row r="130" spans="1:12" x14ac:dyDescent="0.35">
      <c r="A130">
        <v>129</v>
      </c>
      <c r="B130" s="1" t="s">
        <v>23</v>
      </c>
      <c r="C130" s="2">
        <v>2.6</v>
      </c>
      <c r="D130" s="3">
        <v>84.2</v>
      </c>
      <c r="E130" s="2">
        <v>6.6</v>
      </c>
      <c r="F130" s="1" t="s">
        <v>24</v>
      </c>
      <c r="G130" s="1" t="s">
        <v>19</v>
      </c>
      <c r="H130" s="1" t="s">
        <v>20</v>
      </c>
      <c r="I130" s="1" t="s">
        <v>19</v>
      </c>
      <c r="J130" s="2">
        <v>68.7</v>
      </c>
      <c r="K130" s="3">
        <v>81</v>
      </c>
      <c r="L130" s="1" t="s">
        <v>28</v>
      </c>
    </row>
    <row r="131" spans="1:12" x14ac:dyDescent="0.35">
      <c r="A131">
        <v>130</v>
      </c>
      <c r="B131" s="1" t="s">
        <v>23</v>
      </c>
      <c r="C131" s="2">
        <v>4.5999999999999996</v>
      </c>
      <c r="D131" s="3">
        <v>83.8</v>
      </c>
      <c r="E131" s="2">
        <v>7.2</v>
      </c>
      <c r="F131" s="1" t="s">
        <v>24</v>
      </c>
      <c r="G131" s="1" t="s">
        <v>19</v>
      </c>
      <c r="H131" s="1" t="s">
        <v>19</v>
      </c>
      <c r="I131" s="1" t="s">
        <v>20</v>
      </c>
      <c r="J131" s="2">
        <v>73.599999999999994</v>
      </c>
      <c r="K131" s="3">
        <v>87</v>
      </c>
      <c r="L131" s="1" t="s">
        <v>28</v>
      </c>
    </row>
    <row r="132" spans="1:12" x14ac:dyDescent="0.35">
      <c r="A132">
        <v>131</v>
      </c>
      <c r="B132" s="1" t="s">
        <v>23</v>
      </c>
      <c r="C132" s="2">
        <v>4.3</v>
      </c>
      <c r="D132" s="3">
        <v>100</v>
      </c>
      <c r="E132" s="2">
        <v>6.9</v>
      </c>
      <c r="F132" s="1" t="s">
        <v>24</v>
      </c>
      <c r="G132" s="1" t="s">
        <v>19</v>
      </c>
      <c r="H132" s="1" t="s">
        <v>20</v>
      </c>
      <c r="I132" s="1" t="s">
        <v>19</v>
      </c>
      <c r="J132" s="2">
        <v>80</v>
      </c>
      <c r="K132" s="3">
        <v>100</v>
      </c>
      <c r="L132" s="1" t="s">
        <v>21</v>
      </c>
    </row>
    <row r="133" spans="1:12" x14ac:dyDescent="0.35">
      <c r="A133">
        <v>132</v>
      </c>
      <c r="B133" s="1" t="s">
        <v>17</v>
      </c>
      <c r="C133" s="2">
        <v>2</v>
      </c>
      <c r="D133" s="3">
        <v>91.3</v>
      </c>
      <c r="E133" s="2">
        <v>4.0999999999999996</v>
      </c>
      <c r="F133" s="1" t="s">
        <v>27</v>
      </c>
      <c r="G133" s="1" t="s">
        <v>19</v>
      </c>
      <c r="H133" s="1" t="s">
        <v>19</v>
      </c>
      <c r="I133" s="1" t="s">
        <v>20</v>
      </c>
      <c r="J133" s="2">
        <v>62.4</v>
      </c>
      <c r="K133" s="3">
        <v>76</v>
      </c>
      <c r="L133" s="1" t="s">
        <v>32</v>
      </c>
    </row>
    <row r="134" spans="1:12" x14ac:dyDescent="0.35">
      <c r="A134">
        <v>133</v>
      </c>
      <c r="B134" s="1" t="s">
        <v>17</v>
      </c>
      <c r="C134" s="2">
        <v>3.6</v>
      </c>
      <c r="D134" s="3">
        <v>74.8</v>
      </c>
      <c r="E134" s="2">
        <v>6.5</v>
      </c>
      <c r="F134" s="1" t="s">
        <v>18</v>
      </c>
      <c r="G134" s="1" t="s">
        <v>20</v>
      </c>
      <c r="H134" s="1" t="s">
        <v>19</v>
      </c>
      <c r="I134" s="1" t="s">
        <v>20</v>
      </c>
      <c r="J134" s="2">
        <v>80.400000000000006</v>
      </c>
      <c r="K134" s="3">
        <v>77</v>
      </c>
      <c r="L134" s="1" t="s">
        <v>32</v>
      </c>
    </row>
    <row r="135" spans="1:12" x14ac:dyDescent="0.35">
      <c r="A135">
        <v>134</v>
      </c>
      <c r="B135" s="1" t="s">
        <v>17</v>
      </c>
      <c r="C135" s="2">
        <v>4.5999999999999996</v>
      </c>
      <c r="D135" s="3">
        <v>100</v>
      </c>
      <c r="E135" s="2">
        <v>5.8</v>
      </c>
      <c r="F135" s="1" t="s">
        <v>33</v>
      </c>
      <c r="G135" s="1" t="s">
        <v>19</v>
      </c>
      <c r="H135" s="1" t="s">
        <v>19</v>
      </c>
      <c r="I135" s="1" t="s">
        <v>20</v>
      </c>
      <c r="J135" s="2">
        <v>37.5</v>
      </c>
      <c r="K135" s="3">
        <v>86</v>
      </c>
      <c r="L135" s="1" t="s">
        <v>28</v>
      </c>
    </row>
    <row r="136" spans="1:12" x14ac:dyDescent="0.35">
      <c r="A136">
        <v>135</v>
      </c>
      <c r="B136" s="1" t="s">
        <v>17</v>
      </c>
      <c r="C136" s="2">
        <v>1</v>
      </c>
      <c r="D136" s="3">
        <v>97.2</v>
      </c>
      <c r="E136" s="2">
        <v>7</v>
      </c>
      <c r="F136" s="1" t="s">
        <v>24</v>
      </c>
      <c r="G136" s="1" t="s">
        <v>19</v>
      </c>
      <c r="H136" s="1" t="s">
        <v>19</v>
      </c>
      <c r="I136" s="1" t="s">
        <v>20</v>
      </c>
      <c r="J136" s="2">
        <v>61.4</v>
      </c>
      <c r="K136" s="3">
        <v>81</v>
      </c>
      <c r="L136" s="1" t="s">
        <v>28</v>
      </c>
    </row>
    <row r="137" spans="1:12" x14ac:dyDescent="0.35">
      <c r="A137">
        <v>136</v>
      </c>
      <c r="B137" s="1" t="s">
        <v>17</v>
      </c>
      <c r="C137" s="2">
        <v>4.3</v>
      </c>
      <c r="D137" s="3">
        <v>90.8</v>
      </c>
      <c r="E137" s="2">
        <v>10</v>
      </c>
      <c r="F137" s="1" t="s">
        <v>18</v>
      </c>
      <c r="G137" s="1" t="s">
        <v>19</v>
      </c>
      <c r="H137" s="1" t="s">
        <v>19</v>
      </c>
      <c r="I137" s="1" t="s">
        <v>20</v>
      </c>
      <c r="J137" s="2">
        <v>58.9</v>
      </c>
      <c r="K137" s="3">
        <v>95</v>
      </c>
      <c r="L137" s="1" t="s">
        <v>21</v>
      </c>
    </row>
    <row r="138" spans="1:12" x14ac:dyDescent="0.35">
      <c r="A138">
        <v>137</v>
      </c>
      <c r="B138" s="1" t="s">
        <v>17</v>
      </c>
      <c r="C138" s="2">
        <v>2.5</v>
      </c>
      <c r="D138" s="3">
        <v>82.7</v>
      </c>
      <c r="E138" s="2">
        <v>7.2</v>
      </c>
      <c r="F138" s="1" t="s">
        <v>24</v>
      </c>
      <c r="G138" s="1" t="s">
        <v>20</v>
      </c>
      <c r="H138" s="1" t="s">
        <v>20</v>
      </c>
      <c r="I138" s="1" t="s">
        <v>19</v>
      </c>
      <c r="J138" s="2">
        <v>55</v>
      </c>
      <c r="K138" s="3">
        <v>60</v>
      </c>
      <c r="L138" s="1" t="s">
        <v>35</v>
      </c>
    </row>
    <row r="139" spans="1:12" x14ac:dyDescent="0.35">
      <c r="A139">
        <v>138</v>
      </c>
      <c r="B139" s="1" t="s">
        <v>17</v>
      </c>
      <c r="C139" s="2">
        <v>4.4000000000000004</v>
      </c>
      <c r="D139" s="3">
        <v>75.400000000000006</v>
      </c>
      <c r="E139" s="2">
        <v>6.4</v>
      </c>
      <c r="F139" s="1" t="s">
        <v>24</v>
      </c>
      <c r="G139" s="1" t="s">
        <v>19</v>
      </c>
      <c r="H139" s="1" t="s">
        <v>20</v>
      </c>
      <c r="I139" s="1" t="s">
        <v>20</v>
      </c>
      <c r="J139" s="2">
        <v>67.400000000000006</v>
      </c>
      <c r="K139" s="3">
        <v>81</v>
      </c>
      <c r="L139" s="1" t="s">
        <v>28</v>
      </c>
    </row>
    <row r="140" spans="1:12" x14ac:dyDescent="0.35">
      <c r="A140">
        <v>139</v>
      </c>
      <c r="B140" s="1" t="s">
        <v>17</v>
      </c>
      <c r="C140" s="2">
        <v>2.4</v>
      </c>
      <c r="D140" s="3">
        <v>81.3</v>
      </c>
      <c r="E140" s="2">
        <v>7.9</v>
      </c>
      <c r="F140" s="1" t="s">
        <v>24</v>
      </c>
      <c r="G140" s="1" t="s">
        <v>19</v>
      </c>
      <c r="H140" s="1" t="s">
        <v>19</v>
      </c>
      <c r="I140" s="1" t="s">
        <v>20</v>
      </c>
      <c r="J140" s="2">
        <v>74.599999999999994</v>
      </c>
      <c r="K140" s="3">
        <v>83</v>
      </c>
      <c r="L140" s="1" t="s">
        <v>28</v>
      </c>
    </row>
    <row r="141" spans="1:12" x14ac:dyDescent="0.35">
      <c r="A141">
        <v>140</v>
      </c>
      <c r="B141" s="1" t="s">
        <v>17</v>
      </c>
      <c r="C141" s="2">
        <v>0.8</v>
      </c>
      <c r="D141" s="3">
        <v>95.9</v>
      </c>
      <c r="E141" s="2">
        <v>7.4</v>
      </c>
      <c r="F141" s="1" t="s">
        <v>33</v>
      </c>
      <c r="G141" s="1" t="s">
        <v>19</v>
      </c>
      <c r="H141" s="1" t="s">
        <v>20</v>
      </c>
      <c r="I141" s="1" t="s">
        <v>20</v>
      </c>
      <c r="J141" s="2">
        <v>78.400000000000006</v>
      </c>
      <c r="K141" s="3">
        <v>80</v>
      </c>
      <c r="L141" s="1" t="s">
        <v>28</v>
      </c>
    </row>
    <row r="142" spans="1:12" x14ac:dyDescent="0.35">
      <c r="A142">
        <v>141</v>
      </c>
      <c r="B142" s="1" t="s">
        <v>23</v>
      </c>
      <c r="C142" s="2">
        <v>1.1000000000000001</v>
      </c>
      <c r="D142" s="3">
        <v>100</v>
      </c>
      <c r="E142" s="2">
        <v>7.3</v>
      </c>
      <c r="F142" s="1" t="s">
        <v>33</v>
      </c>
      <c r="G142" s="1" t="s">
        <v>19</v>
      </c>
      <c r="H142" s="1" t="s">
        <v>20</v>
      </c>
      <c r="I142" s="1" t="s">
        <v>19</v>
      </c>
      <c r="J142" s="2">
        <v>72.900000000000006</v>
      </c>
      <c r="K142" s="3">
        <v>82</v>
      </c>
      <c r="L142" s="1" t="s">
        <v>28</v>
      </c>
    </row>
    <row r="143" spans="1:12" x14ac:dyDescent="0.35">
      <c r="A143">
        <v>142</v>
      </c>
      <c r="B143" s="1" t="s">
        <v>17</v>
      </c>
      <c r="C143" s="2">
        <v>3.6</v>
      </c>
      <c r="D143" s="3">
        <v>100</v>
      </c>
      <c r="E143" s="2">
        <v>7.5</v>
      </c>
      <c r="F143" s="1" t="s">
        <v>18</v>
      </c>
      <c r="G143" s="1" t="s">
        <v>19</v>
      </c>
      <c r="H143" s="1" t="s">
        <v>20</v>
      </c>
      <c r="I143" s="1" t="s">
        <v>20</v>
      </c>
      <c r="J143" s="2">
        <v>62</v>
      </c>
      <c r="K143" s="3">
        <v>76</v>
      </c>
      <c r="L143" s="1" t="s">
        <v>32</v>
      </c>
    </row>
    <row r="144" spans="1:12" x14ac:dyDescent="0.35">
      <c r="A144">
        <v>143</v>
      </c>
      <c r="B144" s="1" t="s">
        <v>23</v>
      </c>
      <c r="C144" s="2">
        <v>3.9</v>
      </c>
      <c r="D144" s="3">
        <v>80.099999999999994</v>
      </c>
      <c r="E144" s="2">
        <v>9.3000000000000007</v>
      </c>
      <c r="F144" s="1" t="s">
        <v>18</v>
      </c>
      <c r="G144" s="1" t="s">
        <v>19</v>
      </c>
      <c r="H144" s="1" t="s">
        <v>20</v>
      </c>
      <c r="I144" s="1" t="s">
        <v>19</v>
      </c>
      <c r="J144" s="2">
        <v>74.400000000000006</v>
      </c>
      <c r="K144" s="3">
        <v>89</v>
      </c>
      <c r="L144" s="1" t="s">
        <v>28</v>
      </c>
    </row>
    <row r="145" spans="1:12" x14ac:dyDescent="0.35">
      <c r="A145">
        <v>144</v>
      </c>
      <c r="B145" s="1" t="s">
        <v>23</v>
      </c>
      <c r="C145" s="2">
        <v>2.1</v>
      </c>
      <c r="D145" s="3">
        <v>73.8</v>
      </c>
      <c r="E145" s="2">
        <v>5.4</v>
      </c>
      <c r="F145" s="1" t="s">
        <v>27</v>
      </c>
      <c r="G145" s="1" t="s">
        <v>19</v>
      </c>
      <c r="H145" s="1" t="s">
        <v>19</v>
      </c>
      <c r="I145" s="1" t="s">
        <v>19</v>
      </c>
      <c r="J145" s="2">
        <v>71.5</v>
      </c>
      <c r="K145" s="3">
        <v>70</v>
      </c>
      <c r="L145" s="1" t="s">
        <v>30</v>
      </c>
    </row>
    <row r="146" spans="1:12" x14ac:dyDescent="0.35">
      <c r="A146">
        <v>145</v>
      </c>
      <c r="B146" s="1" t="s">
        <v>23</v>
      </c>
      <c r="C146" s="2">
        <v>4.5</v>
      </c>
      <c r="D146" s="3">
        <v>86.4</v>
      </c>
      <c r="E146" s="2">
        <v>7.4</v>
      </c>
      <c r="F146" s="1" t="s">
        <v>24</v>
      </c>
      <c r="G146" s="1" t="s">
        <v>19</v>
      </c>
      <c r="H146" s="1" t="s">
        <v>20</v>
      </c>
      <c r="I146" s="1" t="s">
        <v>19</v>
      </c>
      <c r="J146" s="2">
        <v>81.2</v>
      </c>
      <c r="K146" s="3">
        <v>87</v>
      </c>
      <c r="L146" s="1" t="s">
        <v>28</v>
      </c>
    </row>
    <row r="147" spans="1:12" x14ac:dyDescent="0.35">
      <c r="A147">
        <v>146</v>
      </c>
      <c r="B147" s="1" t="s">
        <v>17</v>
      </c>
      <c r="C147" s="2">
        <v>1</v>
      </c>
      <c r="D147" s="3">
        <v>67.3</v>
      </c>
      <c r="E147" s="2">
        <v>5.7</v>
      </c>
      <c r="F147" s="1" t="s">
        <v>24</v>
      </c>
      <c r="G147" s="1" t="s">
        <v>19</v>
      </c>
      <c r="H147" s="1" t="s">
        <v>20</v>
      </c>
      <c r="I147" s="1" t="s">
        <v>20</v>
      </c>
      <c r="J147" s="2">
        <v>79.3</v>
      </c>
      <c r="K147" s="3">
        <v>65</v>
      </c>
      <c r="L147" s="1" t="s">
        <v>30</v>
      </c>
    </row>
    <row r="148" spans="1:12" x14ac:dyDescent="0.35">
      <c r="A148">
        <v>147</v>
      </c>
      <c r="B148" s="1" t="s">
        <v>17</v>
      </c>
      <c r="C148" s="2">
        <v>3.4</v>
      </c>
      <c r="D148" s="3">
        <v>88.2</v>
      </c>
      <c r="E148" s="2">
        <v>7.5</v>
      </c>
      <c r="F148" s="1" t="s">
        <v>24</v>
      </c>
      <c r="G148" s="1" t="s">
        <v>19</v>
      </c>
      <c r="H148" s="1" t="s">
        <v>20</v>
      </c>
      <c r="I148" s="1" t="s">
        <v>19</v>
      </c>
      <c r="J148" s="2">
        <v>70.400000000000006</v>
      </c>
      <c r="K148" s="3">
        <v>82</v>
      </c>
      <c r="L148" s="1" t="s">
        <v>28</v>
      </c>
    </row>
    <row r="149" spans="1:12" x14ac:dyDescent="0.35">
      <c r="A149">
        <v>148</v>
      </c>
      <c r="B149" s="1" t="s">
        <v>17</v>
      </c>
      <c r="C149" s="2">
        <v>1.7</v>
      </c>
      <c r="D149" s="3">
        <v>83.5</v>
      </c>
      <c r="E149" s="2">
        <v>5.7</v>
      </c>
      <c r="F149" s="1" t="s">
        <v>33</v>
      </c>
      <c r="G149" s="1" t="s">
        <v>19</v>
      </c>
      <c r="H149" s="1" t="s">
        <v>19</v>
      </c>
      <c r="I149" s="1" t="s">
        <v>19</v>
      </c>
      <c r="J149" s="2">
        <v>59.2</v>
      </c>
      <c r="K149" s="3">
        <v>47</v>
      </c>
      <c r="L149" s="1" t="s">
        <v>35</v>
      </c>
    </row>
    <row r="150" spans="1:12" x14ac:dyDescent="0.35">
      <c r="A150">
        <v>149</v>
      </c>
      <c r="B150" s="1" t="s">
        <v>17</v>
      </c>
      <c r="C150" s="2">
        <v>2.5</v>
      </c>
      <c r="D150" s="3">
        <v>80.3</v>
      </c>
      <c r="E150" s="2">
        <v>6.3</v>
      </c>
      <c r="F150" s="1" t="s">
        <v>27</v>
      </c>
      <c r="G150" s="1" t="s">
        <v>19</v>
      </c>
      <c r="H150" s="1" t="s">
        <v>19</v>
      </c>
      <c r="I150" s="1" t="s">
        <v>19</v>
      </c>
      <c r="J150" s="2">
        <v>62.2</v>
      </c>
      <c r="K150" s="3">
        <v>69</v>
      </c>
      <c r="L150" s="1" t="s">
        <v>30</v>
      </c>
    </row>
    <row r="151" spans="1:12" x14ac:dyDescent="0.35">
      <c r="A151">
        <v>150</v>
      </c>
      <c r="B151" s="1" t="s">
        <v>23</v>
      </c>
      <c r="C151" s="2">
        <v>3.6</v>
      </c>
      <c r="D151" s="3">
        <v>69.099999999999994</v>
      </c>
      <c r="E151" s="2">
        <v>6.4</v>
      </c>
      <c r="F151" s="1" t="s">
        <v>24</v>
      </c>
      <c r="G151" s="1" t="s">
        <v>19</v>
      </c>
      <c r="H151" s="1" t="s">
        <v>19</v>
      </c>
      <c r="I151" s="1" t="s">
        <v>19</v>
      </c>
      <c r="J151" s="2">
        <v>63.4</v>
      </c>
      <c r="K151" s="3">
        <v>69</v>
      </c>
      <c r="L151" s="1" t="s">
        <v>30</v>
      </c>
    </row>
    <row r="152" spans="1:12" x14ac:dyDescent="0.35">
      <c r="A152">
        <v>151</v>
      </c>
      <c r="B152" s="1" t="s">
        <v>17</v>
      </c>
      <c r="C152" s="2">
        <v>2.2000000000000002</v>
      </c>
      <c r="D152" s="3">
        <v>90.1</v>
      </c>
      <c r="E152" s="2">
        <v>8</v>
      </c>
      <c r="F152" s="1" t="s">
        <v>34</v>
      </c>
      <c r="G152" s="1" t="s">
        <v>19</v>
      </c>
      <c r="H152" s="1" t="s">
        <v>19</v>
      </c>
      <c r="I152" s="1" t="s">
        <v>20</v>
      </c>
      <c r="J152" s="2">
        <v>66.2</v>
      </c>
      <c r="K152" s="3">
        <v>85</v>
      </c>
      <c r="L152" s="1" t="s">
        <v>28</v>
      </c>
    </row>
    <row r="153" spans="1:12" x14ac:dyDescent="0.35">
      <c r="A153">
        <v>152</v>
      </c>
      <c r="B153" s="1" t="s">
        <v>17</v>
      </c>
      <c r="C153" s="2">
        <v>2.9</v>
      </c>
      <c r="D153" s="3">
        <v>79.7</v>
      </c>
      <c r="E153" s="2">
        <v>7.9</v>
      </c>
      <c r="F153" s="1" t="s">
        <v>33</v>
      </c>
      <c r="G153" s="1" t="s">
        <v>19</v>
      </c>
      <c r="H153" s="1" t="s">
        <v>19</v>
      </c>
      <c r="I153" s="1" t="s">
        <v>19</v>
      </c>
      <c r="J153" s="2">
        <v>73.2</v>
      </c>
      <c r="K153" s="3">
        <v>76</v>
      </c>
      <c r="L153" s="1" t="s">
        <v>32</v>
      </c>
    </row>
    <row r="154" spans="1:12" x14ac:dyDescent="0.35">
      <c r="A154">
        <v>153</v>
      </c>
      <c r="B154" s="1" t="s">
        <v>17</v>
      </c>
      <c r="C154" s="2">
        <v>5</v>
      </c>
      <c r="D154" s="3">
        <v>73.3</v>
      </c>
      <c r="E154" s="2">
        <v>5.3</v>
      </c>
      <c r="F154" s="1" t="s">
        <v>24</v>
      </c>
      <c r="G154" s="1" t="s">
        <v>19</v>
      </c>
      <c r="H154" s="1" t="s">
        <v>20</v>
      </c>
      <c r="I154" s="1" t="s">
        <v>19</v>
      </c>
      <c r="J154" s="2">
        <v>78.599999999999994</v>
      </c>
      <c r="K154" s="3">
        <v>85</v>
      </c>
      <c r="L154" s="1" t="s">
        <v>28</v>
      </c>
    </row>
    <row r="155" spans="1:12" x14ac:dyDescent="0.35">
      <c r="A155">
        <v>154</v>
      </c>
      <c r="B155" s="1" t="s">
        <v>17</v>
      </c>
      <c r="C155" s="2">
        <v>2.6</v>
      </c>
      <c r="D155" s="3">
        <v>56.3</v>
      </c>
      <c r="E155" s="2">
        <v>6.9</v>
      </c>
      <c r="F155" s="1" t="s">
        <v>18</v>
      </c>
      <c r="G155" s="1" t="s">
        <v>20</v>
      </c>
      <c r="H155" s="1" t="s">
        <v>19</v>
      </c>
      <c r="I155" s="1" t="s">
        <v>20</v>
      </c>
      <c r="J155" s="2">
        <v>69.400000000000006</v>
      </c>
      <c r="K155" s="3">
        <v>76</v>
      </c>
      <c r="L155" s="1" t="s">
        <v>32</v>
      </c>
    </row>
    <row r="156" spans="1:12" x14ac:dyDescent="0.35">
      <c r="A156">
        <v>155</v>
      </c>
      <c r="B156" s="1" t="s">
        <v>17</v>
      </c>
      <c r="C156" s="2">
        <v>4.8</v>
      </c>
      <c r="D156" s="3">
        <v>84.7</v>
      </c>
      <c r="E156" s="2">
        <v>5.9</v>
      </c>
      <c r="F156" s="1" t="s">
        <v>18</v>
      </c>
      <c r="G156" s="1" t="s">
        <v>19</v>
      </c>
      <c r="H156" s="1" t="s">
        <v>20</v>
      </c>
      <c r="I156" s="1" t="s">
        <v>20</v>
      </c>
      <c r="J156" s="2">
        <v>70.2</v>
      </c>
      <c r="K156" s="3">
        <v>95</v>
      </c>
      <c r="L156" s="1" t="s">
        <v>21</v>
      </c>
    </row>
    <row r="157" spans="1:12" x14ac:dyDescent="0.35">
      <c r="A157">
        <v>156</v>
      </c>
      <c r="B157" s="1" t="s">
        <v>23</v>
      </c>
      <c r="C157" s="2">
        <v>1.8</v>
      </c>
      <c r="D157" s="3">
        <v>100</v>
      </c>
      <c r="E157" s="2">
        <v>5.3</v>
      </c>
      <c r="F157" s="1" t="s">
        <v>27</v>
      </c>
      <c r="G157" s="1" t="s">
        <v>19</v>
      </c>
      <c r="H157" s="1" t="s">
        <v>19</v>
      </c>
      <c r="I157" s="1" t="s">
        <v>20</v>
      </c>
      <c r="J157" s="2">
        <v>71.7</v>
      </c>
      <c r="K157" s="3">
        <v>88</v>
      </c>
      <c r="L157" s="1" t="s">
        <v>28</v>
      </c>
    </row>
    <row r="158" spans="1:12" x14ac:dyDescent="0.35">
      <c r="A158">
        <v>157</v>
      </c>
      <c r="B158" s="1" t="s">
        <v>17</v>
      </c>
      <c r="C158" s="2">
        <v>4.3</v>
      </c>
      <c r="D158" s="3">
        <v>100</v>
      </c>
      <c r="E158" s="2">
        <v>6.5</v>
      </c>
      <c r="F158" s="1" t="s">
        <v>24</v>
      </c>
      <c r="G158" s="1" t="s">
        <v>19</v>
      </c>
      <c r="H158" s="1" t="s">
        <v>20</v>
      </c>
      <c r="I158" s="1" t="s">
        <v>20</v>
      </c>
      <c r="J158" s="2">
        <v>63.8</v>
      </c>
      <c r="K158" s="3">
        <v>88</v>
      </c>
      <c r="L158" s="1" t="s">
        <v>28</v>
      </c>
    </row>
    <row r="159" spans="1:12" x14ac:dyDescent="0.35">
      <c r="A159">
        <v>158</v>
      </c>
      <c r="B159" s="1" t="s">
        <v>23</v>
      </c>
      <c r="C159" s="2">
        <v>5.7</v>
      </c>
      <c r="D159" s="3">
        <v>80.400000000000006</v>
      </c>
      <c r="E159" s="2">
        <v>6.4</v>
      </c>
      <c r="F159" s="1" t="s">
        <v>33</v>
      </c>
      <c r="G159" s="1" t="s">
        <v>19</v>
      </c>
      <c r="H159" s="1" t="s">
        <v>19</v>
      </c>
      <c r="I159" s="1" t="s">
        <v>19</v>
      </c>
      <c r="J159" s="2">
        <v>58.9</v>
      </c>
      <c r="K159" s="3">
        <v>89</v>
      </c>
      <c r="L159" s="1" t="s">
        <v>28</v>
      </c>
    </row>
    <row r="160" spans="1:12" x14ac:dyDescent="0.35">
      <c r="A160">
        <v>159</v>
      </c>
      <c r="B160" s="1" t="s">
        <v>17</v>
      </c>
      <c r="C160" s="2">
        <v>0.5</v>
      </c>
      <c r="D160" s="3">
        <v>79</v>
      </c>
      <c r="E160" s="2">
        <v>9.6999999999999993</v>
      </c>
      <c r="F160" s="1" t="s">
        <v>24</v>
      </c>
      <c r="G160" s="1" t="s">
        <v>19</v>
      </c>
      <c r="H160" s="1" t="s">
        <v>19</v>
      </c>
      <c r="I160" s="1" t="s">
        <v>20</v>
      </c>
      <c r="J160" s="2">
        <v>48.9</v>
      </c>
      <c r="K160" s="3">
        <v>64</v>
      </c>
      <c r="L160" s="1" t="s">
        <v>30</v>
      </c>
    </row>
    <row r="161" spans="1:12" x14ac:dyDescent="0.35">
      <c r="A161">
        <v>160</v>
      </c>
      <c r="B161" s="1" t="s">
        <v>23</v>
      </c>
      <c r="C161" s="2">
        <v>2.2999999999999998</v>
      </c>
      <c r="D161" s="3">
        <v>89.7</v>
      </c>
      <c r="E161" s="2">
        <v>7.3</v>
      </c>
      <c r="F161" s="1" t="s">
        <v>33</v>
      </c>
      <c r="G161" s="1" t="s">
        <v>19</v>
      </c>
      <c r="H161" s="1" t="s">
        <v>20</v>
      </c>
      <c r="I161" s="1" t="s">
        <v>19</v>
      </c>
      <c r="J161" s="2">
        <v>61.7</v>
      </c>
      <c r="K161" s="3">
        <v>74</v>
      </c>
      <c r="L161" s="1" t="s">
        <v>32</v>
      </c>
    </row>
    <row r="162" spans="1:12" x14ac:dyDescent="0.35">
      <c r="A162">
        <v>161</v>
      </c>
      <c r="B162" s="1" t="s">
        <v>17</v>
      </c>
      <c r="C162" s="2">
        <v>4.4000000000000004</v>
      </c>
      <c r="D162" s="3">
        <v>75</v>
      </c>
      <c r="E162" s="2">
        <v>5.0999999999999996</v>
      </c>
      <c r="F162" s="1" t="s">
        <v>18</v>
      </c>
      <c r="G162" s="1" t="s">
        <v>19</v>
      </c>
      <c r="H162" s="1" t="s">
        <v>20</v>
      </c>
      <c r="I162" s="1" t="s">
        <v>20</v>
      </c>
      <c r="J162" s="2">
        <v>75.7</v>
      </c>
      <c r="K162" s="3">
        <v>88</v>
      </c>
      <c r="L162" s="1" t="s">
        <v>28</v>
      </c>
    </row>
    <row r="163" spans="1:12" x14ac:dyDescent="0.35">
      <c r="A163">
        <v>162</v>
      </c>
      <c r="B163" s="1" t="s">
        <v>17</v>
      </c>
      <c r="C163" s="2">
        <v>3.2</v>
      </c>
      <c r="D163" s="3">
        <v>88</v>
      </c>
      <c r="E163" s="2">
        <v>6.1</v>
      </c>
      <c r="F163" s="1" t="s">
        <v>18</v>
      </c>
      <c r="G163" s="1" t="s">
        <v>19</v>
      </c>
      <c r="H163" s="1" t="s">
        <v>20</v>
      </c>
      <c r="I163" s="1" t="s">
        <v>20</v>
      </c>
      <c r="J163" s="2">
        <v>61.6</v>
      </c>
      <c r="K163" s="3">
        <v>77</v>
      </c>
      <c r="L163" s="1" t="s">
        <v>32</v>
      </c>
    </row>
    <row r="164" spans="1:12" x14ac:dyDescent="0.35">
      <c r="A164">
        <v>163</v>
      </c>
      <c r="B164" s="1" t="s">
        <v>23</v>
      </c>
      <c r="C164" s="2">
        <v>4.0999999999999996</v>
      </c>
      <c r="D164" s="3">
        <v>92.7</v>
      </c>
      <c r="E164" s="2">
        <v>8</v>
      </c>
      <c r="F164" s="1" t="s">
        <v>33</v>
      </c>
      <c r="G164" s="1" t="s">
        <v>19</v>
      </c>
      <c r="H164" s="1" t="s">
        <v>19</v>
      </c>
      <c r="I164" s="1" t="s">
        <v>19</v>
      </c>
      <c r="J164" s="2">
        <v>67.099999999999994</v>
      </c>
      <c r="K164" s="3">
        <v>97</v>
      </c>
      <c r="L164" s="1" t="s">
        <v>21</v>
      </c>
    </row>
    <row r="165" spans="1:12" x14ac:dyDescent="0.35">
      <c r="A165">
        <v>164</v>
      </c>
      <c r="B165" s="1" t="s">
        <v>23</v>
      </c>
      <c r="C165" s="2">
        <v>2.6</v>
      </c>
      <c r="D165" s="3">
        <v>97.3</v>
      </c>
      <c r="E165" s="2">
        <v>9.3000000000000007</v>
      </c>
      <c r="F165" s="1" t="s">
        <v>33</v>
      </c>
      <c r="G165" s="1" t="s">
        <v>19</v>
      </c>
      <c r="H165" s="1" t="s">
        <v>19</v>
      </c>
      <c r="I165" s="1" t="s">
        <v>20</v>
      </c>
      <c r="J165" s="2">
        <v>75.599999999999994</v>
      </c>
      <c r="K165" s="3">
        <v>90</v>
      </c>
      <c r="L165" s="1" t="s">
        <v>21</v>
      </c>
    </row>
    <row r="166" spans="1:12" x14ac:dyDescent="0.35">
      <c r="A166">
        <v>165</v>
      </c>
      <c r="B166" s="1" t="s">
        <v>23</v>
      </c>
      <c r="C166" s="2">
        <v>3.6</v>
      </c>
      <c r="D166" s="3">
        <v>84</v>
      </c>
      <c r="E166" s="2">
        <v>4.9000000000000004</v>
      </c>
      <c r="F166" s="1" t="s">
        <v>34</v>
      </c>
      <c r="G166" s="1" t="s">
        <v>19</v>
      </c>
      <c r="H166" s="1" t="s">
        <v>20</v>
      </c>
      <c r="I166" s="1" t="s">
        <v>20</v>
      </c>
      <c r="J166" s="2">
        <v>76.2</v>
      </c>
      <c r="K166" s="3">
        <v>89</v>
      </c>
      <c r="L166" s="1" t="s">
        <v>28</v>
      </c>
    </row>
    <row r="167" spans="1:12" x14ac:dyDescent="0.35">
      <c r="A167">
        <v>166</v>
      </c>
      <c r="B167" s="1" t="s">
        <v>17</v>
      </c>
      <c r="C167" s="2">
        <v>3.3</v>
      </c>
      <c r="D167" s="3">
        <v>83</v>
      </c>
      <c r="E167" s="2">
        <v>4.5</v>
      </c>
      <c r="F167" s="1" t="s">
        <v>24</v>
      </c>
      <c r="G167" s="1" t="s">
        <v>19</v>
      </c>
      <c r="H167" s="1" t="s">
        <v>19</v>
      </c>
      <c r="I167" s="1" t="s">
        <v>20</v>
      </c>
      <c r="J167" s="2">
        <v>57</v>
      </c>
      <c r="K167" s="3">
        <v>85</v>
      </c>
      <c r="L167" s="1" t="s">
        <v>28</v>
      </c>
    </row>
    <row r="168" spans="1:12" x14ac:dyDescent="0.35">
      <c r="A168">
        <v>167</v>
      </c>
      <c r="B168" s="1" t="s">
        <v>23</v>
      </c>
      <c r="C168" s="2">
        <v>5.3</v>
      </c>
      <c r="D168" s="3">
        <v>76.2</v>
      </c>
      <c r="E168" s="2">
        <v>9</v>
      </c>
      <c r="F168" s="1" t="s">
        <v>33</v>
      </c>
      <c r="G168" s="1" t="s">
        <v>19</v>
      </c>
      <c r="H168" s="1" t="s">
        <v>20</v>
      </c>
      <c r="I168" s="1" t="s">
        <v>20</v>
      </c>
      <c r="J168" s="2">
        <v>82</v>
      </c>
      <c r="K168" s="3">
        <v>100</v>
      </c>
      <c r="L168" s="1" t="s">
        <v>21</v>
      </c>
    </row>
    <row r="169" spans="1:12" x14ac:dyDescent="0.35">
      <c r="A169">
        <v>168</v>
      </c>
      <c r="B169" s="1" t="s">
        <v>17</v>
      </c>
      <c r="C169" s="2">
        <v>3.9</v>
      </c>
      <c r="D169" s="3">
        <v>76.7</v>
      </c>
      <c r="E169" s="2">
        <v>7.3</v>
      </c>
      <c r="F169" s="1" t="s">
        <v>24</v>
      </c>
      <c r="G169" s="1" t="s">
        <v>19</v>
      </c>
      <c r="H169" s="1" t="s">
        <v>19</v>
      </c>
      <c r="I169" s="1" t="s">
        <v>20</v>
      </c>
      <c r="J169" s="2">
        <v>83.5</v>
      </c>
      <c r="K169" s="3">
        <v>82</v>
      </c>
      <c r="L169" s="1" t="s">
        <v>28</v>
      </c>
    </row>
    <row r="170" spans="1:12" x14ac:dyDescent="0.35">
      <c r="A170">
        <v>169</v>
      </c>
      <c r="B170" s="1" t="s">
        <v>17</v>
      </c>
      <c r="C170" s="2">
        <v>4</v>
      </c>
      <c r="D170" s="3">
        <v>82.7</v>
      </c>
      <c r="E170" s="2">
        <v>5.8</v>
      </c>
      <c r="F170" s="1" t="s">
        <v>18</v>
      </c>
      <c r="G170" s="1" t="s">
        <v>20</v>
      </c>
      <c r="H170" s="1" t="s">
        <v>19</v>
      </c>
      <c r="I170" s="1" t="s">
        <v>19</v>
      </c>
      <c r="J170" s="2">
        <v>56.4</v>
      </c>
      <c r="K170" s="3">
        <v>75</v>
      </c>
      <c r="L170" s="1" t="s">
        <v>32</v>
      </c>
    </row>
    <row r="171" spans="1:12" x14ac:dyDescent="0.35">
      <c r="A171">
        <v>170</v>
      </c>
      <c r="B171" s="1" t="s">
        <v>23</v>
      </c>
      <c r="C171" s="2">
        <v>2.9</v>
      </c>
      <c r="D171" s="3">
        <v>88.7</v>
      </c>
      <c r="E171" s="2">
        <v>7.4</v>
      </c>
      <c r="F171" s="1" t="s">
        <v>18</v>
      </c>
      <c r="G171" s="1" t="s">
        <v>20</v>
      </c>
      <c r="H171" s="1" t="s">
        <v>19</v>
      </c>
      <c r="I171" s="1" t="s">
        <v>19</v>
      </c>
      <c r="J171" s="2">
        <v>60.1</v>
      </c>
      <c r="K171" s="3">
        <v>78</v>
      </c>
      <c r="L171" s="1" t="s">
        <v>32</v>
      </c>
    </row>
    <row r="172" spans="1:12" x14ac:dyDescent="0.35">
      <c r="A172">
        <v>171</v>
      </c>
      <c r="B172" s="1" t="s">
        <v>23</v>
      </c>
      <c r="C172" s="2">
        <v>2.8</v>
      </c>
      <c r="D172" s="3">
        <v>94.1</v>
      </c>
      <c r="E172" s="2">
        <v>3.6</v>
      </c>
      <c r="F172" s="1" t="s">
        <v>18</v>
      </c>
      <c r="G172" s="1" t="s">
        <v>19</v>
      </c>
      <c r="H172" s="1" t="s">
        <v>19</v>
      </c>
      <c r="I172" s="1" t="s">
        <v>20</v>
      </c>
      <c r="J172" s="2">
        <v>84.3</v>
      </c>
      <c r="K172" s="3">
        <v>93</v>
      </c>
      <c r="L172" s="1" t="s">
        <v>21</v>
      </c>
    </row>
    <row r="173" spans="1:12" x14ac:dyDescent="0.35">
      <c r="A173">
        <v>172</v>
      </c>
      <c r="B173" s="1" t="s">
        <v>17</v>
      </c>
      <c r="C173" s="2">
        <v>2.9</v>
      </c>
      <c r="D173" s="3">
        <v>77</v>
      </c>
      <c r="E173" s="2">
        <v>6.8</v>
      </c>
      <c r="F173" s="1" t="s">
        <v>18</v>
      </c>
      <c r="G173" s="1" t="s">
        <v>19</v>
      </c>
      <c r="H173" s="1" t="s">
        <v>20</v>
      </c>
      <c r="I173" s="1" t="s">
        <v>20</v>
      </c>
      <c r="J173" s="2">
        <v>68.2</v>
      </c>
      <c r="K173" s="3">
        <v>72</v>
      </c>
      <c r="L173" s="1" t="s">
        <v>32</v>
      </c>
    </row>
    <row r="174" spans="1:12" x14ac:dyDescent="0.35">
      <c r="A174">
        <v>173</v>
      </c>
      <c r="B174" s="1" t="s">
        <v>17</v>
      </c>
      <c r="C174" s="2">
        <v>4.0999999999999996</v>
      </c>
      <c r="D174" s="3">
        <v>99.9</v>
      </c>
      <c r="E174" s="2">
        <v>7.2</v>
      </c>
      <c r="F174" s="1" t="s">
        <v>27</v>
      </c>
      <c r="G174" s="1" t="s">
        <v>19</v>
      </c>
      <c r="H174" s="1" t="s">
        <v>20</v>
      </c>
      <c r="I174" s="1" t="s">
        <v>20</v>
      </c>
      <c r="J174" s="2">
        <v>43.4</v>
      </c>
      <c r="K174" s="3">
        <v>79</v>
      </c>
      <c r="L174" s="1" t="s">
        <v>32</v>
      </c>
    </row>
    <row r="175" spans="1:12" x14ac:dyDescent="0.35">
      <c r="A175">
        <v>174</v>
      </c>
      <c r="B175" s="1" t="s">
        <v>23</v>
      </c>
      <c r="C175" s="2">
        <v>2.9</v>
      </c>
      <c r="D175" s="3">
        <v>82.3</v>
      </c>
      <c r="E175" s="2">
        <v>7.9</v>
      </c>
      <c r="F175" s="1" t="s">
        <v>24</v>
      </c>
      <c r="G175" s="1" t="s">
        <v>19</v>
      </c>
      <c r="H175" s="1" t="s">
        <v>19</v>
      </c>
      <c r="I175" s="1" t="s">
        <v>20</v>
      </c>
      <c r="J175" s="2">
        <v>53.2</v>
      </c>
      <c r="K175" s="3">
        <v>83</v>
      </c>
      <c r="L175" s="1" t="s">
        <v>28</v>
      </c>
    </row>
    <row r="176" spans="1:12" x14ac:dyDescent="0.35">
      <c r="A176">
        <v>175</v>
      </c>
      <c r="B176" s="1" t="s">
        <v>23</v>
      </c>
      <c r="C176" s="2">
        <v>3.9</v>
      </c>
      <c r="D176" s="3">
        <v>84.8</v>
      </c>
      <c r="E176" s="2">
        <v>5.6</v>
      </c>
      <c r="F176" s="1" t="s">
        <v>33</v>
      </c>
      <c r="G176" s="1" t="s">
        <v>19</v>
      </c>
      <c r="H176" s="1" t="s">
        <v>20</v>
      </c>
      <c r="I176" s="1" t="s">
        <v>20</v>
      </c>
      <c r="J176" s="2">
        <v>67</v>
      </c>
      <c r="K176" s="3">
        <v>79</v>
      </c>
      <c r="L176" s="1" t="s">
        <v>32</v>
      </c>
    </row>
    <row r="177" spans="1:12" x14ac:dyDescent="0.35">
      <c r="A177">
        <v>176</v>
      </c>
      <c r="B177" s="1" t="s">
        <v>23</v>
      </c>
      <c r="C177" s="2">
        <v>6.6</v>
      </c>
      <c r="D177" s="3">
        <v>77.5</v>
      </c>
      <c r="E177" s="2">
        <v>6.9</v>
      </c>
      <c r="F177" s="1" t="s">
        <v>18</v>
      </c>
      <c r="G177" s="1" t="s">
        <v>19</v>
      </c>
      <c r="H177" s="1" t="s">
        <v>19</v>
      </c>
      <c r="I177" s="1" t="s">
        <v>20</v>
      </c>
      <c r="J177" s="2">
        <v>56</v>
      </c>
      <c r="K177" s="3">
        <v>90</v>
      </c>
      <c r="L177" s="1" t="s">
        <v>28</v>
      </c>
    </row>
    <row r="178" spans="1:12" x14ac:dyDescent="0.35">
      <c r="A178">
        <v>177</v>
      </c>
      <c r="B178" s="1" t="s">
        <v>17</v>
      </c>
      <c r="C178" s="2">
        <v>4.8</v>
      </c>
      <c r="D178" s="3">
        <v>60.8</v>
      </c>
      <c r="E178" s="2">
        <v>5.7</v>
      </c>
      <c r="F178" s="1" t="s">
        <v>24</v>
      </c>
      <c r="G178" s="1" t="s">
        <v>19</v>
      </c>
      <c r="H178" s="1" t="s">
        <v>19</v>
      </c>
      <c r="I178" s="1" t="s">
        <v>20</v>
      </c>
      <c r="J178" s="2">
        <v>65</v>
      </c>
      <c r="K178" s="3">
        <v>89</v>
      </c>
      <c r="L178" s="1" t="s">
        <v>28</v>
      </c>
    </row>
    <row r="179" spans="1:12" x14ac:dyDescent="0.35">
      <c r="A179">
        <v>178</v>
      </c>
      <c r="B179" s="1" t="s">
        <v>17</v>
      </c>
      <c r="C179" s="2">
        <v>3</v>
      </c>
      <c r="D179" s="3">
        <v>93.8</v>
      </c>
      <c r="E179" s="2">
        <v>7.1</v>
      </c>
      <c r="F179" s="1" t="s">
        <v>24</v>
      </c>
      <c r="G179" s="1" t="s">
        <v>20</v>
      </c>
      <c r="H179" s="1" t="s">
        <v>19</v>
      </c>
      <c r="I179" s="1" t="s">
        <v>20</v>
      </c>
      <c r="J179" s="2">
        <v>70.400000000000006</v>
      </c>
      <c r="K179" s="3">
        <v>82</v>
      </c>
      <c r="L179" s="1" t="s">
        <v>28</v>
      </c>
    </row>
    <row r="180" spans="1:12" x14ac:dyDescent="0.35">
      <c r="A180">
        <v>179</v>
      </c>
      <c r="B180" s="1" t="s">
        <v>17</v>
      </c>
      <c r="C180" s="2">
        <v>5.3</v>
      </c>
      <c r="D180" s="3">
        <v>92.4</v>
      </c>
      <c r="E180" s="2">
        <v>5.7</v>
      </c>
      <c r="F180" s="1" t="s">
        <v>27</v>
      </c>
      <c r="G180" s="1" t="s">
        <v>19</v>
      </c>
      <c r="H180" s="1" t="s">
        <v>20</v>
      </c>
      <c r="I180" s="1" t="s">
        <v>20</v>
      </c>
      <c r="J180" s="2">
        <v>87.5</v>
      </c>
      <c r="K180" s="3">
        <v>97</v>
      </c>
      <c r="L180" s="1" t="s">
        <v>21</v>
      </c>
    </row>
    <row r="181" spans="1:12" x14ac:dyDescent="0.35">
      <c r="A181">
        <v>180</v>
      </c>
      <c r="B181" s="1" t="s">
        <v>17</v>
      </c>
      <c r="C181" s="2">
        <v>2.9</v>
      </c>
      <c r="D181" s="3">
        <v>82.2</v>
      </c>
      <c r="E181" s="2">
        <v>6.3</v>
      </c>
      <c r="F181" s="1" t="s">
        <v>34</v>
      </c>
      <c r="G181" s="1" t="s">
        <v>19</v>
      </c>
      <c r="H181" s="1" t="s">
        <v>20</v>
      </c>
      <c r="I181" s="1" t="s">
        <v>20</v>
      </c>
      <c r="J181" s="2">
        <v>66.5</v>
      </c>
      <c r="K181" s="3">
        <v>74</v>
      </c>
      <c r="L181" s="1" t="s">
        <v>32</v>
      </c>
    </row>
    <row r="182" spans="1:12" x14ac:dyDescent="0.35">
      <c r="A182">
        <v>181</v>
      </c>
      <c r="B182" s="1" t="s">
        <v>17</v>
      </c>
      <c r="C182" s="2">
        <v>0.5</v>
      </c>
      <c r="D182" s="3">
        <v>85.7</v>
      </c>
      <c r="E182" s="2">
        <v>5.6</v>
      </c>
      <c r="F182" s="1" t="s">
        <v>27</v>
      </c>
      <c r="G182" s="1" t="s">
        <v>19</v>
      </c>
      <c r="H182" s="1" t="s">
        <v>20</v>
      </c>
      <c r="I182" s="1" t="s">
        <v>20</v>
      </c>
      <c r="J182" s="2">
        <v>82.9</v>
      </c>
      <c r="K182" s="3">
        <v>77</v>
      </c>
      <c r="L182" s="1" t="s">
        <v>32</v>
      </c>
    </row>
    <row r="183" spans="1:12" x14ac:dyDescent="0.35">
      <c r="A183">
        <v>182</v>
      </c>
      <c r="B183" s="1" t="s">
        <v>17</v>
      </c>
      <c r="C183" s="2">
        <v>2</v>
      </c>
      <c r="D183" s="3">
        <v>90.2</v>
      </c>
      <c r="E183" s="2">
        <v>7.6</v>
      </c>
      <c r="F183" s="1" t="s">
        <v>27</v>
      </c>
      <c r="G183" s="1" t="s">
        <v>19</v>
      </c>
      <c r="H183" s="1" t="s">
        <v>20</v>
      </c>
      <c r="I183" s="1" t="s">
        <v>19</v>
      </c>
      <c r="J183" s="2">
        <v>87.1</v>
      </c>
      <c r="K183" s="3">
        <v>77</v>
      </c>
      <c r="L183" s="1" t="s">
        <v>32</v>
      </c>
    </row>
    <row r="184" spans="1:12" x14ac:dyDescent="0.35">
      <c r="A184">
        <v>183</v>
      </c>
      <c r="B184" s="1" t="s">
        <v>23</v>
      </c>
      <c r="C184" s="2">
        <v>0.7</v>
      </c>
      <c r="D184" s="3">
        <v>69.400000000000006</v>
      </c>
      <c r="E184" s="2">
        <v>7.8</v>
      </c>
      <c r="F184" s="1" t="s">
        <v>24</v>
      </c>
      <c r="G184" s="1" t="s">
        <v>19</v>
      </c>
      <c r="H184" s="1" t="s">
        <v>20</v>
      </c>
      <c r="I184" s="1" t="s">
        <v>20</v>
      </c>
      <c r="J184" s="2">
        <v>87.2</v>
      </c>
      <c r="K184" s="3">
        <v>73</v>
      </c>
      <c r="L184" s="1" t="s">
        <v>32</v>
      </c>
    </row>
    <row r="185" spans="1:12" x14ac:dyDescent="0.35">
      <c r="A185">
        <v>184</v>
      </c>
      <c r="B185" s="1" t="s">
        <v>17</v>
      </c>
      <c r="C185" s="2">
        <v>3</v>
      </c>
      <c r="D185" s="3">
        <v>79.7</v>
      </c>
      <c r="E185" s="2">
        <v>6.5</v>
      </c>
      <c r="F185" s="1" t="s">
        <v>18</v>
      </c>
      <c r="G185" s="1" t="s">
        <v>19</v>
      </c>
      <c r="H185" s="1" t="s">
        <v>20</v>
      </c>
      <c r="I185" s="1" t="s">
        <v>20</v>
      </c>
      <c r="J185" s="2">
        <v>73.400000000000006</v>
      </c>
      <c r="K185" s="3">
        <v>84</v>
      </c>
      <c r="L185" s="1" t="s">
        <v>28</v>
      </c>
    </row>
    <row r="186" spans="1:12" x14ac:dyDescent="0.35">
      <c r="A186">
        <v>185</v>
      </c>
      <c r="B186" s="1" t="s">
        <v>17</v>
      </c>
      <c r="C186" s="2">
        <v>3.5</v>
      </c>
      <c r="D186" s="3">
        <v>92.9</v>
      </c>
      <c r="E186" s="2">
        <v>6.8</v>
      </c>
      <c r="F186" s="1" t="s">
        <v>33</v>
      </c>
      <c r="G186" s="1" t="s">
        <v>19</v>
      </c>
      <c r="H186" s="1" t="s">
        <v>20</v>
      </c>
      <c r="I186" s="1" t="s">
        <v>20</v>
      </c>
      <c r="J186" s="2">
        <v>46.4</v>
      </c>
      <c r="K186" s="3">
        <v>86</v>
      </c>
      <c r="L186" s="1" t="s">
        <v>28</v>
      </c>
    </row>
    <row r="187" spans="1:12" x14ac:dyDescent="0.35">
      <c r="A187">
        <v>186</v>
      </c>
      <c r="B187" s="1" t="s">
        <v>17</v>
      </c>
      <c r="C187" s="2">
        <v>6</v>
      </c>
      <c r="D187" s="3">
        <v>72.5</v>
      </c>
      <c r="E187" s="2">
        <v>5.0999999999999996</v>
      </c>
      <c r="F187" s="1" t="s">
        <v>18</v>
      </c>
      <c r="G187" s="1" t="s">
        <v>19</v>
      </c>
      <c r="H187" s="1" t="s">
        <v>20</v>
      </c>
      <c r="I187" s="1" t="s">
        <v>20</v>
      </c>
      <c r="J187" s="2">
        <v>75.5</v>
      </c>
      <c r="K187" s="3">
        <v>96</v>
      </c>
      <c r="L187" s="1" t="s">
        <v>21</v>
      </c>
    </row>
    <row r="188" spans="1:12" x14ac:dyDescent="0.35">
      <c r="A188">
        <v>187</v>
      </c>
      <c r="B188" s="1" t="s">
        <v>23</v>
      </c>
      <c r="C188" s="2">
        <v>4</v>
      </c>
      <c r="D188" s="3">
        <v>87.9</v>
      </c>
      <c r="E188" s="2">
        <v>6.4</v>
      </c>
      <c r="F188" s="1" t="s">
        <v>18</v>
      </c>
      <c r="G188" s="1" t="s">
        <v>19</v>
      </c>
      <c r="H188" s="1" t="s">
        <v>19</v>
      </c>
      <c r="I188" s="1" t="s">
        <v>20</v>
      </c>
      <c r="J188" s="2">
        <v>82.6</v>
      </c>
      <c r="K188" s="3">
        <v>89</v>
      </c>
      <c r="L188" s="1" t="s">
        <v>28</v>
      </c>
    </row>
    <row r="189" spans="1:12" x14ac:dyDescent="0.35">
      <c r="A189">
        <v>188</v>
      </c>
      <c r="B189" s="1" t="s">
        <v>17</v>
      </c>
      <c r="C189" s="2">
        <v>3.2</v>
      </c>
      <c r="D189" s="3">
        <v>71.400000000000006</v>
      </c>
      <c r="E189" s="2">
        <v>6.7</v>
      </c>
      <c r="F189" s="1" t="s">
        <v>18</v>
      </c>
      <c r="G189" s="1" t="s">
        <v>19</v>
      </c>
      <c r="H189" s="1" t="s">
        <v>19</v>
      </c>
      <c r="I189" s="1" t="s">
        <v>19</v>
      </c>
      <c r="J189" s="2">
        <v>69</v>
      </c>
      <c r="K189" s="3">
        <v>83</v>
      </c>
      <c r="L189" s="1" t="s">
        <v>28</v>
      </c>
    </row>
    <row r="190" spans="1:12" x14ac:dyDescent="0.35">
      <c r="A190">
        <v>189</v>
      </c>
      <c r="B190" s="1" t="s">
        <v>17</v>
      </c>
      <c r="C190" s="2">
        <v>4.7</v>
      </c>
      <c r="D190" s="3">
        <v>89.7</v>
      </c>
      <c r="E190" s="2">
        <v>9.9</v>
      </c>
      <c r="F190" s="1" t="s">
        <v>18</v>
      </c>
      <c r="G190" s="1" t="s">
        <v>19</v>
      </c>
      <c r="H190" s="1" t="s">
        <v>19</v>
      </c>
      <c r="I190" s="1" t="s">
        <v>20</v>
      </c>
      <c r="J190" s="2">
        <v>90.9</v>
      </c>
      <c r="K190" s="3">
        <v>100</v>
      </c>
      <c r="L190" s="1" t="s">
        <v>21</v>
      </c>
    </row>
    <row r="191" spans="1:12" x14ac:dyDescent="0.35">
      <c r="A191">
        <v>190</v>
      </c>
      <c r="B191" s="1" t="s">
        <v>23</v>
      </c>
      <c r="C191" s="2">
        <v>0.5</v>
      </c>
      <c r="D191" s="3">
        <v>84.6</v>
      </c>
      <c r="E191" s="2">
        <v>5.5</v>
      </c>
      <c r="F191" s="1" t="s">
        <v>18</v>
      </c>
      <c r="G191" s="1" t="s">
        <v>19</v>
      </c>
      <c r="H191" s="1" t="s">
        <v>19</v>
      </c>
      <c r="I191" s="1" t="s">
        <v>20</v>
      </c>
      <c r="J191" s="2">
        <v>80.3</v>
      </c>
      <c r="K191" s="3">
        <v>67</v>
      </c>
      <c r="L191" s="1" t="s">
        <v>30</v>
      </c>
    </row>
    <row r="192" spans="1:12" x14ac:dyDescent="0.35">
      <c r="A192">
        <v>191</v>
      </c>
      <c r="B192" s="1" t="s">
        <v>17</v>
      </c>
      <c r="C192" s="2">
        <v>3.9</v>
      </c>
      <c r="D192" s="3">
        <v>68.8</v>
      </c>
      <c r="E192" s="2">
        <v>8.6</v>
      </c>
      <c r="F192" s="1" t="s">
        <v>24</v>
      </c>
      <c r="G192" s="1" t="s">
        <v>19</v>
      </c>
      <c r="H192" s="1" t="s">
        <v>20</v>
      </c>
      <c r="I192" s="1" t="s">
        <v>20</v>
      </c>
      <c r="J192" s="2">
        <v>76.8</v>
      </c>
      <c r="K192" s="3">
        <v>85</v>
      </c>
      <c r="L192" s="1" t="s">
        <v>28</v>
      </c>
    </row>
    <row r="193" spans="1:12" x14ac:dyDescent="0.35">
      <c r="A193">
        <v>192</v>
      </c>
      <c r="B193" s="1" t="s">
        <v>17</v>
      </c>
      <c r="C193" s="2">
        <v>4.7</v>
      </c>
      <c r="D193" s="3">
        <v>96.6</v>
      </c>
      <c r="E193" s="2">
        <v>8</v>
      </c>
      <c r="F193" s="1" t="s">
        <v>18</v>
      </c>
      <c r="G193" s="1" t="s">
        <v>19</v>
      </c>
      <c r="H193" s="1" t="s">
        <v>19</v>
      </c>
      <c r="I193" s="1" t="s">
        <v>19</v>
      </c>
      <c r="J193" s="2">
        <v>83</v>
      </c>
      <c r="K193" s="3">
        <v>100</v>
      </c>
      <c r="L193" s="1" t="s">
        <v>21</v>
      </c>
    </row>
    <row r="194" spans="1:12" x14ac:dyDescent="0.35">
      <c r="A194">
        <v>193</v>
      </c>
      <c r="B194" s="1" t="s">
        <v>17</v>
      </c>
      <c r="C194" s="2">
        <v>1.3</v>
      </c>
      <c r="D194" s="3">
        <v>77.7</v>
      </c>
      <c r="E194" s="2">
        <v>7.1</v>
      </c>
      <c r="F194" s="1" t="s">
        <v>18</v>
      </c>
      <c r="G194" s="1" t="s">
        <v>19</v>
      </c>
      <c r="H194" s="1" t="s">
        <v>20</v>
      </c>
      <c r="I194" s="1" t="s">
        <v>20</v>
      </c>
      <c r="J194" s="2">
        <v>74</v>
      </c>
      <c r="K194" s="3">
        <v>75</v>
      </c>
      <c r="L194" s="1" t="s">
        <v>32</v>
      </c>
    </row>
    <row r="195" spans="1:12" x14ac:dyDescent="0.35">
      <c r="A195">
        <v>194</v>
      </c>
      <c r="B195" s="1" t="s">
        <v>17</v>
      </c>
      <c r="C195" s="2">
        <v>5.2</v>
      </c>
      <c r="D195" s="3">
        <v>76.900000000000006</v>
      </c>
      <c r="E195" s="2">
        <v>8.9</v>
      </c>
      <c r="F195" s="1" t="s">
        <v>18</v>
      </c>
      <c r="G195" s="1" t="s">
        <v>19</v>
      </c>
      <c r="H195" s="1" t="s">
        <v>19</v>
      </c>
      <c r="I195" s="1" t="s">
        <v>20</v>
      </c>
      <c r="J195" s="2">
        <v>40.1</v>
      </c>
      <c r="K195" s="3">
        <v>81</v>
      </c>
      <c r="L195" s="1" t="s">
        <v>28</v>
      </c>
    </row>
    <row r="196" spans="1:12" x14ac:dyDescent="0.35">
      <c r="A196">
        <v>195</v>
      </c>
      <c r="B196" s="1" t="s">
        <v>17</v>
      </c>
      <c r="C196" s="2">
        <v>4</v>
      </c>
      <c r="D196" s="3">
        <v>87</v>
      </c>
      <c r="E196" s="2">
        <v>7.2</v>
      </c>
      <c r="F196" s="1" t="s">
        <v>24</v>
      </c>
      <c r="G196" s="1" t="s">
        <v>19</v>
      </c>
      <c r="H196" s="1" t="s">
        <v>19</v>
      </c>
      <c r="I196" s="1" t="s">
        <v>20</v>
      </c>
      <c r="J196" s="2">
        <v>64</v>
      </c>
      <c r="K196" s="3">
        <v>97</v>
      </c>
      <c r="L196" s="1" t="s">
        <v>21</v>
      </c>
    </row>
    <row r="197" spans="1:12" x14ac:dyDescent="0.35">
      <c r="A197">
        <v>196</v>
      </c>
      <c r="B197" s="1" t="s">
        <v>23</v>
      </c>
      <c r="C197" s="2">
        <v>2.9</v>
      </c>
      <c r="D197" s="3">
        <v>96.5</v>
      </c>
      <c r="E197" s="2">
        <v>7.3</v>
      </c>
      <c r="F197" s="1" t="s">
        <v>33</v>
      </c>
      <c r="G197" s="1" t="s">
        <v>20</v>
      </c>
      <c r="H197" s="1" t="s">
        <v>19</v>
      </c>
      <c r="I197" s="1" t="s">
        <v>20</v>
      </c>
      <c r="J197" s="2">
        <v>84.4</v>
      </c>
      <c r="K197" s="3">
        <v>80</v>
      </c>
      <c r="L197" s="1" t="s">
        <v>32</v>
      </c>
    </row>
    <row r="198" spans="1:12" x14ac:dyDescent="0.35">
      <c r="A198">
        <v>197</v>
      </c>
      <c r="B198" s="1" t="s">
        <v>23</v>
      </c>
      <c r="C198" s="2">
        <v>4.4000000000000004</v>
      </c>
      <c r="D198" s="3">
        <v>74.8</v>
      </c>
      <c r="E198" s="2">
        <v>6.7</v>
      </c>
      <c r="F198" s="1" t="s">
        <v>24</v>
      </c>
      <c r="G198" s="1" t="s">
        <v>19</v>
      </c>
      <c r="H198" s="1" t="s">
        <v>20</v>
      </c>
      <c r="I198" s="1" t="s">
        <v>20</v>
      </c>
      <c r="J198" s="2">
        <v>60.3</v>
      </c>
      <c r="K198" s="3">
        <v>73</v>
      </c>
      <c r="L198" s="1" t="s">
        <v>32</v>
      </c>
    </row>
    <row r="199" spans="1:12" x14ac:dyDescent="0.35">
      <c r="A199">
        <v>198</v>
      </c>
      <c r="B199" s="1" t="s">
        <v>23</v>
      </c>
      <c r="C199" s="2">
        <v>6.9</v>
      </c>
      <c r="D199" s="3">
        <v>85.6</v>
      </c>
      <c r="E199" s="2">
        <v>8.3000000000000007</v>
      </c>
      <c r="F199" s="1" t="s">
        <v>18</v>
      </c>
      <c r="G199" s="1" t="s">
        <v>19</v>
      </c>
      <c r="H199" s="1" t="s">
        <v>19</v>
      </c>
      <c r="I199" s="1" t="s">
        <v>20</v>
      </c>
      <c r="J199" s="2">
        <v>67.3</v>
      </c>
      <c r="K199" s="3">
        <v>92</v>
      </c>
      <c r="L199" s="1" t="s">
        <v>21</v>
      </c>
    </row>
    <row r="200" spans="1:12" x14ac:dyDescent="0.35">
      <c r="A200">
        <v>199</v>
      </c>
      <c r="B200" s="1" t="s">
        <v>17</v>
      </c>
      <c r="C200" s="2">
        <v>3.8</v>
      </c>
      <c r="D200" s="3">
        <v>89.3</v>
      </c>
      <c r="E200" s="2">
        <v>8.1</v>
      </c>
      <c r="F200" s="1" t="s">
        <v>33</v>
      </c>
      <c r="G200" s="1" t="s">
        <v>19</v>
      </c>
      <c r="H200" s="1" t="s">
        <v>19</v>
      </c>
      <c r="I200" s="1" t="s">
        <v>20</v>
      </c>
      <c r="J200" s="2">
        <v>57.5</v>
      </c>
      <c r="K200" s="3">
        <v>87</v>
      </c>
      <c r="L200" s="1" t="s">
        <v>28</v>
      </c>
    </row>
    <row r="201" spans="1:12" x14ac:dyDescent="0.35">
      <c r="A201">
        <v>200</v>
      </c>
      <c r="B201" s="1" t="s">
        <v>17</v>
      </c>
      <c r="C201" s="2">
        <v>3.9</v>
      </c>
      <c r="D201" s="3">
        <v>91.9</v>
      </c>
      <c r="E201" s="2">
        <v>6</v>
      </c>
      <c r="F201" s="1" t="s">
        <v>18</v>
      </c>
      <c r="G201" s="1" t="s">
        <v>20</v>
      </c>
      <c r="H201" s="1" t="s">
        <v>20</v>
      </c>
      <c r="I201" s="1" t="s">
        <v>20</v>
      </c>
      <c r="J201" s="2">
        <v>91.4</v>
      </c>
      <c r="K201" s="3">
        <v>93</v>
      </c>
      <c r="L201" s="1" t="s">
        <v>21</v>
      </c>
    </row>
    <row r="202" spans="1:12" x14ac:dyDescent="0.35">
      <c r="A202">
        <v>201</v>
      </c>
      <c r="B202" s="1" t="s">
        <v>17</v>
      </c>
      <c r="C202" s="2">
        <v>2.8</v>
      </c>
      <c r="D202" s="3">
        <v>86.8</v>
      </c>
      <c r="E202" s="2">
        <v>5.2</v>
      </c>
      <c r="F202" s="1" t="s">
        <v>24</v>
      </c>
      <c r="G202" s="1" t="s">
        <v>19</v>
      </c>
      <c r="H202" s="1" t="s">
        <v>20</v>
      </c>
      <c r="I202" s="1" t="s">
        <v>19</v>
      </c>
      <c r="J202" s="2">
        <v>90.2</v>
      </c>
      <c r="K202" s="3">
        <v>95</v>
      </c>
      <c r="L202" s="1" t="s">
        <v>21</v>
      </c>
    </row>
    <row r="203" spans="1:12" x14ac:dyDescent="0.35">
      <c r="A203">
        <v>202</v>
      </c>
      <c r="B203" s="1" t="s">
        <v>23</v>
      </c>
      <c r="C203" s="2">
        <v>2.2000000000000002</v>
      </c>
      <c r="D203" s="3">
        <v>81.3</v>
      </c>
      <c r="E203" s="2">
        <v>6.6</v>
      </c>
      <c r="F203" s="1" t="s">
        <v>33</v>
      </c>
      <c r="G203" s="1" t="s">
        <v>19</v>
      </c>
      <c r="H203" s="1" t="s">
        <v>19</v>
      </c>
      <c r="I203" s="1" t="s">
        <v>20</v>
      </c>
      <c r="J203" s="2">
        <v>59.4</v>
      </c>
      <c r="K203" s="3">
        <v>76</v>
      </c>
      <c r="L203" s="1" t="s">
        <v>32</v>
      </c>
    </row>
    <row r="204" spans="1:12" x14ac:dyDescent="0.35">
      <c r="A204">
        <v>203</v>
      </c>
      <c r="B204" s="1" t="s">
        <v>17</v>
      </c>
      <c r="C204" s="2">
        <v>4.7</v>
      </c>
      <c r="D204" s="3">
        <v>76.7</v>
      </c>
      <c r="E204" s="2">
        <v>5.8</v>
      </c>
      <c r="F204" s="1" t="s">
        <v>18</v>
      </c>
      <c r="G204" s="1" t="s">
        <v>19</v>
      </c>
      <c r="H204" s="1" t="s">
        <v>19</v>
      </c>
      <c r="I204" s="1" t="s">
        <v>20</v>
      </c>
      <c r="J204" s="2">
        <v>71.8</v>
      </c>
      <c r="K204" s="3">
        <v>85</v>
      </c>
      <c r="L204" s="1" t="s">
        <v>28</v>
      </c>
    </row>
    <row r="205" spans="1:12" x14ac:dyDescent="0.35">
      <c r="A205">
        <v>204</v>
      </c>
      <c r="B205" s="1" t="s">
        <v>17</v>
      </c>
      <c r="C205" s="2">
        <v>2.2000000000000002</v>
      </c>
      <c r="D205" s="3">
        <v>85.9</v>
      </c>
      <c r="E205" s="2">
        <v>6.7</v>
      </c>
      <c r="F205" s="1" t="s">
        <v>33</v>
      </c>
      <c r="G205" s="1" t="s">
        <v>19</v>
      </c>
      <c r="H205" s="1" t="s">
        <v>19</v>
      </c>
      <c r="I205" s="1" t="s">
        <v>20</v>
      </c>
      <c r="J205" s="2">
        <v>61.8</v>
      </c>
      <c r="K205" s="3">
        <v>77</v>
      </c>
      <c r="L205" s="1" t="s">
        <v>32</v>
      </c>
    </row>
    <row r="206" spans="1:12" x14ac:dyDescent="0.35">
      <c r="A206">
        <v>205</v>
      </c>
      <c r="B206" s="1" t="s">
        <v>23</v>
      </c>
      <c r="C206" s="2">
        <v>3.6</v>
      </c>
      <c r="D206" s="3">
        <v>74.3</v>
      </c>
      <c r="E206" s="2">
        <v>8.3000000000000007</v>
      </c>
      <c r="F206" s="1" t="s">
        <v>33</v>
      </c>
      <c r="G206" s="1" t="s">
        <v>19</v>
      </c>
      <c r="H206" s="1" t="s">
        <v>20</v>
      </c>
      <c r="I206" s="1" t="s">
        <v>20</v>
      </c>
      <c r="J206" s="2">
        <v>77.400000000000006</v>
      </c>
      <c r="K206" s="3">
        <v>87</v>
      </c>
      <c r="L206" s="1" t="s">
        <v>28</v>
      </c>
    </row>
    <row r="207" spans="1:12" x14ac:dyDescent="0.35">
      <c r="A207">
        <v>206</v>
      </c>
      <c r="B207" s="1" t="s">
        <v>17</v>
      </c>
      <c r="C207" s="2">
        <v>2.8</v>
      </c>
      <c r="D207" s="3">
        <v>55.8</v>
      </c>
      <c r="E207" s="2">
        <v>6.3</v>
      </c>
      <c r="F207" s="1" t="s">
        <v>18</v>
      </c>
      <c r="G207" s="1" t="s">
        <v>19</v>
      </c>
      <c r="H207" s="1" t="s">
        <v>19</v>
      </c>
      <c r="I207" s="1" t="s">
        <v>19</v>
      </c>
      <c r="J207" s="2">
        <v>76.099999999999994</v>
      </c>
      <c r="K207" s="3">
        <v>61</v>
      </c>
      <c r="L207" s="1" t="s">
        <v>30</v>
      </c>
    </row>
    <row r="208" spans="1:12" x14ac:dyDescent="0.35">
      <c r="A208">
        <v>207</v>
      </c>
      <c r="B208" s="1" t="s">
        <v>23</v>
      </c>
      <c r="C208" s="2">
        <v>4.2</v>
      </c>
      <c r="D208" s="3">
        <v>89.4</v>
      </c>
      <c r="E208" s="2">
        <v>6.7</v>
      </c>
      <c r="F208" s="1" t="s">
        <v>18</v>
      </c>
      <c r="G208" s="1" t="s">
        <v>19</v>
      </c>
      <c r="H208" s="1" t="s">
        <v>19</v>
      </c>
      <c r="I208" s="1" t="s">
        <v>19</v>
      </c>
      <c r="J208" s="2">
        <v>79.7</v>
      </c>
      <c r="K208" s="3">
        <v>100</v>
      </c>
      <c r="L208" s="1" t="s">
        <v>21</v>
      </c>
    </row>
    <row r="209" spans="1:12" x14ac:dyDescent="0.35">
      <c r="A209">
        <v>208</v>
      </c>
      <c r="B209" s="1" t="s">
        <v>23</v>
      </c>
      <c r="C209" s="2">
        <v>4</v>
      </c>
      <c r="D209" s="3">
        <v>94</v>
      </c>
      <c r="E209" s="2">
        <v>6.9</v>
      </c>
      <c r="F209" s="1" t="s">
        <v>24</v>
      </c>
      <c r="G209" s="1" t="s">
        <v>20</v>
      </c>
      <c r="H209" s="1" t="s">
        <v>19</v>
      </c>
      <c r="I209" s="1" t="s">
        <v>20</v>
      </c>
      <c r="J209" s="2">
        <v>74</v>
      </c>
      <c r="K209" s="3">
        <v>91</v>
      </c>
      <c r="L209" s="1" t="s">
        <v>21</v>
      </c>
    </row>
    <row r="210" spans="1:12" x14ac:dyDescent="0.35">
      <c r="A210">
        <v>209</v>
      </c>
      <c r="B210" s="1" t="s">
        <v>23</v>
      </c>
      <c r="C210" s="2">
        <v>5.0999999999999996</v>
      </c>
      <c r="D210" s="3">
        <v>61.4</v>
      </c>
      <c r="E210" s="2">
        <v>7.8</v>
      </c>
      <c r="F210" s="1" t="s">
        <v>24</v>
      </c>
      <c r="G210" s="1" t="s">
        <v>19</v>
      </c>
      <c r="H210" s="1" t="s">
        <v>19</v>
      </c>
      <c r="I210" s="1" t="s">
        <v>19</v>
      </c>
      <c r="J210" s="2">
        <v>100</v>
      </c>
      <c r="K210" s="3">
        <v>96</v>
      </c>
      <c r="L210" s="1" t="s">
        <v>21</v>
      </c>
    </row>
    <row r="211" spans="1:12" x14ac:dyDescent="0.35">
      <c r="A211">
        <v>210</v>
      </c>
      <c r="B211" s="1" t="s">
        <v>17</v>
      </c>
      <c r="C211" s="2">
        <v>2.7</v>
      </c>
      <c r="D211" s="3">
        <v>74.900000000000006</v>
      </c>
      <c r="E211" s="2">
        <v>4.0999999999999996</v>
      </c>
      <c r="F211" s="1" t="s">
        <v>18</v>
      </c>
      <c r="G211" s="1" t="s">
        <v>19</v>
      </c>
      <c r="H211" s="1" t="s">
        <v>20</v>
      </c>
      <c r="I211" s="1" t="s">
        <v>20</v>
      </c>
      <c r="J211" s="2">
        <v>57.7</v>
      </c>
      <c r="K211" s="3">
        <v>73</v>
      </c>
      <c r="L211" s="1" t="s">
        <v>32</v>
      </c>
    </row>
    <row r="212" spans="1:12" x14ac:dyDescent="0.35">
      <c r="A212">
        <v>211</v>
      </c>
      <c r="B212" s="1" t="s">
        <v>17</v>
      </c>
      <c r="C212" s="2">
        <v>3.1</v>
      </c>
      <c r="D212" s="3">
        <v>91.2</v>
      </c>
      <c r="E212" s="2">
        <v>6.1</v>
      </c>
      <c r="F212" s="1" t="s">
        <v>18</v>
      </c>
      <c r="G212" s="1" t="s">
        <v>19</v>
      </c>
      <c r="H212" s="1" t="s">
        <v>19</v>
      </c>
      <c r="I212" s="1" t="s">
        <v>20</v>
      </c>
      <c r="J212" s="2">
        <v>49.5</v>
      </c>
      <c r="K212" s="3">
        <v>81</v>
      </c>
      <c r="L212" s="1" t="s">
        <v>28</v>
      </c>
    </row>
    <row r="213" spans="1:12" x14ac:dyDescent="0.35">
      <c r="A213">
        <v>212</v>
      </c>
      <c r="B213" s="1" t="s">
        <v>17</v>
      </c>
      <c r="C213" s="2">
        <v>2</v>
      </c>
      <c r="D213" s="3">
        <v>100</v>
      </c>
      <c r="E213" s="2">
        <v>7.1</v>
      </c>
      <c r="F213" s="1" t="s">
        <v>18</v>
      </c>
      <c r="G213" s="1" t="s">
        <v>19</v>
      </c>
      <c r="H213" s="1" t="s">
        <v>19</v>
      </c>
      <c r="I213" s="1" t="s">
        <v>20</v>
      </c>
      <c r="J213" s="2">
        <v>65.3</v>
      </c>
      <c r="K213" s="3">
        <v>82</v>
      </c>
      <c r="L213" s="1" t="s">
        <v>28</v>
      </c>
    </row>
    <row r="214" spans="1:12" x14ac:dyDescent="0.35">
      <c r="A214">
        <v>213</v>
      </c>
      <c r="B214" s="1" t="s">
        <v>17</v>
      </c>
      <c r="C214" s="2">
        <v>2.8</v>
      </c>
      <c r="D214" s="3">
        <v>85.2</v>
      </c>
      <c r="E214" s="2">
        <v>8.1999999999999993</v>
      </c>
      <c r="F214" s="1" t="s">
        <v>24</v>
      </c>
      <c r="G214" s="1" t="s">
        <v>19</v>
      </c>
      <c r="H214" s="1" t="s">
        <v>19</v>
      </c>
      <c r="I214" s="1" t="s">
        <v>19</v>
      </c>
      <c r="J214" s="2">
        <v>51.2</v>
      </c>
      <c r="K214" s="3">
        <v>70</v>
      </c>
      <c r="L214" s="1" t="s">
        <v>32</v>
      </c>
    </row>
    <row r="215" spans="1:12" x14ac:dyDescent="0.35">
      <c r="A215">
        <v>214</v>
      </c>
      <c r="B215" s="1" t="s">
        <v>17</v>
      </c>
      <c r="C215" s="2">
        <v>4.0999999999999996</v>
      </c>
      <c r="D215" s="3">
        <v>77.7</v>
      </c>
      <c r="E215" s="2">
        <v>6.2</v>
      </c>
      <c r="F215" s="1" t="s">
        <v>24</v>
      </c>
      <c r="G215" s="1" t="s">
        <v>19</v>
      </c>
      <c r="H215" s="1" t="s">
        <v>19</v>
      </c>
      <c r="I215" s="1" t="s">
        <v>19</v>
      </c>
      <c r="J215" s="2">
        <v>52.1</v>
      </c>
      <c r="K215" s="3">
        <v>79</v>
      </c>
      <c r="L215" s="1" t="s">
        <v>32</v>
      </c>
    </row>
    <row r="216" spans="1:12" x14ac:dyDescent="0.35">
      <c r="A216">
        <v>215</v>
      </c>
      <c r="B216" s="1" t="s">
        <v>17</v>
      </c>
      <c r="C216" s="2">
        <v>4.5999999999999996</v>
      </c>
      <c r="D216" s="3">
        <v>83.2</v>
      </c>
      <c r="E216" s="2">
        <v>4.5</v>
      </c>
      <c r="F216" s="1" t="s">
        <v>18</v>
      </c>
      <c r="G216" s="1" t="s">
        <v>19</v>
      </c>
      <c r="H216" s="1" t="s">
        <v>19</v>
      </c>
      <c r="I216" s="1" t="s">
        <v>20</v>
      </c>
      <c r="J216" s="2">
        <v>58</v>
      </c>
      <c r="K216" s="3">
        <v>85</v>
      </c>
      <c r="L216" s="1" t="s">
        <v>28</v>
      </c>
    </row>
    <row r="217" spans="1:12" x14ac:dyDescent="0.35">
      <c r="A217">
        <v>216</v>
      </c>
      <c r="B217" s="1" t="s">
        <v>17</v>
      </c>
      <c r="C217" s="2">
        <v>2.1</v>
      </c>
      <c r="D217" s="3">
        <v>98.7</v>
      </c>
      <c r="E217" s="2">
        <v>7.5</v>
      </c>
      <c r="F217" s="1" t="s">
        <v>24</v>
      </c>
      <c r="G217" s="1" t="s">
        <v>19</v>
      </c>
      <c r="H217" s="1" t="s">
        <v>20</v>
      </c>
      <c r="I217" s="1" t="s">
        <v>20</v>
      </c>
      <c r="J217" s="2">
        <v>58.9</v>
      </c>
      <c r="K217" s="3">
        <v>75</v>
      </c>
      <c r="L217" s="1" t="s">
        <v>32</v>
      </c>
    </row>
    <row r="218" spans="1:12" x14ac:dyDescent="0.35">
      <c r="A218">
        <v>217</v>
      </c>
      <c r="B218" s="1" t="s">
        <v>23</v>
      </c>
      <c r="C218" s="2">
        <v>4.8</v>
      </c>
      <c r="D218" s="3">
        <v>78.5</v>
      </c>
      <c r="E218" s="2">
        <v>6</v>
      </c>
      <c r="F218" s="1" t="s">
        <v>33</v>
      </c>
      <c r="G218" s="1" t="s">
        <v>19</v>
      </c>
      <c r="H218" s="1" t="s">
        <v>20</v>
      </c>
      <c r="I218" s="1" t="s">
        <v>20</v>
      </c>
      <c r="J218" s="2">
        <v>58.5</v>
      </c>
      <c r="K218" s="3">
        <v>91</v>
      </c>
      <c r="L218" s="1" t="s">
        <v>21</v>
      </c>
    </row>
    <row r="219" spans="1:12" x14ac:dyDescent="0.35">
      <c r="A219">
        <v>218</v>
      </c>
      <c r="B219" s="1" t="s">
        <v>17</v>
      </c>
      <c r="C219" s="2">
        <v>5.5</v>
      </c>
      <c r="D219" s="3">
        <v>77</v>
      </c>
      <c r="E219" s="2">
        <v>5.4</v>
      </c>
      <c r="F219" s="1" t="s">
        <v>24</v>
      </c>
      <c r="G219" s="1" t="s">
        <v>19</v>
      </c>
      <c r="H219" s="1" t="s">
        <v>20</v>
      </c>
      <c r="I219" s="1" t="s">
        <v>20</v>
      </c>
      <c r="J219" s="2">
        <v>76.2</v>
      </c>
      <c r="K219" s="3">
        <v>93</v>
      </c>
      <c r="L219" s="1" t="s">
        <v>21</v>
      </c>
    </row>
    <row r="220" spans="1:12" x14ac:dyDescent="0.35">
      <c r="A220">
        <v>219</v>
      </c>
      <c r="B220" s="1" t="s">
        <v>23</v>
      </c>
      <c r="C220" s="2">
        <v>4.0999999999999996</v>
      </c>
      <c r="D220" s="3">
        <v>80.2</v>
      </c>
      <c r="E220" s="2">
        <v>6.1</v>
      </c>
      <c r="F220" s="1" t="s">
        <v>18</v>
      </c>
      <c r="G220" s="1" t="s">
        <v>19</v>
      </c>
      <c r="H220" s="1" t="s">
        <v>20</v>
      </c>
      <c r="I220" s="1" t="s">
        <v>20</v>
      </c>
      <c r="J220" s="2">
        <v>63.9</v>
      </c>
      <c r="K220" s="3">
        <v>87</v>
      </c>
      <c r="L220" s="1" t="s">
        <v>28</v>
      </c>
    </row>
    <row r="221" spans="1:12" x14ac:dyDescent="0.35">
      <c r="A221">
        <v>220</v>
      </c>
      <c r="B221" s="1" t="s">
        <v>17</v>
      </c>
      <c r="C221" s="2">
        <v>6.3</v>
      </c>
      <c r="D221" s="3">
        <v>75.5</v>
      </c>
      <c r="E221" s="2">
        <v>6.6</v>
      </c>
      <c r="F221" s="1" t="s">
        <v>27</v>
      </c>
      <c r="G221" s="1" t="s">
        <v>19</v>
      </c>
      <c r="H221" s="1" t="s">
        <v>20</v>
      </c>
      <c r="I221" s="1" t="s">
        <v>20</v>
      </c>
      <c r="J221" s="2">
        <v>67.8</v>
      </c>
      <c r="K221" s="3">
        <v>100</v>
      </c>
      <c r="L221" s="1" t="s">
        <v>21</v>
      </c>
    </row>
    <row r="222" spans="1:12" x14ac:dyDescent="0.35">
      <c r="A222">
        <v>221</v>
      </c>
      <c r="B222" s="1" t="s">
        <v>17</v>
      </c>
      <c r="C222" s="2">
        <v>2.2999999999999998</v>
      </c>
      <c r="D222" s="3">
        <v>86.2</v>
      </c>
      <c r="E222" s="2">
        <v>6.1</v>
      </c>
      <c r="F222" s="1" t="s">
        <v>24</v>
      </c>
      <c r="G222" s="1" t="s">
        <v>19</v>
      </c>
      <c r="H222" s="1" t="s">
        <v>19</v>
      </c>
      <c r="I222" s="1" t="s">
        <v>20</v>
      </c>
      <c r="J222" s="2">
        <v>80.7</v>
      </c>
      <c r="K222" s="3">
        <v>84</v>
      </c>
      <c r="L222" s="1" t="s">
        <v>28</v>
      </c>
    </row>
    <row r="223" spans="1:12" x14ac:dyDescent="0.35">
      <c r="A223">
        <v>222</v>
      </c>
      <c r="B223" s="1" t="s">
        <v>17</v>
      </c>
      <c r="C223" s="2">
        <v>1.6</v>
      </c>
      <c r="D223" s="3">
        <v>100</v>
      </c>
      <c r="E223" s="2">
        <v>4.2</v>
      </c>
      <c r="F223" s="1" t="s">
        <v>18</v>
      </c>
      <c r="G223" s="1" t="s">
        <v>20</v>
      </c>
      <c r="H223" s="1" t="s">
        <v>20</v>
      </c>
      <c r="I223" s="1" t="s">
        <v>20</v>
      </c>
      <c r="J223" s="2">
        <v>60.8</v>
      </c>
      <c r="K223" s="3">
        <v>72</v>
      </c>
      <c r="L223" s="1" t="s">
        <v>32</v>
      </c>
    </row>
    <row r="224" spans="1:12" x14ac:dyDescent="0.35">
      <c r="A224">
        <v>223</v>
      </c>
      <c r="B224" s="1" t="s">
        <v>23</v>
      </c>
      <c r="C224" s="2">
        <v>0.8</v>
      </c>
      <c r="D224" s="3">
        <v>88.2</v>
      </c>
      <c r="E224" s="2">
        <v>7.9</v>
      </c>
      <c r="F224" s="1" t="s">
        <v>24</v>
      </c>
      <c r="G224" s="1" t="s">
        <v>20</v>
      </c>
      <c r="H224" s="1" t="s">
        <v>20</v>
      </c>
      <c r="I224" s="1" t="s">
        <v>19</v>
      </c>
      <c r="J224" s="2">
        <v>66.8</v>
      </c>
      <c r="K224" s="3">
        <v>71</v>
      </c>
      <c r="L224" s="1" t="s">
        <v>32</v>
      </c>
    </row>
    <row r="225" spans="1:12" x14ac:dyDescent="0.35">
      <c r="A225">
        <v>224</v>
      </c>
      <c r="B225" s="1" t="s">
        <v>23</v>
      </c>
      <c r="C225" s="2">
        <v>5.7</v>
      </c>
      <c r="D225" s="3">
        <v>82.5</v>
      </c>
      <c r="E225" s="2">
        <v>8.3000000000000007</v>
      </c>
      <c r="F225" s="1" t="s">
        <v>18</v>
      </c>
      <c r="G225" s="1" t="s">
        <v>19</v>
      </c>
      <c r="H225" s="1" t="s">
        <v>20</v>
      </c>
      <c r="I225" s="1" t="s">
        <v>19</v>
      </c>
      <c r="J225" s="2">
        <v>74.400000000000006</v>
      </c>
      <c r="K225" s="3">
        <v>90</v>
      </c>
      <c r="L225" s="1" t="s">
        <v>28</v>
      </c>
    </row>
    <row r="226" spans="1:12" x14ac:dyDescent="0.35">
      <c r="A226">
        <v>225</v>
      </c>
      <c r="B226" s="1" t="s">
        <v>23</v>
      </c>
      <c r="C226" s="2">
        <v>4.5</v>
      </c>
      <c r="D226" s="3">
        <v>82.1</v>
      </c>
      <c r="E226" s="2">
        <v>7.6</v>
      </c>
      <c r="F226" s="1" t="s">
        <v>18</v>
      </c>
      <c r="G226" s="1" t="s">
        <v>19</v>
      </c>
      <c r="H226" s="1" t="s">
        <v>19</v>
      </c>
      <c r="I226" s="1" t="s">
        <v>20</v>
      </c>
      <c r="J226" s="2">
        <v>46.7</v>
      </c>
      <c r="K226" s="3">
        <v>81</v>
      </c>
      <c r="L226" s="1" t="s">
        <v>28</v>
      </c>
    </row>
    <row r="227" spans="1:12" x14ac:dyDescent="0.35">
      <c r="A227">
        <v>226</v>
      </c>
      <c r="B227" s="1" t="s">
        <v>23</v>
      </c>
      <c r="C227" s="2">
        <v>3.4</v>
      </c>
      <c r="D227" s="3">
        <v>69.400000000000006</v>
      </c>
      <c r="E227" s="2">
        <v>5.4</v>
      </c>
      <c r="F227" s="1" t="s">
        <v>18</v>
      </c>
      <c r="G227" s="1" t="s">
        <v>19</v>
      </c>
      <c r="H227" s="1" t="s">
        <v>19</v>
      </c>
      <c r="I227" s="1" t="s">
        <v>20</v>
      </c>
      <c r="J227" s="2">
        <v>41.4</v>
      </c>
      <c r="K227" s="3">
        <v>67</v>
      </c>
      <c r="L227" s="1" t="s">
        <v>30</v>
      </c>
    </row>
    <row r="228" spans="1:12" x14ac:dyDescent="0.35">
      <c r="A228">
        <v>227</v>
      </c>
      <c r="B228" s="1" t="s">
        <v>17</v>
      </c>
      <c r="C228" s="2">
        <v>3.9</v>
      </c>
      <c r="D228" s="3">
        <v>93.8</v>
      </c>
      <c r="E228" s="2">
        <v>6.6</v>
      </c>
      <c r="F228" s="1" t="s">
        <v>18</v>
      </c>
      <c r="G228" s="1" t="s">
        <v>19</v>
      </c>
      <c r="H228" s="1" t="s">
        <v>20</v>
      </c>
      <c r="I228" s="1" t="s">
        <v>19</v>
      </c>
      <c r="J228" s="2">
        <v>74.2</v>
      </c>
      <c r="K228" s="3">
        <v>82</v>
      </c>
      <c r="L228" s="1" t="s">
        <v>28</v>
      </c>
    </row>
    <row r="229" spans="1:12" x14ac:dyDescent="0.35">
      <c r="A229">
        <v>228</v>
      </c>
      <c r="B229" s="1" t="s">
        <v>23</v>
      </c>
      <c r="C229" s="2">
        <v>1.8</v>
      </c>
      <c r="D229" s="3">
        <v>84.2</v>
      </c>
      <c r="E229" s="2">
        <v>6.8</v>
      </c>
      <c r="F229" s="1" t="s">
        <v>34</v>
      </c>
      <c r="G229" s="1" t="s">
        <v>19</v>
      </c>
      <c r="H229" s="1" t="s">
        <v>20</v>
      </c>
      <c r="I229" s="1" t="s">
        <v>19</v>
      </c>
      <c r="J229" s="2">
        <v>75.900000000000006</v>
      </c>
      <c r="K229" s="3">
        <v>90</v>
      </c>
      <c r="L229" s="1" t="s">
        <v>21</v>
      </c>
    </row>
    <row r="230" spans="1:12" x14ac:dyDescent="0.35">
      <c r="A230">
        <v>229</v>
      </c>
      <c r="B230" s="1" t="s">
        <v>17</v>
      </c>
      <c r="C230" s="2">
        <v>7.2</v>
      </c>
      <c r="D230" s="3">
        <v>83.2</v>
      </c>
      <c r="E230" s="2">
        <v>7.5</v>
      </c>
      <c r="F230" s="1" t="s">
        <v>24</v>
      </c>
      <c r="G230" s="1" t="s">
        <v>19</v>
      </c>
      <c r="H230" s="1" t="s">
        <v>20</v>
      </c>
      <c r="I230" s="1" t="s">
        <v>20</v>
      </c>
      <c r="J230" s="2">
        <v>94.8</v>
      </c>
      <c r="K230" s="3">
        <v>100</v>
      </c>
      <c r="L230" s="1" t="s">
        <v>21</v>
      </c>
    </row>
    <row r="231" spans="1:12" x14ac:dyDescent="0.35">
      <c r="A231">
        <v>230</v>
      </c>
      <c r="B231" s="1" t="s">
        <v>17</v>
      </c>
      <c r="C231" s="2">
        <v>3.7</v>
      </c>
      <c r="D231" s="3">
        <v>100</v>
      </c>
      <c r="E231" s="2">
        <v>7.6</v>
      </c>
      <c r="F231" s="1" t="s">
        <v>24</v>
      </c>
      <c r="G231" s="1" t="s">
        <v>19</v>
      </c>
      <c r="H231" s="1" t="s">
        <v>19</v>
      </c>
      <c r="I231" s="1" t="s">
        <v>19</v>
      </c>
      <c r="J231" s="2">
        <v>71.900000000000006</v>
      </c>
      <c r="K231" s="3">
        <v>83</v>
      </c>
      <c r="L231" s="1" t="s">
        <v>28</v>
      </c>
    </row>
    <row r="232" spans="1:12" x14ac:dyDescent="0.35">
      <c r="A232">
        <v>231</v>
      </c>
      <c r="B232" s="1" t="s">
        <v>23</v>
      </c>
      <c r="C232" s="2">
        <v>3.7</v>
      </c>
      <c r="D232" s="3">
        <v>88</v>
      </c>
      <c r="E232" s="2">
        <v>5.9</v>
      </c>
      <c r="F232" s="1" t="s">
        <v>34</v>
      </c>
      <c r="G232" s="1" t="s">
        <v>19</v>
      </c>
      <c r="H232" s="1" t="s">
        <v>19</v>
      </c>
      <c r="I232" s="1" t="s">
        <v>20</v>
      </c>
      <c r="J232" s="2">
        <v>79.8</v>
      </c>
      <c r="K232" s="3">
        <v>98</v>
      </c>
      <c r="L232" s="1" t="s">
        <v>21</v>
      </c>
    </row>
    <row r="233" spans="1:12" x14ac:dyDescent="0.35">
      <c r="A233">
        <v>232</v>
      </c>
      <c r="B233" s="1" t="s">
        <v>23</v>
      </c>
      <c r="C233" s="2">
        <v>4.5999999999999996</v>
      </c>
      <c r="D233" s="3">
        <v>77.5</v>
      </c>
      <c r="E233" s="2">
        <v>6.9</v>
      </c>
      <c r="F233" s="1" t="s">
        <v>18</v>
      </c>
      <c r="G233" s="1" t="s">
        <v>19</v>
      </c>
      <c r="H233" s="1" t="s">
        <v>19</v>
      </c>
      <c r="I233" s="1" t="s">
        <v>20</v>
      </c>
      <c r="J233" s="2">
        <v>67.7</v>
      </c>
      <c r="K233" s="3">
        <v>92</v>
      </c>
      <c r="L233" s="1" t="s">
        <v>21</v>
      </c>
    </row>
    <row r="234" spans="1:12" x14ac:dyDescent="0.35">
      <c r="A234">
        <v>233</v>
      </c>
      <c r="B234" s="1" t="s">
        <v>23</v>
      </c>
      <c r="C234" s="2">
        <v>4.2</v>
      </c>
      <c r="D234" s="3">
        <v>80.7</v>
      </c>
      <c r="E234" s="2">
        <v>7.3</v>
      </c>
      <c r="F234" s="1" t="s">
        <v>34</v>
      </c>
      <c r="G234" s="1" t="s">
        <v>19</v>
      </c>
      <c r="H234" s="1" t="s">
        <v>20</v>
      </c>
      <c r="I234" s="1" t="s">
        <v>20</v>
      </c>
      <c r="J234" s="2">
        <v>73.599999999999994</v>
      </c>
      <c r="K234" s="3">
        <v>82</v>
      </c>
      <c r="L234" s="1" t="s">
        <v>28</v>
      </c>
    </row>
    <row r="235" spans="1:12" x14ac:dyDescent="0.35">
      <c r="A235">
        <v>234</v>
      </c>
      <c r="B235" s="1" t="s">
        <v>23</v>
      </c>
      <c r="C235" s="2">
        <v>3.8</v>
      </c>
      <c r="D235" s="3">
        <v>96.5</v>
      </c>
      <c r="E235" s="2">
        <v>8.5</v>
      </c>
      <c r="F235" s="1" t="s">
        <v>18</v>
      </c>
      <c r="G235" s="1" t="s">
        <v>19</v>
      </c>
      <c r="H235" s="1" t="s">
        <v>19</v>
      </c>
      <c r="I235" s="1" t="s">
        <v>20</v>
      </c>
      <c r="J235" s="2">
        <v>90</v>
      </c>
      <c r="K235" s="3">
        <v>100</v>
      </c>
      <c r="L235" s="1" t="s">
        <v>21</v>
      </c>
    </row>
    <row r="236" spans="1:12" x14ac:dyDescent="0.35">
      <c r="A236">
        <v>235</v>
      </c>
      <c r="B236" s="1" t="s">
        <v>23</v>
      </c>
      <c r="C236" s="2">
        <v>2.2999999999999998</v>
      </c>
      <c r="D236" s="3">
        <v>86.1</v>
      </c>
      <c r="E236" s="2">
        <v>7.6</v>
      </c>
      <c r="F236" s="1" t="s">
        <v>33</v>
      </c>
      <c r="G236" s="1" t="s">
        <v>19</v>
      </c>
      <c r="H236" s="1" t="s">
        <v>19</v>
      </c>
      <c r="I236" s="1" t="s">
        <v>20</v>
      </c>
      <c r="J236" s="2">
        <v>44.5</v>
      </c>
      <c r="K236" s="3">
        <v>80</v>
      </c>
      <c r="L236" s="1" t="s">
        <v>28</v>
      </c>
    </row>
    <row r="237" spans="1:12" x14ac:dyDescent="0.35">
      <c r="A237">
        <v>236</v>
      </c>
      <c r="B237" s="1" t="s">
        <v>23</v>
      </c>
      <c r="C237" s="2">
        <v>4.2</v>
      </c>
      <c r="D237" s="3">
        <v>70.599999999999994</v>
      </c>
      <c r="E237" s="2">
        <v>7.7</v>
      </c>
      <c r="F237" s="1" t="s">
        <v>18</v>
      </c>
      <c r="G237" s="1" t="s">
        <v>19</v>
      </c>
      <c r="H237" s="1" t="s">
        <v>20</v>
      </c>
      <c r="I237" s="1" t="s">
        <v>20</v>
      </c>
      <c r="J237" s="2">
        <v>75</v>
      </c>
      <c r="K237" s="3">
        <v>86</v>
      </c>
      <c r="L237" s="1" t="s">
        <v>28</v>
      </c>
    </row>
    <row r="238" spans="1:12" x14ac:dyDescent="0.35">
      <c r="A238">
        <v>237</v>
      </c>
      <c r="B238" s="1" t="s">
        <v>23</v>
      </c>
      <c r="C238" s="2">
        <v>6.3</v>
      </c>
      <c r="D238" s="3">
        <v>94.2</v>
      </c>
      <c r="E238" s="2">
        <v>6.9</v>
      </c>
      <c r="F238" s="1" t="s">
        <v>33</v>
      </c>
      <c r="G238" s="1" t="s">
        <v>19</v>
      </c>
      <c r="H238" s="1" t="s">
        <v>19</v>
      </c>
      <c r="I238" s="1" t="s">
        <v>20</v>
      </c>
      <c r="J238" s="2">
        <v>95.6</v>
      </c>
      <c r="K238" s="3">
        <v>100</v>
      </c>
      <c r="L238" s="1" t="s">
        <v>21</v>
      </c>
    </row>
    <row r="239" spans="1:12" x14ac:dyDescent="0.35">
      <c r="A239">
        <v>238</v>
      </c>
      <c r="B239" s="1" t="s">
        <v>23</v>
      </c>
      <c r="C239" s="2">
        <v>5.5</v>
      </c>
      <c r="D239" s="3">
        <v>78.3</v>
      </c>
      <c r="E239" s="2">
        <v>8.5</v>
      </c>
      <c r="F239" s="1" t="s">
        <v>27</v>
      </c>
      <c r="G239" s="1" t="s">
        <v>19</v>
      </c>
      <c r="H239" s="1" t="s">
        <v>20</v>
      </c>
      <c r="I239" s="1" t="s">
        <v>20</v>
      </c>
      <c r="J239" s="2">
        <v>73.400000000000006</v>
      </c>
      <c r="K239" s="3">
        <v>84</v>
      </c>
      <c r="L239" s="1" t="s">
        <v>28</v>
      </c>
    </row>
    <row r="240" spans="1:12" x14ac:dyDescent="0.35">
      <c r="A240">
        <v>239</v>
      </c>
      <c r="B240" s="1" t="s">
        <v>17</v>
      </c>
      <c r="C240" s="2">
        <v>5.9</v>
      </c>
      <c r="D240" s="3">
        <v>100</v>
      </c>
      <c r="E240" s="2">
        <v>7.3</v>
      </c>
      <c r="F240" s="1" t="s">
        <v>18</v>
      </c>
      <c r="G240" s="1" t="s">
        <v>19</v>
      </c>
      <c r="H240" s="1" t="s">
        <v>19</v>
      </c>
      <c r="I240" s="1" t="s">
        <v>20</v>
      </c>
      <c r="J240" s="2">
        <v>89.8</v>
      </c>
      <c r="K240" s="3">
        <v>100</v>
      </c>
      <c r="L240" s="1" t="s">
        <v>21</v>
      </c>
    </row>
    <row r="241" spans="1:12" x14ac:dyDescent="0.35">
      <c r="A241">
        <v>240</v>
      </c>
      <c r="B241" s="1" t="s">
        <v>23</v>
      </c>
      <c r="C241" s="2">
        <v>2.7</v>
      </c>
      <c r="D241" s="3">
        <v>95.8</v>
      </c>
      <c r="E241" s="2">
        <v>5.8</v>
      </c>
      <c r="F241" s="1" t="s">
        <v>24</v>
      </c>
      <c r="G241" s="1" t="s">
        <v>19</v>
      </c>
      <c r="H241" s="1" t="s">
        <v>20</v>
      </c>
      <c r="I241" s="1" t="s">
        <v>19</v>
      </c>
      <c r="J241" s="2">
        <v>62.4</v>
      </c>
      <c r="K241" s="3">
        <v>85</v>
      </c>
      <c r="L241" s="1" t="s">
        <v>28</v>
      </c>
    </row>
    <row r="242" spans="1:12" x14ac:dyDescent="0.35">
      <c r="A242">
        <v>241</v>
      </c>
      <c r="B242" s="1" t="s">
        <v>23</v>
      </c>
      <c r="C242" s="2">
        <v>2</v>
      </c>
      <c r="D242" s="3">
        <v>80.5</v>
      </c>
      <c r="E242" s="2">
        <v>8.5</v>
      </c>
      <c r="F242" s="1" t="s">
        <v>24</v>
      </c>
      <c r="G242" s="1" t="s">
        <v>19</v>
      </c>
      <c r="H242" s="1" t="s">
        <v>20</v>
      </c>
      <c r="I242" s="1" t="s">
        <v>19</v>
      </c>
      <c r="J242" s="2">
        <v>69.599999999999994</v>
      </c>
      <c r="K242" s="3">
        <v>81</v>
      </c>
      <c r="L242" s="1" t="s">
        <v>28</v>
      </c>
    </row>
    <row r="243" spans="1:12" x14ac:dyDescent="0.35">
      <c r="A243">
        <v>242</v>
      </c>
      <c r="B243" s="1" t="s">
        <v>17</v>
      </c>
      <c r="C243" s="2">
        <v>3.3</v>
      </c>
      <c r="D243" s="3">
        <v>97.8</v>
      </c>
      <c r="E243" s="2">
        <v>7.6</v>
      </c>
      <c r="F243" s="1" t="s">
        <v>24</v>
      </c>
      <c r="G243" s="1" t="s">
        <v>19</v>
      </c>
      <c r="H243" s="1" t="s">
        <v>20</v>
      </c>
      <c r="I243" s="1" t="s">
        <v>19</v>
      </c>
      <c r="J243" s="2">
        <v>70.400000000000006</v>
      </c>
      <c r="K243" s="3">
        <v>85</v>
      </c>
      <c r="L243" s="1" t="s">
        <v>28</v>
      </c>
    </row>
    <row r="244" spans="1:12" x14ac:dyDescent="0.35">
      <c r="A244">
        <v>243</v>
      </c>
      <c r="B244" s="1" t="s">
        <v>23</v>
      </c>
      <c r="C244" s="2">
        <v>3.6</v>
      </c>
      <c r="D244" s="3">
        <v>85.7</v>
      </c>
      <c r="E244" s="2">
        <v>6.3</v>
      </c>
      <c r="F244" s="1" t="s">
        <v>24</v>
      </c>
      <c r="G244" s="1" t="s">
        <v>19</v>
      </c>
      <c r="H244" s="1" t="s">
        <v>20</v>
      </c>
      <c r="I244" s="1" t="s">
        <v>19</v>
      </c>
      <c r="J244" s="2">
        <v>43.4</v>
      </c>
      <c r="K244" s="3">
        <v>69</v>
      </c>
      <c r="L244" s="1" t="s">
        <v>30</v>
      </c>
    </row>
    <row r="245" spans="1:12" x14ac:dyDescent="0.35">
      <c r="A245">
        <v>244</v>
      </c>
      <c r="B245" s="1" t="s">
        <v>17</v>
      </c>
      <c r="C245" s="2">
        <v>5.0999999999999996</v>
      </c>
      <c r="D245" s="3">
        <v>93.5</v>
      </c>
      <c r="E245" s="2">
        <v>6.2</v>
      </c>
      <c r="F245" s="1" t="s">
        <v>24</v>
      </c>
      <c r="G245" s="1" t="s">
        <v>19</v>
      </c>
      <c r="H245" s="1" t="s">
        <v>19</v>
      </c>
      <c r="I245" s="1" t="s">
        <v>20</v>
      </c>
      <c r="J245" s="2">
        <v>56</v>
      </c>
      <c r="K245" s="3">
        <v>92</v>
      </c>
      <c r="L245" s="1" t="s">
        <v>21</v>
      </c>
    </row>
    <row r="246" spans="1:12" x14ac:dyDescent="0.35">
      <c r="A246">
        <v>245</v>
      </c>
      <c r="B246" s="1" t="s">
        <v>17</v>
      </c>
      <c r="C246" s="2">
        <v>1</v>
      </c>
      <c r="D246" s="3">
        <v>89.8</v>
      </c>
      <c r="E246" s="2">
        <v>7.2</v>
      </c>
      <c r="F246" s="1" t="s">
        <v>18</v>
      </c>
      <c r="G246" s="1" t="s">
        <v>19</v>
      </c>
      <c r="H246" s="1" t="s">
        <v>19</v>
      </c>
      <c r="I246" s="1" t="s">
        <v>20</v>
      </c>
      <c r="J246" s="2">
        <v>56.8</v>
      </c>
      <c r="K246" s="3">
        <v>76</v>
      </c>
      <c r="L246" s="1" t="s">
        <v>32</v>
      </c>
    </row>
    <row r="247" spans="1:12" x14ac:dyDescent="0.35">
      <c r="A247">
        <v>246</v>
      </c>
      <c r="B247" s="1" t="s">
        <v>23</v>
      </c>
      <c r="C247" s="2">
        <v>5.8</v>
      </c>
      <c r="D247" s="3">
        <v>76.5</v>
      </c>
      <c r="E247" s="2">
        <v>7.4</v>
      </c>
      <c r="F247" s="1" t="s">
        <v>18</v>
      </c>
      <c r="G247" s="1" t="s">
        <v>19</v>
      </c>
      <c r="H247" s="1" t="s">
        <v>19</v>
      </c>
      <c r="I247" s="1" t="s">
        <v>20</v>
      </c>
      <c r="J247" s="2">
        <v>79.900000000000006</v>
      </c>
      <c r="K247" s="3">
        <v>100</v>
      </c>
      <c r="L247" s="1" t="s">
        <v>21</v>
      </c>
    </row>
    <row r="248" spans="1:12" x14ac:dyDescent="0.35">
      <c r="A248">
        <v>247</v>
      </c>
      <c r="B248" s="1" t="s">
        <v>17</v>
      </c>
      <c r="C248" s="2">
        <v>3.3</v>
      </c>
      <c r="D248" s="3">
        <v>78.599999999999994</v>
      </c>
      <c r="E248" s="2">
        <v>7</v>
      </c>
      <c r="F248" s="1" t="s">
        <v>18</v>
      </c>
      <c r="G248" s="1" t="s">
        <v>19</v>
      </c>
      <c r="H248" s="1" t="s">
        <v>20</v>
      </c>
      <c r="I248" s="1" t="s">
        <v>20</v>
      </c>
      <c r="J248" s="2">
        <v>80.5</v>
      </c>
      <c r="K248" s="3">
        <v>92</v>
      </c>
      <c r="L248" s="1" t="s">
        <v>21</v>
      </c>
    </row>
    <row r="249" spans="1:12" x14ac:dyDescent="0.35">
      <c r="A249">
        <v>248</v>
      </c>
      <c r="B249" s="1" t="s">
        <v>17</v>
      </c>
      <c r="C249" s="2">
        <v>2.9</v>
      </c>
      <c r="D249" s="3">
        <v>95.3</v>
      </c>
      <c r="E249" s="2">
        <v>7.2</v>
      </c>
      <c r="F249" s="1" t="s">
        <v>18</v>
      </c>
      <c r="G249" s="1" t="s">
        <v>20</v>
      </c>
      <c r="H249" s="1" t="s">
        <v>20</v>
      </c>
      <c r="I249" s="1" t="s">
        <v>20</v>
      </c>
      <c r="J249" s="2">
        <v>73.900000000000006</v>
      </c>
      <c r="K249" s="3">
        <v>77</v>
      </c>
      <c r="L249" s="1" t="s">
        <v>32</v>
      </c>
    </row>
    <row r="250" spans="1:12" x14ac:dyDescent="0.35">
      <c r="A250">
        <v>249</v>
      </c>
      <c r="B250" s="1" t="s">
        <v>17</v>
      </c>
      <c r="C250" s="2">
        <v>2</v>
      </c>
      <c r="D250" s="3">
        <v>81.7</v>
      </c>
      <c r="E250" s="2">
        <v>8.8000000000000007</v>
      </c>
      <c r="F250" s="1" t="s">
        <v>24</v>
      </c>
      <c r="G250" s="1" t="s">
        <v>19</v>
      </c>
      <c r="H250" s="1" t="s">
        <v>19</v>
      </c>
      <c r="I250" s="1" t="s">
        <v>20</v>
      </c>
      <c r="J250" s="2">
        <v>79.900000000000006</v>
      </c>
      <c r="K250" s="3">
        <v>83</v>
      </c>
      <c r="L250" s="1" t="s">
        <v>28</v>
      </c>
    </row>
    <row r="251" spans="1:12" x14ac:dyDescent="0.35">
      <c r="A251">
        <v>250</v>
      </c>
      <c r="B251" s="1" t="s">
        <v>17</v>
      </c>
      <c r="C251" s="2">
        <v>1</v>
      </c>
      <c r="D251" s="3">
        <v>81</v>
      </c>
      <c r="E251" s="2">
        <v>8.1</v>
      </c>
      <c r="F251" s="1" t="s">
        <v>24</v>
      </c>
      <c r="G251" s="1" t="s">
        <v>19</v>
      </c>
      <c r="H251" s="1" t="s">
        <v>20</v>
      </c>
      <c r="I251" s="1" t="s">
        <v>20</v>
      </c>
      <c r="J251" s="2">
        <v>68</v>
      </c>
      <c r="K251" s="3">
        <v>67</v>
      </c>
      <c r="L251" s="1" t="s">
        <v>30</v>
      </c>
    </row>
    <row r="252" spans="1:12" x14ac:dyDescent="0.35">
      <c r="A252">
        <v>251</v>
      </c>
      <c r="B252" s="1" t="s">
        <v>23</v>
      </c>
      <c r="C252" s="2">
        <v>4.7</v>
      </c>
      <c r="D252" s="3">
        <v>75.400000000000006</v>
      </c>
      <c r="E252" s="2">
        <v>7</v>
      </c>
      <c r="F252" s="1" t="s">
        <v>24</v>
      </c>
      <c r="G252" s="1" t="s">
        <v>19</v>
      </c>
      <c r="H252" s="1" t="s">
        <v>19</v>
      </c>
      <c r="I252" s="1" t="s">
        <v>19</v>
      </c>
      <c r="J252" s="2">
        <v>84.4</v>
      </c>
      <c r="K252" s="3">
        <v>88</v>
      </c>
      <c r="L252" s="1" t="s">
        <v>28</v>
      </c>
    </row>
    <row r="253" spans="1:12" x14ac:dyDescent="0.35">
      <c r="A253">
        <v>252</v>
      </c>
      <c r="B253" s="1" t="s">
        <v>17</v>
      </c>
      <c r="C253" s="2">
        <v>3.6</v>
      </c>
      <c r="D253" s="3">
        <v>89.2</v>
      </c>
      <c r="E253" s="2">
        <v>7.9</v>
      </c>
      <c r="F253" s="1" t="s">
        <v>18</v>
      </c>
      <c r="G253" s="1" t="s">
        <v>19</v>
      </c>
      <c r="H253" s="1" t="s">
        <v>20</v>
      </c>
      <c r="I253" s="1" t="s">
        <v>19</v>
      </c>
      <c r="J253" s="2">
        <v>70.099999999999994</v>
      </c>
      <c r="K253" s="3">
        <v>91</v>
      </c>
      <c r="L253" s="1" t="s">
        <v>21</v>
      </c>
    </row>
    <row r="254" spans="1:12" x14ac:dyDescent="0.35">
      <c r="A254">
        <v>253</v>
      </c>
      <c r="B254" s="1" t="s">
        <v>23</v>
      </c>
      <c r="C254" s="2">
        <v>1.6</v>
      </c>
      <c r="D254" s="3">
        <v>100</v>
      </c>
      <c r="E254" s="2">
        <v>5.6</v>
      </c>
      <c r="F254" s="1" t="s">
        <v>24</v>
      </c>
      <c r="G254" s="1" t="s">
        <v>20</v>
      </c>
      <c r="H254" s="1" t="s">
        <v>20</v>
      </c>
      <c r="I254" s="1" t="s">
        <v>20</v>
      </c>
      <c r="J254" s="2">
        <v>70.7</v>
      </c>
      <c r="K254" s="3">
        <v>76</v>
      </c>
      <c r="L254" s="1" t="s">
        <v>32</v>
      </c>
    </row>
    <row r="255" spans="1:12" x14ac:dyDescent="0.35">
      <c r="A255">
        <v>254</v>
      </c>
      <c r="B255" s="1" t="s">
        <v>17</v>
      </c>
      <c r="C255" s="2">
        <v>1.6</v>
      </c>
      <c r="D255" s="3">
        <v>74.3</v>
      </c>
      <c r="E255" s="2">
        <v>7.3</v>
      </c>
      <c r="F255" s="1" t="s">
        <v>24</v>
      </c>
      <c r="G255" s="1" t="s">
        <v>19</v>
      </c>
      <c r="H255" s="1" t="s">
        <v>19</v>
      </c>
      <c r="I255" s="1" t="s">
        <v>20</v>
      </c>
      <c r="J255" s="2">
        <v>66.8</v>
      </c>
      <c r="K255" s="3">
        <v>88</v>
      </c>
      <c r="L255" s="1" t="s">
        <v>28</v>
      </c>
    </row>
    <row r="256" spans="1:12" x14ac:dyDescent="0.35">
      <c r="A256">
        <v>255</v>
      </c>
      <c r="B256" s="1" t="s">
        <v>17</v>
      </c>
      <c r="C256" s="2">
        <v>3</v>
      </c>
      <c r="D256" s="3">
        <v>85.2</v>
      </c>
      <c r="E256" s="2">
        <v>9</v>
      </c>
      <c r="F256" s="1" t="s">
        <v>18</v>
      </c>
      <c r="G256" s="1" t="s">
        <v>19</v>
      </c>
      <c r="H256" s="1" t="s">
        <v>19</v>
      </c>
      <c r="I256" s="1" t="s">
        <v>19</v>
      </c>
      <c r="J256" s="2">
        <v>78.2</v>
      </c>
      <c r="K256" s="3">
        <v>88</v>
      </c>
      <c r="L256" s="1" t="s">
        <v>28</v>
      </c>
    </row>
    <row r="257" spans="1:12" x14ac:dyDescent="0.35">
      <c r="A257">
        <v>256</v>
      </c>
      <c r="B257" s="1" t="s">
        <v>17</v>
      </c>
      <c r="C257" s="2">
        <v>6</v>
      </c>
      <c r="D257" s="3">
        <v>99.1</v>
      </c>
      <c r="E257" s="2">
        <v>6.5</v>
      </c>
      <c r="F257" s="1" t="s">
        <v>33</v>
      </c>
      <c r="G257" s="1" t="s">
        <v>19</v>
      </c>
      <c r="H257" s="1" t="s">
        <v>19</v>
      </c>
      <c r="I257" s="1" t="s">
        <v>19</v>
      </c>
      <c r="J257" s="2">
        <v>64.900000000000006</v>
      </c>
      <c r="K257" s="3">
        <v>97</v>
      </c>
      <c r="L257" s="1" t="s">
        <v>21</v>
      </c>
    </row>
    <row r="258" spans="1:12" x14ac:dyDescent="0.35">
      <c r="A258">
        <v>257</v>
      </c>
      <c r="B258" s="1" t="s">
        <v>17</v>
      </c>
      <c r="C258" s="2">
        <v>3.1</v>
      </c>
      <c r="D258" s="3">
        <v>84.2</v>
      </c>
      <c r="E258" s="2">
        <v>5.8</v>
      </c>
      <c r="F258" s="1" t="s">
        <v>24</v>
      </c>
      <c r="G258" s="1" t="s">
        <v>19</v>
      </c>
      <c r="H258" s="1" t="s">
        <v>20</v>
      </c>
      <c r="I258" s="1" t="s">
        <v>20</v>
      </c>
      <c r="J258" s="2">
        <v>81.7</v>
      </c>
      <c r="K258" s="3">
        <v>87</v>
      </c>
      <c r="L258" s="1" t="s">
        <v>28</v>
      </c>
    </row>
    <row r="259" spans="1:12" x14ac:dyDescent="0.35">
      <c r="A259">
        <v>258</v>
      </c>
      <c r="B259" s="1" t="s">
        <v>23</v>
      </c>
      <c r="C259" s="2">
        <v>1.2</v>
      </c>
      <c r="D259" s="3">
        <v>89.5</v>
      </c>
      <c r="E259" s="2">
        <v>6</v>
      </c>
      <c r="F259" s="1" t="s">
        <v>18</v>
      </c>
      <c r="G259" s="1" t="s">
        <v>19</v>
      </c>
      <c r="H259" s="1" t="s">
        <v>19</v>
      </c>
      <c r="I259" s="1" t="s">
        <v>19</v>
      </c>
      <c r="J259" s="2">
        <v>56.4</v>
      </c>
      <c r="K259" s="3">
        <v>64</v>
      </c>
      <c r="L259" s="1" t="s">
        <v>30</v>
      </c>
    </row>
    <row r="260" spans="1:12" x14ac:dyDescent="0.35">
      <c r="A260">
        <v>259</v>
      </c>
      <c r="B260" s="1" t="s">
        <v>23</v>
      </c>
      <c r="C260" s="2">
        <v>3.1</v>
      </c>
      <c r="D260" s="3">
        <v>74.400000000000006</v>
      </c>
      <c r="E260" s="2">
        <v>5.5</v>
      </c>
      <c r="F260" s="1" t="s">
        <v>33</v>
      </c>
      <c r="G260" s="1" t="s">
        <v>19</v>
      </c>
      <c r="H260" s="1" t="s">
        <v>19</v>
      </c>
      <c r="I260" s="1" t="s">
        <v>20</v>
      </c>
      <c r="J260" s="2">
        <v>56.8</v>
      </c>
      <c r="K260" s="3">
        <v>73</v>
      </c>
      <c r="L260" s="1" t="s">
        <v>32</v>
      </c>
    </row>
    <row r="261" spans="1:12" x14ac:dyDescent="0.35">
      <c r="A261">
        <v>260</v>
      </c>
      <c r="B261" s="1" t="s">
        <v>17</v>
      </c>
      <c r="C261" s="2">
        <v>3.1</v>
      </c>
      <c r="D261" s="3">
        <v>89.3</v>
      </c>
      <c r="E261" s="2">
        <v>5.9</v>
      </c>
      <c r="F261" s="1" t="s">
        <v>33</v>
      </c>
      <c r="G261" s="1" t="s">
        <v>19</v>
      </c>
      <c r="H261" s="1" t="s">
        <v>19</v>
      </c>
      <c r="I261" s="1" t="s">
        <v>20</v>
      </c>
      <c r="J261" s="2">
        <v>78.2</v>
      </c>
      <c r="K261" s="3">
        <v>94</v>
      </c>
      <c r="L261" s="1" t="s">
        <v>21</v>
      </c>
    </row>
    <row r="262" spans="1:12" x14ac:dyDescent="0.35">
      <c r="A262">
        <v>261</v>
      </c>
      <c r="B262" s="1" t="s">
        <v>17</v>
      </c>
      <c r="C262" s="2">
        <v>0.5</v>
      </c>
      <c r="D262" s="3">
        <v>83.1</v>
      </c>
      <c r="E262" s="2">
        <v>6.4</v>
      </c>
      <c r="F262" s="1" t="s">
        <v>27</v>
      </c>
      <c r="G262" s="1" t="s">
        <v>19</v>
      </c>
      <c r="H262" s="1" t="s">
        <v>19</v>
      </c>
      <c r="I262" s="1" t="s">
        <v>20</v>
      </c>
      <c r="J262" s="2">
        <v>68.900000000000006</v>
      </c>
      <c r="K262" s="3">
        <v>71</v>
      </c>
      <c r="L262" s="1" t="s">
        <v>32</v>
      </c>
    </row>
    <row r="263" spans="1:12" x14ac:dyDescent="0.35">
      <c r="A263">
        <v>262</v>
      </c>
      <c r="B263" s="1" t="s">
        <v>23</v>
      </c>
      <c r="C263" s="2">
        <v>3.4</v>
      </c>
      <c r="D263" s="3">
        <v>94.9</v>
      </c>
      <c r="E263" s="2">
        <v>5.0999999999999996</v>
      </c>
      <c r="F263" s="1" t="s">
        <v>24</v>
      </c>
      <c r="G263" s="1" t="s">
        <v>19</v>
      </c>
      <c r="H263" s="1" t="s">
        <v>19</v>
      </c>
      <c r="I263" s="1" t="s">
        <v>20</v>
      </c>
      <c r="J263" s="2">
        <v>64.599999999999994</v>
      </c>
      <c r="K263" s="3">
        <v>80</v>
      </c>
      <c r="L263" s="1" t="s">
        <v>32</v>
      </c>
    </row>
    <row r="264" spans="1:12" x14ac:dyDescent="0.35">
      <c r="A264">
        <v>263</v>
      </c>
      <c r="B264" s="1" t="s">
        <v>17</v>
      </c>
      <c r="C264" s="2">
        <v>3.2</v>
      </c>
      <c r="D264" s="3">
        <v>96.9</v>
      </c>
      <c r="E264" s="2">
        <v>6.8</v>
      </c>
      <c r="F264" s="1" t="s">
        <v>24</v>
      </c>
      <c r="G264" s="1" t="s">
        <v>20</v>
      </c>
      <c r="H264" s="1" t="s">
        <v>20</v>
      </c>
      <c r="I264" s="1" t="s">
        <v>20</v>
      </c>
      <c r="J264" s="2">
        <v>80.7</v>
      </c>
      <c r="K264" s="3">
        <v>81</v>
      </c>
      <c r="L264" s="1" t="s">
        <v>28</v>
      </c>
    </row>
    <row r="265" spans="1:12" x14ac:dyDescent="0.35">
      <c r="A265">
        <v>264</v>
      </c>
      <c r="B265" s="1" t="s">
        <v>17</v>
      </c>
      <c r="C265" s="2">
        <v>4.5</v>
      </c>
      <c r="D265" s="3">
        <v>100</v>
      </c>
      <c r="E265" s="2">
        <v>7.9</v>
      </c>
      <c r="F265" s="1" t="s">
        <v>34</v>
      </c>
      <c r="G265" s="1" t="s">
        <v>19</v>
      </c>
      <c r="H265" s="1" t="s">
        <v>19</v>
      </c>
      <c r="I265" s="1" t="s">
        <v>20</v>
      </c>
      <c r="J265" s="2">
        <v>62.7</v>
      </c>
      <c r="K265" s="3">
        <v>91</v>
      </c>
      <c r="L265" s="1" t="s">
        <v>21</v>
      </c>
    </row>
    <row r="266" spans="1:12" x14ac:dyDescent="0.35">
      <c r="A266">
        <v>265</v>
      </c>
      <c r="B266" s="1" t="s">
        <v>17</v>
      </c>
      <c r="C266" s="2">
        <v>6.3</v>
      </c>
      <c r="D266" s="3">
        <v>90.8</v>
      </c>
      <c r="E266" s="2">
        <v>5.7</v>
      </c>
      <c r="F266" s="1" t="s">
        <v>18</v>
      </c>
      <c r="G266" s="1" t="s">
        <v>19</v>
      </c>
      <c r="H266" s="1" t="s">
        <v>20</v>
      </c>
      <c r="I266" s="1" t="s">
        <v>20</v>
      </c>
      <c r="J266" s="2">
        <v>67.599999999999994</v>
      </c>
      <c r="K266" s="3">
        <v>98</v>
      </c>
      <c r="L266" s="1" t="s">
        <v>21</v>
      </c>
    </row>
    <row r="267" spans="1:12" x14ac:dyDescent="0.35">
      <c r="A267">
        <v>266</v>
      </c>
      <c r="B267" s="1" t="s">
        <v>23</v>
      </c>
      <c r="C267" s="2">
        <v>5.2</v>
      </c>
      <c r="D267" s="3">
        <v>88.3</v>
      </c>
      <c r="E267" s="2">
        <v>8.6</v>
      </c>
      <c r="F267" s="1" t="s">
        <v>18</v>
      </c>
      <c r="G267" s="1" t="s">
        <v>19</v>
      </c>
      <c r="H267" s="1" t="s">
        <v>20</v>
      </c>
      <c r="I267" s="1" t="s">
        <v>20</v>
      </c>
      <c r="J267" s="2">
        <v>86.8</v>
      </c>
      <c r="K267" s="3">
        <v>100</v>
      </c>
      <c r="L267" s="1" t="s">
        <v>21</v>
      </c>
    </row>
    <row r="268" spans="1:12" x14ac:dyDescent="0.35">
      <c r="A268">
        <v>267</v>
      </c>
      <c r="B268" s="1" t="s">
        <v>23</v>
      </c>
      <c r="C268" s="2">
        <v>3.1</v>
      </c>
      <c r="D268" s="3">
        <v>86.9</v>
      </c>
      <c r="E268" s="2">
        <v>7.4</v>
      </c>
      <c r="F268" s="1" t="s">
        <v>33</v>
      </c>
      <c r="G268" s="1" t="s">
        <v>19</v>
      </c>
      <c r="H268" s="1" t="s">
        <v>19</v>
      </c>
      <c r="I268" s="1" t="s">
        <v>19</v>
      </c>
      <c r="J268" s="2">
        <v>88.5</v>
      </c>
      <c r="K268" s="3">
        <v>82</v>
      </c>
      <c r="L268" s="1" t="s">
        <v>28</v>
      </c>
    </row>
    <row r="269" spans="1:12" x14ac:dyDescent="0.35">
      <c r="A269">
        <v>268</v>
      </c>
      <c r="B269" s="1" t="s">
        <v>23</v>
      </c>
      <c r="C269" s="2">
        <v>1.8</v>
      </c>
      <c r="D269" s="3">
        <v>81.5</v>
      </c>
      <c r="E269" s="2">
        <v>8</v>
      </c>
      <c r="F269" s="1" t="s">
        <v>33</v>
      </c>
      <c r="G269" s="1" t="s">
        <v>19</v>
      </c>
      <c r="H269" s="1" t="s">
        <v>19</v>
      </c>
      <c r="I269" s="1" t="s">
        <v>20</v>
      </c>
      <c r="J269" s="2">
        <v>88.9</v>
      </c>
      <c r="K269" s="3">
        <v>84</v>
      </c>
      <c r="L269" s="1" t="s">
        <v>28</v>
      </c>
    </row>
    <row r="270" spans="1:12" x14ac:dyDescent="0.35">
      <c r="A270">
        <v>269</v>
      </c>
      <c r="B270" s="1" t="s">
        <v>17</v>
      </c>
      <c r="C270" s="2">
        <v>7.4</v>
      </c>
      <c r="D270" s="3">
        <v>88.4</v>
      </c>
      <c r="E270" s="2">
        <v>6</v>
      </c>
      <c r="F270" s="1" t="s">
        <v>27</v>
      </c>
      <c r="G270" s="1" t="s">
        <v>19</v>
      </c>
      <c r="H270" s="1" t="s">
        <v>20</v>
      </c>
      <c r="I270" s="1" t="s">
        <v>20</v>
      </c>
      <c r="J270" s="2">
        <v>66.599999999999994</v>
      </c>
      <c r="K270" s="3">
        <v>100</v>
      </c>
      <c r="L270" s="1" t="s">
        <v>21</v>
      </c>
    </row>
    <row r="271" spans="1:12" x14ac:dyDescent="0.35">
      <c r="A271">
        <v>270</v>
      </c>
      <c r="B271" s="1" t="s">
        <v>17</v>
      </c>
      <c r="C271" s="2">
        <v>3.6</v>
      </c>
      <c r="D271" s="3">
        <v>82</v>
      </c>
      <c r="E271" s="2">
        <v>7.8</v>
      </c>
      <c r="F271" s="1" t="s">
        <v>27</v>
      </c>
      <c r="G271" s="1" t="s">
        <v>19</v>
      </c>
      <c r="H271" s="1" t="s">
        <v>20</v>
      </c>
      <c r="I271" s="1" t="s">
        <v>20</v>
      </c>
      <c r="J271" s="2">
        <v>84.8</v>
      </c>
      <c r="K271" s="3">
        <v>80</v>
      </c>
      <c r="L271" s="1" t="s">
        <v>28</v>
      </c>
    </row>
    <row r="272" spans="1:12" x14ac:dyDescent="0.35">
      <c r="A272">
        <v>271</v>
      </c>
      <c r="B272" s="1" t="s">
        <v>23</v>
      </c>
      <c r="C272" s="2">
        <v>3.5</v>
      </c>
      <c r="D272" s="3">
        <v>86.7</v>
      </c>
      <c r="E272" s="2">
        <v>5.5</v>
      </c>
      <c r="F272" s="1" t="s">
        <v>33</v>
      </c>
      <c r="G272" s="1" t="s">
        <v>19</v>
      </c>
      <c r="H272" s="1" t="s">
        <v>19</v>
      </c>
      <c r="I272" s="1" t="s">
        <v>20</v>
      </c>
      <c r="J272" s="2">
        <v>58.6</v>
      </c>
      <c r="K272" s="3">
        <v>75</v>
      </c>
      <c r="L272" s="1" t="s">
        <v>32</v>
      </c>
    </row>
    <row r="273" spans="1:12" x14ac:dyDescent="0.35">
      <c r="A273">
        <v>272</v>
      </c>
      <c r="B273" s="1" t="s">
        <v>23</v>
      </c>
      <c r="C273" s="2">
        <v>3.5</v>
      </c>
      <c r="D273" s="3">
        <v>98.2</v>
      </c>
      <c r="E273" s="2">
        <v>7.9</v>
      </c>
      <c r="F273" s="1" t="s">
        <v>24</v>
      </c>
      <c r="G273" s="1" t="s">
        <v>20</v>
      </c>
      <c r="H273" s="1" t="s">
        <v>19</v>
      </c>
      <c r="I273" s="1" t="s">
        <v>20</v>
      </c>
      <c r="J273" s="2">
        <v>59.1</v>
      </c>
      <c r="K273" s="3">
        <v>78</v>
      </c>
      <c r="L273" s="1" t="s">
        <v>32</v>
      </c>
    </row>
    <row r="274" spans="1:12" x14ac:dyDescent="0.35">
      <c r="A274">
        <v>273</v>
      </c>
      <c r="B274" s="1" t="s">
        <v>23</v>
      </c>
      <c r="C274" s="2">
        <v>3.8</v>
      </c>
      <c r="D274" s="3">
        <v>74.900000000000006</v>
      </c>
      <c r="E274" s="2">
        <v>7</v>
      </c>
      <c r="F274" s="1" t="s">
        <v>34</v>
      </c>
      <c r="G274" s="1" t="s">
        <v>19</v>
      </c>
      <c r="H274" s="1" t="s">
        <v>19</v>
      </c>
      <c r="I274" s="1" t="s">
        <v>19</v>
      </c>
      <c r="J274" s="2">
        <v>41.8</v>
      </c>
      <c r="K274" s="3">
        <v>65</v>
      </c>
      <c r="L274" s="1" t="s">
        <v>30</v>
      </c>
    </row>
    <row r="275" spans="1:12" x14ac:dyDescent="0.35">
      <c r="A275">
        <v>274</v>
      </c>
      <c r="B275" s="1" t="s">
        <v>23</v>
      </c>
      <c r="C275" s="2">
        <v>3.3</v>
      </c>
      <c r="D275" s="3">
        <v>96.4</v>
      </c>
      <c r="E275" s="2">
        <v>7.5</v>
      </c>
      <c r="F275" s="1" t="s">
        <v>24</v>
      </c>
      <c r="G275" s="1" t="s">
        <v>19</v>
      </c>
      <c r="H275" s="1" t="s">
        <v>20</v>
      </c>
      <c r="I275" s="1" t="s">
        <v>20</v>
      </c>
      <c r="J275" s="2">
        <v>90.1</v>
      </c>
      <c r="K275" s="3">
        <v>98</v>
      </c>
      <c r="L275" s="1" t="s">
        <v>21</v>
      </c>
    </row>
    <row r="276" spans="1:12" x14ac:dyDescent="0.35">
      <c r="A276">
        <v>275</v>
      </c>
      <c r="B276" s="1" t="s">
        <v>17</v>
      </c>
      <c r="C276" s="2">
        <v>2.6</v>
      </c>
      <c r="D276" s="3">
        <v>98.2</v>
      </c>
      <c r="E276" s="2">
        <v>5.4</v>
      </c>
      <c r="F276" s="1" t="s">
        <v>24</v>
      </c>
      <c r="G276" s="1" t="s">
        <v>20</v>
      </c>
      <c r="H276" s="1" t="s">
        <v>19</v>
      </c>
      <c r="I276" s="1" t="s">
        <v>20</v>
      </c>
      <c r="J276" s="2">
        <v>59.6</v>
      </c>
      <c r="K276" s="3">
        <v>74</v>
      </c>
      <c r="L276" s="1" t="s">
        <v>32</v>
      </c>
    </row>
    <row r="277" spans="1:12" x14ac:dyDescent="0.35">
      <c r="A277">
        <v>276</v>
      </c>
      <c r="B277" s="1" t="s">
        <v>23</v>
      </c>
      <c r="C277" s="2">
        <v>2.7</v>
      </c>
      <c r="D277" s="3">
        <v>83.8</v>
      </c>
      <c r="E277" s="2">
        <v>5.7</v>
      </c>
      <c r="F277" s="1" t="s">
        <v>34</v>
      </c>
      <c r="G277" s="1" t="s">
        <v>19</v>
      </c>
      <c r="H277" s="1" t="s">
        <v>19</v>
      </c>
      <c r="I277" s="1" t="s">
        <v>20</v>
      </c>
      <c r="J277" s="2">
        <v>68.5</v>
      </c>
      <c r="K277" s="3">
        <v>76</v>
      </c>
      <c r="L277" s="1" t="s">
        <v>32</v>
      </c>
    </row>
    <row r="278" spans="1:12" x14ac:dyDescent="0.35">
      <c r="A278">
        <v>277</v>
      </c>
      <c r="B278" s="1" t="s">
        <v>17</v>
      </c>
      <c r="C278" s="2">
        <v>3.5</v>
      </c>
      <c r="D278" s="3">
        <v>63.8</v>
      </c>
      <c r="E278" s="2">
        <v>7.5</v>
      </c>
      <c r="F278" s="1" t="s">
        <v>24</v>
      </c>
      <c r="G278" s="1" t="s">
        <v>19</v>
      </c>
      <c r="H278" s="1" t="s">
        <v>20</v>
      </c>
      <c r="I278" s="1" t="s">
        <v>20</v>
      </c>
      <c r="J278" s="2">
        <v>59.1</v>
      </c>
      <c r="K278" s="3">
        <v>76</v>
      </c>
      <c r="L278" s="1" t="s">
        <v>32</v>
      </c>
    </row>
    <row r="279" spans="1:12" x14ac:dyDescent="0.35">
      <c r="A279">
        <v>278</v>
      </c>
      <c r="B279" s="1" t="s">
        <v>23</v>
      </c>
      <c r="C279" s="2">
        <v>2.7</v>
      </c>
      <c r="D279" s="3">
        <v>78.900000000000006</v>
      </c>
      <c r="E279" s="2">
        <v>5.7</v>
      </c>
      <c r="F279" s="1" t="s">
        <v>24</v>
      </c>
      <c r="G279" s="1" t="s">
        <v>19</v>
      </c>
      <c r="H279" s="1" t="s">
        <v>20</v>
      </c>
      <c r="I279" s="1" t="s">
        <v>19</v>
      </c>
      <c r="J279" s="2">
        <v>78.3</v>
      </c>
      <c r="K279" s="3">
        <v>88</v>
      </c>
      <c r="L279" s="1" t="s">
        <v>28</v>
      </c>
    </row>
    <row r="280" spans="1:12" x14ac:dyDescent="0.35">
      <c r="A280">
        <v>279</v>
      </c>
      <c r="B280" s="1" t="s">
        <v>17</v>
      </c>
      <c r="C280" s="2">
        <v>2.4</v>
      </c>
      <c r="D280" s="3">
        <v>98</v>
      </c>
      <c r="E280" s="2">
        <v>7.4</v>
      </c>
      <c r="F280" s="1" t="s">
        <v>24</v>
      </c>
      <c r="G280" s="1" t="s">
        <v>19</v>
      </c>
      <c r="H280" s="1" t="s">
        <v>19</v>
      </c>
      <c r="I280" s="1" t="s">
        <v>20</v>
      </c>
      <c r="J280" s="2">
        <v>65.5</v>
      </c>
      <c r="K280" s="3">
        <v>94</v>
      </c>
      <c r="L280" s="1" t="s">
        <v>21</v>
      </c>
    </row>
    <row r="281" spans="1:12" x14ac:dyDescent="0.35">
      <c r="A281">
        <v>280</v>
      </c>
      <c r="B281" s="1" t="s">
        <v>23</v>
      </c>
      <c r="C281" s="2">
        <v>3.7</v>
      </c>
      <c r="D281" s="3">
        <v>84.8</v>
      </c>
      <c r="E281" s="2">
        <v>5.2</v>
      </c>
      <c r="F281" s="1" t="s">
        <v>34</v>
      </c>
      <c r="G281" s="1" t="s">
        <v>20</v>
      </c>
      <c r="H281" s="1" t="s">
        <v>19</v>
      </c>
      <c r="I281" s="1" t="s">
        <v>19</v>
      </c>
      <c r="J281" s="2">
        <v>54.3</v>
      </c>
      <c r="K281" s="3">
        <v>59</v>
      </c>
      <c r="L281" s="1" t="s">
        <v>35</v>
      </c>
    </row>
    <row r="282" spans="1:12" x14ac:dyDescent="0.35">
      <c r="A282">
        <v>281</v>
      </c>
      <c r="B282" s="1" t="s">
        <v>23</v>
      </c>
      <c r="C282" s="2">
        <v>3.1</v>
      </c>
      <c r="D282" s="3">
        <v>75</v>
      </c>
      <c r="E282" s="2">
        <v>7.8</v>
      </c>
      <c r="F282" s="1" t="s">
        <v>18</v>
      </c>
      <c r="G282" s="1" t="s">
        <v>20</v>
      </c>
      <c r="H282" s="1" t="s">
        <v>20</v>
      </c>
      <c r="I282" s="1" t="s">
        <v>20</v>
      </c>
      <c r="J282" s="2">
        <v>75.3</v>
      </c>
      <c r="K282" s="3">
        <v>81</v>
      </c>
      <c r="L282" s="1" t="s">
        <v>28</v>
      </c>
    </row>
    <row r="283" spans="1:12" x14ac:dyDescent="0.35">
      <c r="A283">
        <v>282</v>
      </c>
      <c r="B283" s="1" t="s">
        <v>23</v>
      </c>
      <c r="C283" s="2">
        <v>5.8</v>
      </c>
      <c r="D283" s="3">
        <v>80</v>
      </c>
      <c r="E283" s="2">
        <v>5.3</v>
      </c>
      <c r="F283" s="1" t="s">
        <v>33</v>
      </c>
      <c r="G283" s="1" t="s">
        <v>19</v>
      </c>
      <c r="H283" s="1" t="s">
        <v>19</v>
      </c>
      <c r="I283" s="1" t="s">
        <v>20</v>
      </c>
      <c r="J283" s="2">
        <v>52.8</v>
      </c>
      <c r="K283" s="3">
        <v>85</v>
      </c>
      <c r="L283" s="1" t="s">
        <v>28</v>
      </c>
    </row>
    <row r="284" spans="1:12" x14ac:dyDescent="0.35">
      <c r="A284">
        <v>283</v>
      </c>
      <c r="B284" s="1" t="s">
        <v>23</v>
      </c>
      <c r="C284" s="2">
        <v>0.5</v>
      </c>
      <c r="D284" s="3">
        <v>93.4</v>
      </c>
      <c r="E284" s="2">
        <v>7.5</v>
      </c>
      <c r="F284" s="1" t="s">
        <v>24</v>
      </c>
      <c r="G284" s="1" t="s">
        <v>19</v>
      </c>
      <c r="H284" s="1" t="s">
        <v>19</v>
      </c>
      <c r="I284" s="1" t="s">
        <v>19</v>
      </c>
      <c r="J284" s="2">
        <v>60</v>
      </c>
      <c r="K284" s="3">
        <v>70</v>
      </c>
      <c r="L284" s="1" t="s">
        <v>30</v>
      </c>
    </row>
    <row r="285" spans="1:12" x14ac:dyDescent="0.35">
      <c r="A285">
        <v>284</v>
      </c>
      <c r="B285" s="1" t="s">
        <v>17</v>
      </c>
      <c r="C285" s="2">
        <v>5.0999999999999996</v>
      </c>
      <c r="D285" s="3">
        <v>90.5</v>
      </c>
      <c r="E285" s="2">
        <v>7.6</v>
      </c>
      <c r="F285" s="1" t="s">
        <v>33</v>
      </c>
      <c r="G285" s="1" t="s">
        <v>19</v>
      </c>
      <c r="H285" s="1" t="s">
        <v>20</v>
      </c>
      <c r="I285" s="1" t="s">
        <v>20</v>
      </c>
      <c r="J285" s="2">
        <v>44.7</v>
      </c>
      <c r="K285" s="3">
        <v>82</v>
      </c>
      <c r="L285" s="1" t="s">
        <v>28</v>
      </c>
    </row>
    <row r="286" spans="1:12" x14ac:dyDescent="0.35">
      <c r="A286">
        <v>285</v>
      </c>
      <c r="B286" s="1" t="s">
        <v>23</v>
      </c>
      <c r="C286" s="2">
        <v>5.4</v>
      </c>
      <c r="D286" s="3">
        <v>82.6</v>
      </c>
      <c r="E286" s="2">
        <v>6</v>
      </c>
      <c r="F286" s="1" t="s">
        <v>33</v>
      </c>
      <c r="G286" s="1" t="s">
        <v>19</v>
      </c>
      <c r="H286" s="1" t="s">
        <v>19</v>
      </c>
      <c r="I286" s="1" t="s">
        <v>19</v>
      </c>
      <c r="J286" s="2">
        <v>52.9</v>
      </c>
      <c r="K286" s="3">
        <v>83</v>
      </c>
      <c r="L286" s="1" t="s">
        <v>28</v>
      </c>
    </row>
    <row r="287" spans="1:12" x14ac:dyDescent="0.35">
      <c r="A287">
        <v>286</v>
      </c>
      <c r="B287" s="1" t="s">
        <v>17</v>
      </c>
      <c r="C287" s="2">
        <v>0.5</v>
      </c>
      <c r="D287" s="3">
        <v>81.3</v>
      </c>
      <c r="E287" s="2">
        <v>7.5</v>
      </c>
      <c r="F287" s="1" t="s">
        <v>24</v>
      </c>
      <c r="G287" s="1" t="s">
        <v>19</v>
      </c>
      <c r="H287" s="1" t="s">
        <v>20</v>
      </c>
      <c r="I287" s="1" t="s">
        <v>19</v>
      </c>
      <c r="J287" s="2">
        <v>72.099999999999994</v>
      </c>
      <c r="K287" s="3">
        <v>70</v>
      </c>
      <c r="L287" s="1" t="s">
        <v>30</v>
      </c>
    </row>
    <row r="288" spans="1:12" x14ac:dyDescent="0.35">
      <c r="A288">
        <v>287</v>
      </c>
      <c r="B288" s="1" t="s">
        <v>17</v>
      </c>
      <c r="C288" s="2">
        <v>3</v>
      </c>
      <c r="D288" s="3">
        <v>81.099999999999994</v>
      </c>
      <c r="E288" s="2">
        <v>7.1</v>
      </c>
      <c r="F288" s="1" t="s">
        <v>18</v>
      </c>
      <c r="G288" s="1" t="s">
        <v>19</v>
      </c>
      <c r="H288" s="1" t="s">
        <v>20</v>
      </c>
      <c r="I288" s="1" t="s">
        <v>20</v>
      </c>
      <c r="J288" s="2">
        <v>46.4</v>
      </c>
      <c r="K288" s="3">
        <v>69</v>
      </c>
      <c r="L288" s="1" t="s">
        <v>30</v>
      </c>
    </row>
    <row r="289" spans="1:12" x14ac:dyDescent="0.35">
      <c r="A289">
        <v>288</v>
      </c>
      <c r="B289" s="1" t="s">
        <v>17</v>
      </c>
      <c r="C289" s="2">
        <v>2.9</v>
      </c>
      <c r="D289" s="3">
        <v>75.8</v>
      </c>
      <c r="E289" s="2">
        <v>6.2</v>
      </c>
      <c r="F289" s="1" t="s">
        <v>24</v>
      </c>
      <c r="G289" s="1" t="s">
        <v>20</v>
      </c>
      <c r="H289" s="1" t="s">
        <v>19</v>
      </c>
      <c r="I289" s="1" t="s">
        <v>20</v>
      </c>
      <c r="J289" s="2">
        <v>52.2</v>
      </c>
      <c r="K289" s="3">
        <v>62</v>
      </c>
      <c r="L289" s="1" t="s">
        <v>30</v>
      </c>
    </row>
    <row r="290" spans="1:12" x14ac:dyDescent="0.35">
      <c r="A290">
        <v>289</v>
      </c>
      <c r="B290" s="1" t="s">
        <v>17</v>
      </c>
      <c r="C290" s="2">
        <v>1.4</v>
      </c>
      <c r="D290" s="3">
        <v>100</v>
      </c>
      <c r="E290" s="2">
        <v>5.6</v>
      </c>
      <c r="F290" s="1" t="s">
        <v>27</v>
      </c>
      <c r="G290" s="1" t="s">
        <v>20</v>
      </c>
      <c r="H290" s="1" t="s">
        <v>19</v>
      </c>
      <c r="I290" s="1" t="s">
        <v>20</v>
      </c>
      <c r="J290" s="2">
        <v>70</v>
      </c>
      <c r="K290" s="3">
        <v>72</v>
      </c>
      <c r="L290" s="1" t="s">
        <v>32</v>
      </c>
    </row>
    <row r="291" spans="1:12" x14ac:dyDescent="0.35">
      <c r="A291">
        <v>290</v>
      </c>
      <c r="B291" s="1" t="s">
        <v>23</v>
      </c>
      <c r="C291" s="2">
        <v>2.2999999999999998</v>
      </c>
      <c r="D291" s="3">
        <v>81.8</v>
      </c>
      <c r="E291" s="2">
        <v>4.4000000000000004</v>
      </c>
      <c r="F291" s="1" t="s">
        <v>18</v>
      </c>
      <c r="G291" s="1" t="s">
        <v>19</v>
      </c>
      <c r="H291" s="1" t="s">
        <v>20</v>
      </c>
      <c r="I291" s="1" t="s">
        <v>20</v>
      </c>
      <c r="J291" s="2">
        <v>63.5</v>
      </c>
      <c r="K291" s="3">
        <v>74</v>
      </c>
      <c r="L291" s="1" t="s">
        <v>32</v>
      </c>
    </row>
    <row r="292" spans="1:12" x14ac:dyDescent="0.35">
      <c r="A292">
        <v>291</v>
      </c>
      <c r="B292" s="1" t="s">
        <v>17</v>
      </c>
      <c r="C292" s="2">
        <v>1.8</v>
      </c>
      <c r="D292" s="3">
        <v>97.2</v>
      </c>
      <c r="E292" s="2">
        <v>7.2</v>
      </c>
      <c r="F292" s="1" t="s">
        <v>27</v>
      </c>
      <c r="G292" s="1" t="s">
        <v>19</v>
      </c>
      <c r="H292" s="1" t="s">
        <v>20</v>
      </c>
      <c r="I292" s="1" t="s">
        <v>20</v>
      </c>
      <c r="J292" s="2">
        <v>93.9</v>
      </c>
      <c r="K292" s="3">
        <v>95</v>
      </c>
      <c r="L292" s="1" t="s">
        <v>21</v>
      </c>
    </row>
    <row r="293" spans="1:12" x14ac:dyDescent="0.35">
      <c r="A293">
        <v>292</v>
      </c>
      <c r="B293" s="1" t="s">
        <v>17</v>
      </c>
      <c r="C293" s="2">
        <v>6.1</v>
      </c>
      <c r="D293" s="3">
        <v>100</v>
      </c>
      <c r="E293" s="2">
        <v>4.9000000000000004</v>
      </c>
      <c r="F293" s="1" t="s">
        <v>24</v>
      </c>
      <c r="G293" s="1" t="s">
        <v>19</v>
      </c>
      <c r="H293" s="1" t="s">
        <v>20</v>
      </c>
      <c r="I293" s="1" t="s">
        <v>20</v>
      </c>
      <c r="J293" s="2">
        <v>92</v>
      </c>
      <c r="K293" s="3">
        <v>100</v>
      </c>
      <c r="L293" s="1" t="s">
        <v>21</v>
      </c>
    </row>
    <row r="294" spans="1:12" x14ac:dyDescent="0.35">
      <c r="A294">
        <v>293</v>
      </c>
      <c r="B294" s="1" t="s">
        <v>17</v>
      </c>
      <c r="C294" s="2">
        <v>4.9000000000000004</v>
      </c>
      <c r="D294" s="3">
        <v>95</v>
      </c>
      <c r="E294" s="2">
        <v>6.9</v>
      </c>
      <c r="F294" s="1" t="s">
        <v>33</v>
      </c>
      <c r="G294" s="1" t="s">
        <v>19</v>
      </c>
      <c r="H294" s="1" t="s">
        <v>20</v>
      </c>
      <c r="I294" s="1" t="s">
        <v>19</v>
      </c>
      <c r="J294" s="2">
        <v>59.6</v>
      </c>
      <c r="K294" s="3">
        <v>85</v>
      </c>
      <c r="L294" s="1" t="s">
        <v>28</v>
      </c>
    </row>
    <row r="295" spans="1:12" x14ac:dyDescent="0.35">
      <c r="A295">
        <v>294</v>
      </c>
      <c r="B295" s="1" t="s">
        <v>23</v>
      </c>
      <c r="C295" s="2">
        <v>5.4</v>
      </c>
      <c r="D295" s="3">
        <v>80.7</v>
      </c>
      <c r="E295" s="2">
        <v>6.5</v>
      </c>
      <c r="F295" s="1" t="s">
        <v>33</v>
      </c>
      <c r="G295" s="1" t="s">
        <v>19</v>
      </c>
      <c r="H295" s="1" t="s">
        <v>19</v>
      </c>
      <c r="I295" s="1" t="s">
        <v>19</v>
      </c>
      <c r="J295" s="2">
        <v>76.7</v>
      </c>
      <c r="K295" s="3">
        <v>94</v>
      </c>
      <c r="L295" s="1" t="s">
        <v>21</v>
      </c>
    </row>
    <row r="296" spans="1:12" x14ac:dyDescent="0.35">
      <c r="A296">
        <v>295</v>
      </c>
      <c r="B296" s="1" t="s">
        <v>23</v>
      </c>
      <c r="C296" s="2">
        <v>4.5999999999999996</v>
      </c>
      <c r="D296" s="3">
        <v>89</v>
      </c>
      <c r="E296" s="2">
        <v>7.6</v>
      </c>
      <c r="F296" s="1" t="s">
        <v>33</v>
      </c>
      <c r="G296" s="1" t="s">
        <v>19</v>
      </c>
      <c r="H296" s="1" t="s">
        <v>20</v>
      </c>
      <c r="I296" s="1" t="s">
        <v>20</v>
      </c>
      <c r="J296" s="2">
        <v>79</v>
      </c>
      <c r="K296" s="3">
        <v>100</v>
      </c>
      <c r="L296" s="1" t="s">
        <v>21</v>
      </c>
    </row>
    <row r="297" spans="1:12" x14ac:dyDescent="0.35">
      <c r="A297">
        <v>296</v>
      </c>
      <c r="B297" s="1" t="s">
        <v>23</v>
      </c>
      <c r="C297" s="2">
        <v>1.8</v>
      </c>
      <c r="D297" s="3">
        <v>84.8</v>
      </c>
      <c r="E297" s="2">
        <v>6.4</v>
      </c>
      <c r="F297" s="1" t="s">
        <v>27</v>
      </c>
      <c r="G297" s="1" t="s">
        <v>19</v>
      </c>
      <c r="H297" s="1" t="s">
        <v>19</v>
      </c>
      <c r="I297" s="1" t="s">
        <v>20</v>
      </c>
      <c r="J297" s="2">
        <v>62.8</v>
      </c>
      <c r="K297" s="3">
        <v>82</v>
      </c>
      <c r="L297" s="1" t="s">
        <v>28</v>
      </c>
    </row>
    <row r="298" spans="1:12" x14ac:dyDescent="0.35">
      <c r="A298">
        <v>297</v>
      </c>
      <c r="B298" s="1" t="s">
        <v>23</v>
      </c>
      <c r="C298" s="2">
        <v>2.7</v>
      </c>
      <c r="D298" s="3">
        <v>76</v>
      </c>
      <c r="E298" s="2">
        <v>6.4</v>
      </c>
      <c r="F298" s="1" t="s">
        <v>18</v>
      </c>
      <c r="G298" s="1" t="s">
        <v>19</v>
      </c>
      <c r="H298" s="1" t="s">
        <v>19</v>
      </c>
      <c r="I298" s="1" t="s">
        <v>20</v>
      </c>
      <c r="J298" s="2">
        <v>52.1</v>
      </c>
      <c r="K298" s="3">
        <v>71</v>
      </c>
      <c r="L298" s="1" t="s">
        <v>32</v>
      </c>
    </row>
    <row r="299" spans="1:12" x14ac:dyDescent="0.35">
      <c r="A299">
        <v>298</v>
      </c>
      <c r="B299" s="1" t="s">
        <v>17</v>
      </c>
      <c r="C299" s="2">
        <v>4.2</v>
      </c>
      <c r="D299" s="3">
        <v>88.2</v>
      </c>
      <c r="E299" s="2">
        <v>7.7</v>
      </c>
      <c r="F299" s="1" t="s">
        <v>24</v>
      </c>
      <c r="G299" s="1" t="s">
        <v>19</v>
      </c>
      <c r="H299" s="1" t="s">
        <v>19</v>
      </c>
      <c r="I299" s="1" t="s">
        <v>20</v>
      </c>
      <c r="J299" s="2">
        <v>69.900000000000006</v>
      </c>
      <c r="K299" s="3">
        <v>90</v>
      </c>
      <c r="L299" s="1" t="s">
        <v>28</v>
      </c>
    </row>
    <row r="300" spans="1:12" x14ac:dyDescent="0.35">
      <c r="A300">
        <v>299</v>
      </c>
      <c r="B300" s="1" t="s">
        <v>17</v>
      </c>
      <c r="C300" s="2">
        <v>1.7</v>
      </c>
      <c r="D300" s="3">
        <v>73.2</v>
      </c>
      <c r="E300" s="2">
        <v>7.2</v>
      </c>
      <c r="F300" s="1" t="s">
        <v>33</v>
      </c>
      <c r="G300" s="1" t="s">
        <v>20</v>
      </c>
      <c r="H300" s="1" t="s">
        <v>19</v>
      </c>
      <c r="I300" s="1" t="s">
        <v>20</v>
      </c>
      <c r="J300" s="2">
        <v>67.900000000000006</v>
      </c>
      <c r="K300" s="3">
        <v>69</v>
      </c>
      <c r="L300" s="1" t="s">
        <v>30</v>
      </c>
    </row>
    <row r="301" spans="1:12" x14ac:dyDescent="0.35">
      <c r="A301">
        <v>300</v>
      </c>
      <c r="B301" s="1" t="s">
        <v>23</v>
      </c>
      <c r="C301" s="2">
        <v>4.5999999999999996</v>
      </c>
      <c r="D301" s="3">
        <v>96.9</v>
      </c>
      <c r="E301" s="2">
        <v>7.2</v>
      </c>
      <c r="F301" s="1" t="s">
        <v>33</v>
      </c>
      <c r="G301" s="1" t="s">
        <v>19</v>
      </c>
      <c r="H301" s="1" t="s">
        <v>20</v>
      </c>
      <c r="I301" s="1" t="s">
        <v>19</v>
      </c>
      <c r="J301" s="2">
        <v>64.8</v>
      </c>
      <c r="K301" s="3">
        <v>82</v>
      </c>
      <c r="L301" s="1" t="s">
        <v>28</v>
      </c>
    </row>
    <row r="302" spans="1:12" x14ac:dyDescent="0.35">
      <c r="A302">
        <v>301</v>
      </c>
      <c r="B302" s="1" t="s">
        <v>17</v>
      </c>
      <c r="C302" s="2">
        <v>3.1</v>
      </c>
      <c r="D302" s="3">
        <v>80.400000000000006</v>
      </c>
      <c r="E302" s="2">
        <v>7.4</v>
      </c>
      <c r="F302" s="1" t="s">
        <v>18</v>
      </c>
      <c r="G302" s="1" t="s">
        <v>19</v>
      </c>
      <c r="H302" s="1" t="s">
        <v>19</v>
      </c>
      <c r="I302" s="1" t="s">
        <v>19</v>
      </c>
      <c r="J302" s="2">
        <v>75.3</v>
      </c>
      <c r="K302" s="3">
        <v>81</v>
      </c>
      <c r="L302" s="1" t="s">
        <v>28</v>
      </c>
    </row>
    <row r="303" spans="1:12" x14ac:dyDescent="0.35">
      <c r="A303">
        <v>302</v>
      </c>
      <c r="B303" s="1" t="s">
        <v>17</v>
      </c>
      <c r="C303" s="2">
        <v>2.9</v>
      </c>
      <c r="D303" s="3">
        <v>87</v>
      </c>
      <c r="E303" s="2">
        <v>5</v>
      </c>
      <c r="F303" s="1" t="s">
        <v>24</v>
      </c>
      <c r="G303" s="1" t="s">
        <v>19</v>
      </c>
      <c r="H303" s="1" t="s">
        <v>19</v>
      </c>
      <c r="I303" s="1" t="s">
        <v>20</v>
      </c>
      <c r="J303" s="2">
        <v>61</v>
      </c>
      <c r="K303" s="3">
        <v>82</v>
      </c>
      <c r="L303" s="1" t="s">
        <v>28</v>
      </c>
    </row>
    <row r="304" spans="1:12" x14ac:dyDescent="0.35">
      <c r="A304">
        <v>303</v>
      </c>
      <c r="B304" s="1" t="s">
        <v>17</v>
      </c>
      <c r="C304" s="2">
        <v>4.5999999999999996</v>
      </c>
      <c r="D304" s="3">
        <v>87.8</v>
      </c>
      <c r="E304" s="2">
        <v>7.7</v>
      </c>
      <c r="F304" s="1" t="s">
        <v>18</v>
      </c>
      <c r="G304" s="1" t="s">
        <v>19</v>
      </c>
      <c r="H304" s="1" t="s">
        <v>19</v>
      </c>
      <c r="I304" s="1" t="s">
        <v>20</v>
      </c>
      <c r="J304" s="2">
        <v>56.2</v>
      </c>
      <c r="K304" s="3">
        <v>91</v>
      </c>
      <c r="L304" s="1" t="s">
        <v>21</v>
      </c>
    </row>
    <row r="305" spans="1:12" x14ac:dyDescent="0.35">
      <c r="A305">
        <v>304</v>
      </c>
      <c r="B305" s="1" t="s">
        <v>23</v>
      </c>
      <c r="C305" s="2">
        <v>4.2</v>
      </c>
      <c r="D305" s="3">
        <v>82.4</v>
      </c>
      <c r="E305" s="2">
        <v>7.5</v>
      </c>
      <c r="F305" s="1" t="s">
        <v>24</v>
      </c>
      <c r="G305" s="1" t="s">
        <v>20</v>
      </c>
      <c r="H305" s="1" t="s">
        <v>20</v>
      </c>
      <c r="I305" s="1" t="s">
        <v>20</v>
      </c>
      <c r="J305" s="2">
        <v>71.3</v>
      </c>
      <c r="K305" s="3">
        <v>82</v>
      </c>
      <c r="L305" s="1" t="s">
        <v>28</v>
      </c>
    </row>
    <row r="306" spans="1:12" x14ac:dyDescent="0.35">
      <c r="A306">
        <v>305</v>
      </c>
      <c r="B306" s="1" t="s">
        <v>23</v>
      </c>
      <c r="C306" s="2">
        <v>3</v>
      </c>
      <c r="D306" s="3">
        <v>90.9</v>
      </c>
      <c r="E306" s="2">
        <v>5.6</v>
      </c>
      <c r="F306" s="1" t="s">
        <v>18</v>
      </c>
      <c r="G306" s="1" t="s">
        <v>19</v>
      </c>
      <c r="H306" s="1" t="s">
        <v>20</v>
      </c>
      <c r="I306" s="1" t="s">
        <v>19</v>
      </c>
      <c r="J306" s="2">
        <v>74.599999999999994</v>
      </c>
      <c r="K306" s="3">
        <v>83</v>
      </c>
      <c r="L306" s="1" t="s">
        <v>28</v>
      </c>
    </row>
    <row r="307" spans="1:12" x14ac:dyDescent="0.35">
      <c r="A307">
        <v>306</v>
      </c>
      <c r="B307" s="1" t="s">
        <v>17</v>
      </c>
      <c r="C307" s="2">
        <v>5.2</v>
      </c>
      <c r="D307" s="3">
        <v>80.3</v>
      </c>
      <c r="E307" s="2">
        <v>6.5</v>
      </c>
      <c r="F307" s="1" t="s">
        <v>18</v>
      </c>
      <c r="G307" s="1" t="s">
        <v>19</v>
      </c>
      <c r="H307" s="1" t="s">
        <v>19</v>
      </c>
      <c r="I307" s="1" t="s">
        <v>20</v>
      </c>
      <c r="J307" s="2">
        <v>55.9</v>
      </c>
      <c r="K307" s="3">
        <v>81</v>
      </c>
      <c r="L307" s="1" t="s">
        <v>28</v>
      </c>
    </row>
    <row r="308" spans="1:12" x14ac:dyDescent="0.35">
      <c r="A308">
        <v>307</v>
      </c>
      <c r="B308" s="1" t="s">
        <v>23</v>
      </c>
      <c r="C308" s="2">
        <v>1.9</v>
      </c>
      <c r="D308" s="3">
        <v>93.7</v>
      </c>
      <c r="E308" s="2">
        <v>6.8</v>
      </c>
      <c r="F308" s="1" t="s">
        <v>33</v>
      </c>
      <c r="G308" s="1" t="s">
        <v>19</v>
      </c>
      <c r="H308" s="1" t="s">
        <v>19</v>
      </c>
      <c r="I308" s="1" t="s">
        <v>19</v>
      </c>
      <c r="J308" s="2">
        <v>81.099999999999994</v>
      </c>
      <c r="K308" s="3">
        <v>87</v>
      </c>
      <c r="L308" s="1" t="s">
        <v>28</v>
      </c>
    </row>
    <row r="309" spans="1:12" x14ac:dyDescent="0.35">
      <c r="A309">
        <v>308</v>
      </c>
      <c r="B309" s="1" t="s">
        <v>23</v>
      </c>
      <c r="C309" s="2">
        <v>4.4000000000000004</v>
      </c>
      <c r="D309" s="3">
        <v>71.5</v>
      </c>
      <c r="E309" s="2">
        <v>6.6</v>
      </c>
      <c r="F309" s="1" t="s">
        <v>24</v>
      </c>
      <c r="G309" s="1" t="s">
        <v>19</v>
      </c>
      <c r="H309" s="1" t="s">
        <v>19</v>
      </c>
      <c r="I309" s="1" t="s">
        <v>19</v>
      </c>
      <c r="J309" s="2">
        <v>48.8</v>
      </c>
      <c r="K309" s="3">
        <v>73</v>
      </c>
      <c r="L309" s="1" t="s">
        <v>32</v>
      </c>
    </row>
    <row r="310" spans="1:12" x14ac:dyDescent="0.35">
      <c r="A310">
        <v>309</v>
      </c>
      <c r="B310" s="1" t="s">
        <v>23</v>
      </c>
      <c r="C310" s="2">
        <v>4.4000000000000004</v>
      </c>
      <c r="D310" s="3">
        <v>86.3</v>
      </c>
      <c r="E310" s="2">
        <v>7.2</v>
      </c>
      <c r="F310" s="1" t="s">
        <v>18</v>
      </c>
      <c r="G310" s="1" t="s">
        <v>19</v>
      </c>
      <c r="H310" s="1" t="s">
        <v>20</v>
      </c>
      <c r="I310" s="1" t="s">
        <v>20</v>
      </c>
      <c r="J310" s="2">
        <v>63.1</v>
      </c>
      <c r="K310" s="3">
        <v>85</v>
      </c>
      <c r="L310" s="1" t="s">
        <v>28</v>
      </c>
    </row>
    <row r="311" spans="1:12" x14ac:dyDescent="0.35">
      <c r="A311">
        <v>310</v>
      </c>
      <c r="B311" s="1" t="s">
        <v>23</v>
      </c>
      <c r="C311" s="2">
        <v>3</v>
      </c>
      <c r="D311" s="3">
        <v>100</v>
      </c>
      <c r="E311" s="2">
        <v>8.5</v>
      </c>
      <c r="F311" s="1" t="s">
        <v>24</v>
      </c>
      <c r="G311" s="1" t="s">
        <v>19</v>
      </c>
      <c r="H311" s="1" t="s">
        <v>20</v>
      </c>
      <c r="I311" s="1" t="s">
        <v>19</v>
      </c>
      <c r="J311" s="2">
        <v>66.900000000000006</v>
      </c>
      <c r="K311" s="3">
        <v>83</v>
      </c>
      <c r="L311" s="1" t="s">
        <v>28</v>
      </c>
    </row>
    <row r="312" spans="1:12" x14ac:dyDescent="0.35">
      <c r="A312">
        <v>311</v>
      </c>
      <c r="B312" s="1" t="s">
        <v>23</v>
      </c>
      <c r="C312" s="2">
        <v>4</v>
      </c>
      <c r="D312" s="3">
        <v>75</v>
      </c>
      <c r="E312" s="2">
        <v>8.1</v>
      </c>
      <c r="F312" s="1" t="s">
        <v>24</v>
      </c>
      <c r="G312" s="1" t="s">
        <v>19</v>
      </c>
      <c r="H312" s="1" t="s">
        <v>19</v>
      </c>
      <c r="I312" s="1" t="s">
        <v>20</v>
      </c>
      <c r="J312" s="2">
        <v>62.4</v>
      </c>
      <c r="K312" s="3">
        <v>83</v>
      </c>
      <c r="L312" s="1" t="s">
        <v>28</v>
      </c>
    </row>
    <row r="313" spans="1:12" x14ac:dyDescent="0.35">
      <c r="A313">
        <v>312</v>
      </c>
      <c r="B313" s="1" t="s">
        <v>17</v>
      </c>
      <c r="C313" s="2">
        <v>1.6</v>
      </c>
      <c r="D313" s="3">
        <v>78.2</v>
      </c>
      <c r="E313" s="2">
        <v>5.2</v>
      </c>
      <c r="F313" s="1" t="s">
        <v>33</v>
      </c>
      <c r="G313" s="1" t="s">
        <v>19</v>
      </c>
      <c r="H313" s="1" t="s">
        <v>20</v>
      </c>
      <c r="I313" s="1" t="s">
        <v>19</v>
      </c>
      <c r="J313" s="2">
        <v>63.2</v>
      </c>
      <c r="K313" s="3">
        <v>63</v>
      </c>
      <c r="L313" s="1" t="s">
        <v>30</v>
      </c>
    </row>
    <row r="314" spans="1:12" x14ac:dyDescent="0.35">
      <c r="A314">
        <v>313</v>
      </c>
      <c r="B314" s="1" t="s">
        <v>23</v>
      </c>
      <c r="C314" s="2">
        <v>4.9000000000000004</v>
      </c>
      <c r="D314" s="3">
        <v>90.1</v>
      </c>
      <c r="E314" s="2">
        <v>7.5</v>
      </c>
      <c r="F314" s="1" t="s">
        <v>27</v>
      </c>
      <c r="G314" s="1" t="s">
        <v>19</v>
      </c>
      <c r="H314" s="1" t="s">
        <v>19</v>
      </c>
      <c r="I314" s="1" t="s">
        <v>20</v>
      </c>
      <c r="J314" s="2">
        <v>92.5</v>
      </c>
      <c r="K314" s="3">
        <v>100</v>
      </c>
      <c r="L314" s="1" t="s">
        <v>21</v>
      </c>
    </row>
    <row r="315" spans="1:12" x14ac:dyDescent="0.35">
      <c r="A315">
        <v>314</v>
      </c>
      <c r="B315" s="1" t="s">
        <v>17</v>
      </c>
      <c r="C315" s="2">
        <v>3.2</v>
      </c>
      <c r="D315" s="3">
        <v>86.8</v>
      </c>
      <c r="E315" s="2">
        <v>8.4</v>
      </c>
      <c r="F315" s="1" t="s">
        <v>18</v>
      </c>
      <c r="G315" s="1" t="s">
        <v>19</v>
      </c>
      <c r="H315" s="1" t="s">
        <v>20</v>
      </c>
      <c r="I315" s="1" t="s">
        <v>20</v>
      </c>
      <c r="J315" s="2">
        <v>59.8</v>
      </c>
      <c r="K315" s="3">
        <v>79</v>
      </c>
      <c r="L315" s="1" t="s">
        <v>32</v>
      </c>
    </row>
    <row r="316" spans="1:12" x14ac:dyDescent="0.35">
      <c r="A316">
        <v>315</v>
      </c>
      <c r="B316" s="1" t="s">
        <v>17</v>
      </c>
      <c r="C316" s="2">
        <v>2.7</v>
      </c>
      <c r="D316" s="3">
        <v>88.5</v>
      </c>
      <c r="E316" s="2">
        <v>7.3</v>
      </c>
      <c r="F316" s="1" t="s">
        <v>33</v>
      </c>
      <c r="G316" s="1" t="s">
        <v>19</v>
      </c>
      <c r="H316" s="1" t="s">
        <v>19</v>
      </c>
      <c r="I316" s="1" t="s">
        <v>20</v>
      </c>
      <c r="J316" s="2">
        <v>99.3</v>
      </c>
      <c r="K316" s="3">
        <v>100</v>
      </c>
      <c r="L316" s="1" t="s">
        <v>21</v>
      </c>
    </row>
    <row r="317" spans="1:12" x14ac:dyDescent="0.35">
      <c r="A317">
        <v>316</v>
      </c>
      <c r="B317" s="1" t="s">
        <v>23</v>
      </c>
      <c r="C317" s="2">
        <v>5.0999999999999996</v>
      </c>
      <c r="D317" s="3">
        <v>89.9</v>
      </c>
      <c r="E317" s="2">
        <v>8.1</v>
      </c>
      <c r="F317" s="1" t="s">
        <v>34</v>
      </c>
      <c r="G317" s="1" t="s">
        <v>19</v>
      </c>
      <c r="H317" s="1" t="s">
        <v>19</v>
      </c>
      <c r="I317" s="1" t="s">
        <v>20</v>
      </c>
      <c r="J317" s="2">
        <v>75.2</v>
      </c>
      <c r="K317" s="3">
        <v>100</v>
      </c>
      <c r="L317" s="1" t="s">
        <v>21</v>
      </c>
    </row>
    <row r="318" spans="1:12" x14ac:dyDescent="0.35">
      <c r="A318">
        <v>317</v>
      </c>
      <c r="B318" s="1" t="s">
        <v>17</v>
      </c>
      <c r="C318" s="2">
        <v>2.4</v>
      </c>
      <c r="D318" s="3">
        <v>91.3</v>
      </c>
      <c r="E318" s="2">
        <v>9.1999999999999993</v>
      </c>
      <c r="F318" s="1" t="s">
        <v>33</v>
      </c>
      <c r="G318" s="1" t="s">
        <v>20</v>
      </c>
      <c r="H318" s="1" t="s">
        <v>19</v>
      </c>
      <c r="I318" s="1" t="s">
        <v>19</v>
      </c>
      <c r="J318" s="2">
        <v>71.099999999999994</v>
      </c>
      <c r="K318" s="3">
        <v>73</v>
      </c>
      <c r="L318" s="1" t="s">
        <v>32</v>
      </c>
    </row>
    <row r="319" spans="1:12" x14ac:dyDescent="0.35">
      <c r="A319">
        <v>318</v>
      </c>
      <c r="B319" s="1" t="s">
        <v>17</v>
      </c>
      <c r="C319" s="2">
        <v>1.4</v>
      </c>
      <c r="D319" s="3">
        <v>96.1</v>
      </c>
      <c r="E319" s="2">
        <v>8</v>
      </c>
      <c r="F319" s="1" t="s">
        <v>24</v>
      </c>
      <c r="G319" s="1" t="s">
        <v>20</v>
      </c>
      <c r="H319" s="1" t="s">
        <v>19</v>
      </c>
      <c r="I319" s="1" t="s">
        <v>20</v>
      </c>
      <c r="J319" s="2">
        <v>75.7</v>
      </c>
      <c r="K319" s="3">
        <v>79</v>
      </c>
      <c r="L319" s="1" t="s">
        <v>32</v>
      </c>
    </row>
    <row r="320" spans="1:12" x14ac:dyDescent="0.35">
      <c r="A320">
        <v>319</v>
      </c>
      <c r="B320" s="1" t="s">
        <v>17</v>
      </c>
      <c r="C320" s="2">
        <v>1.2</v>
      </c>
      <c r="D320" s="3">
        <v>89.1</v>
      </c>
      <c r="E320" s="2">
        <v>7.1</v>
      </c>
      <c r="F320" s="1" t="s">
        <v>27</v>
      </c>
      <c r="G320" s="1" t="s">
        <v>19</v>
      </c>
      <c r="H320" s="1" t="s">
        <v>20</v>
      </c>
      <c r="I320" s="1" t="s">
        <v>20</v>
      </c>
      <c r="J320" s="2">
        <v>100</v>
      </c>
      <c r="K320" s="3">
        <v>84</v>
      </c>
      <c r="L320" s="1" t="s">
        <v>28</v>
      </c>
    </row>
    <row r="321" spans="1:12" x14ac:dyDescent="0.35">
      <c r="A321">
        <v>320</v>
      </c>
      <c r="B321" s="1" t="s">
        <v>23</v>
      </c>
      <c r="C321" s="2">
        <v>4.4000000000000004</v>
      </c>
      <c r="D321" s="3">
        <v>82.6</v>
      </c>
      <c r="E321" s="2">
        <v>8.1</v>
      </c>
      <c r="F321" s="1" t="s">
        <v>18</v>
      </c>
      <c r="G321" s="1" t="s">
        <v>19</v>
      </c>
      <c r="H321" s="1" t="s">
        <v>19</v>
      </c>
      <c r="I321" s="1" t="s">
        <v>19</v>
      </c>
      <c r="J321" s="2">
        <v>58.1</v>
      </c>
      <c r="K321" s="3">
        <v>81</v>
      </c>
      <c r="L321" s="1" t="s">
        <v>28</v>
      </c>
    </row>
    <row r="322" spans="1:12" x14ac:dyDescent="0.35">
      <c r="A322">
        <v>321</v>
      </c>
      <c r="B322" s="1" t="s">
        <v>23</v>
      </c>
      <c r="C322" s="2">
        <v>1.6</v>
      </c>
      <c r="D322" s="3">
        <v>91.7</v>
      </c>
      <c r="E322" s="2">
        <v>7</v>
      </c>
      <c r="F322" s="1" t="s">
        <v>24</v>
      </c>
      <c r="G322" s="1" t="s">
        <v>19</v>
      </c>
      <c r="H322" s="1" t="s">
        <v>20</v>
      </c>
      <c r="I322" s="1" t="s">
        <v>20</v>
      </c>
      <c r="J322" s="2">
        <v>56.6</v>
      </c>
      <c r="K322" s="3">
        <v>85</v>
      </c>
      <c r="L322" s="1" t="s">
        <v>28</v>
      </c>
    </row>
    <row r="323" spans="1:12" x14ac:dyDescent="0.35">
      <c r="A323">
        <v>322</v>
      </c>
      <c r="B323" s="1" t="s">
        <v>17</v>
      </c>
      <c r="C323" s="2">
        <v>6.1</v>
      </c>
      <c r="D323" s="3">
        <v>100</v>
      </c>
      <c r="E323" s="2">
        <v>6.8</v>
      </c>
      <c r="F323" s="1" t="s">
        <v>24</v>
      </c>
      <c r="G323" s="1" t="s">
        <v>19</v>
      </c>
      <c r="H323" s="1" t="s">
        <v>20</v>
      </c>
      <c r="I323" s="1" t="s">
        <v>19</v>
      </c>
      <c r="J323" s="2">
        <v>60.9</v>
      </c>
      <c r="K323" s="3">
        <v>93</v>
      </c>
      <c r="L323" s="1" t="s">
        <v>21</v>
      </c>
    </row>
    <row r="324" spans="1:12" x14ac:dyDescent="0.35">
      <c r="A324">
        <v>323</v>
      </c>
      <c r="B324" s="1" t="s">
        <v>23</v>
      </c>
      <c r="C324" s="2">
        <v>0.5</v>
      </c>
      <c r="D324" s="3">
        <v>83.7</v>
      </c>
      <c r="E324" s="2">
        <v>6.4</v>
      </c>
      <c r="F324" s="1" t="s">
        <v>18</v>
      </c>
      <c r="G324" s="1" t="s">
        <v>19</v>
      </c>
      <c r="H324" s="1" t="s">
        <v>19</v>
      </c>
      <c r="I324" s="1" t="s">
        <v>20</v>
      </c>
      <c r="J324" s="2">
        <v>70.400000000000006</v>
      </c>
      <c r="K324" s="3">
        <v>74</v>
      </c>
      <c r="L324" s="1" t="s">
        <v>32</v>
      </c>
    </row>
    <row r="325" spans="1:12" x14ac:dyDescent="0.35">
      <c r="A325">
        <v>324</v>
      </c>
      <c r="B325" s="1" t="s">
        <v>23</v>
      </c>
      <c r="C325" s="2">
        <v>6</v>
      </c>
      <c r="D325" s="3">
        <v>75.3</v>
      </c>
      <c r="E325" s="2">
        <v>8.6999999999999993</v>
      </c>
      <c r="F325" s="1" t="s">
        <v>24</v>
      </c>
      <c r="G325" s="1" t="s">
        <v>19</v>
      </c>
      <c r="H325" s="1" t="s">
        <v>19</v>
      </c>
      <c r="I325" s="1" t="s">
        <v>20</v>
      </c>
      <c r="J325" s="2">
        <v>49.3</v>
      </c>
      <c r="K325" s="3">
        <v>91</v>
      </c>
      <c r="L325" s="1" t="s">
        <v>21</v>
      </c>
    </row>
    <row r="326" spans="1:12" x14ac:dyDescent="0.35">
      <c r="A326">
        <v>325</v>
      </c>
      <c r="B326" s="1" t="s">
        <v>23</v>
      </c>
      <c r="C326" s="2">
        <v>3.8</v>
      </c>
      <c r="D326" s="3">
        <v>96.1</v>
      </c>
      <c r="E326" s="2">
        <v>5.8</v>
      </c>
      <c r="F326" s="1" t="s">
        <v>24</v>
      </c>
      <c r="G326" s="1" t="s">
        <v>19</v>
      </c>
      <c r="H326" s="1" t="s">
        <v>19</v>
      </c>
      <c r="I326" s="1" t="s">
        <v>19</v>
      </c>
      <c r="J326" s="2">
        <v>70.3</v>
      </c>
      <c r="K326" s="3">
        <v>81</v>
      </c>
      <c r="L326" s="1" t="s">
        <v>28</v>
      </c>
    </row>
    <row r="327" spans="1:12" x14ac:dyDescent="0.35">
      <c r="A327">
        <v>326</v>
      </c>
      <c r="B327" s="1" t="s">
        <v>23</v>
      </c>
      <c r="C327" s="2">
        <v>3.4</v>
      </c>
      <c r="D327" s="3">
        <v>83.8</v>
      </c>
      <c r="E327" s="2">
        <v>8.6</v>
      </c>
      <c r="F327" s="1" t="s">
        <v>24</v>
      </c>
      <c r="G327" s="1" t="s">
        <v>19</v>
      </c>
      <c r="H327" s="1" t="s">
        <v>20</v>
      </c>
      <c r="I327" s="1" t="s">
        <v>20</v>
      </c>
      <c r="J327" s="2">
        <v>90.3</v>
      </c>
      <c r="K327" s="3">
        <v>89</v>
      </c>
      <c r="L327" s="1" t="s">
        <v>28</v>
      </c>
    </row>
    <row r="328" spans="1:12" x14ac:dyDescent="0.35">
      <c r="A328">
        <v>327</v>
      </c>
      <c r="B328" s="1" t="s">
        <v>17</v>
      </c>
      <c r="C328" s="2">
        <v>2.7</v>
      </c>
      <c r="D328" s="3">
        <v>63.3</v>
      </c>
      <c r="E328" s="2">
        <v>7.4</v>
      </c>
      <c r="F328" s="1" t="s">
        <v>33</v>
      </c>
      <c r="G328" s="1" t="s">
        <v>20</v>
      </c>
      <c r="H328" s="1" t="s">
        <v>19</v>
      </c>
      <c r="I328" s="1" t="s">
        <v>20</v>
      </c>
      <c r="J328" s="2">
        <v>71.8</v>
      </c>
      <c r="K328" s="3">
        <v>64</v>
      </c>
      <c r="L328" s="1" t="s">
        <v>30</v>
      </c>
    </row>
    <row r="329" spans="1:12" x14ac:dyDescent="0.35">
      <c r="A329">
        <v>328</v>
      </c>
      <c r="B329" s="1" t="s">
        <v>17</v>
      </c>
      <c r="C329" s="2">
        <v>4.0999999999999996</v>
      </c>
      <c r="D329" s="3">
        <v>93.5</v>
      </c>
      <c r="E329" s="2">
        <v>5.0999999999999996</v>
      </c>
      <c r="F329" s="1" t="s">
        <v>34</v>
      </c>
      <c r="G329" s="1" t="s">
        <v>19</v>
      </c>
      <c r="H329" s="1" t="s">
        <v>19</v>
      </c>
      <c r="I329" s="1" t="s">
        <v>20</v>
      </c>
      <c r="J329" s="2">
        <v>66.5</v>
      </c>
      <c r="K329" s="3">
        <v>83</v>
      </c>
      <c r="L329" s="1" t="s">
        <v>28</v>
      </c>
    </row>
    <row r="330" spans="1:12" x14ac:dyDescent="0.35">
      <c r="A330">
        <v>329</v>
      </c>
      <c r="B330" s="1" t="s">
        <v>23</v>
      </c>
      <c r="C330" s="2">
        <v>3.4</v>
      </c>
      <c r="D330" s="3">
        <v>79.599999999999994</v>
      </c>
      <c r="E330" s="2">
        <v>7.2</v>
      </c>
      <c r="F330" s="1" t="s">
        <v>24</v>
      </c>
      <c r="G330" s="1" t="s">
        <v>19</v>
      </c>
      <c r="H330" s="1" t="s">
        <v>19</v>
      </c>
      <c r="I330" s="1" t="s">
        <v>20</v>
      </c>
      <c r="J330" s="2">
        <v>62.6</v>
      </c>
      <c r="K330" s="3">
        <v>64</v>
      </c>
      <c r="L330" s="1" t="s">
        <v>30</v>
      </c>
    </row>
    <row r="331" spans="1:12" x14ac:dyDescent="0.35">
      <c r="A331">
        <v>330</v>
      </c>
      <c r="B331" s="1" t="s">
        <v>23</v>
      </c>
      <c r="C331" s="2">
        <v>5.2</v>
      </c>
      <c r="D331" s="3">
        <v>84.1</v>
      </c>
      <c r="E331" s="2">
        <v>4.3</v>
      </c>
      <c r="F331" s="1" t="s">
        <v>34</v>
      </c>
      <c r="G331" s="1" t="s">
        <v>19</v>
      </c>
      <c r="H331" s="1" t="s">
        <v>20</v>
      </c>
      <c r="I331" s="1" t="s">
        <v>20</v>
      </c>
      <c r="J331" s="2">
        <v>80.8</v>
      </c>
      <c r="K331" s="3">
        <v>97</v>
      </c>
      <c r="L331" s="1" t="s">
        <v>21</v>
      </c>
    </row>
    <row r="332" spans="1:12" x14ac:dyDescent="0.35">
      <c r="A332">
        <v>331</v>
      </c>
      <c r="B332" s="1" t="s">
        <v>17</v>
      </c>
      <c r="C332" s="2">
        <v>3.7</v>
      </c>
      <c r="D332" s="3">
        <v>88.3</v>
      </c>
      <c r="E332" s="2">
        <v>7.6</v>
      </c>
      <c r="F332" s="1" t="s">
        <v>34</v>
      </c>
      <c r="G332" s="1" t="s">
        <v>19</v>
      </c>
      <c r="H332" s="1" t="s">
        <v>19</v>
      </c>
      <c r="I332" s="1" t="s">
        <v>20</v>
      </c>
      <c r="J332" s="2">
        <v>60.1</v>
      </c>
      <c r="K332" s="3">
        <v>97</v>
      </c>
      <c r="L332" s="1" t="s">
        <v>21</v>
      </c>
    </row>
    <row r="333" spans="1:12" x14ac:dyDescent="0.35">
      <c r="A333">
        <v>332</v>
      </c>
      <c r="B333" s="1" t="s">
        <v>17</v>
      </c>
      <c r="C333" s="2">
        <v>3.7</v>
      </c>
      <c r="D333" s="3">
        <v>86.9</v>
      </c>
      <c r="E333" s="2">
        <v>7.9</v>
      </c>
      <c r="F333" s="1" t="s">
        <v>33</v>
      </c>
      <c r="G333" s="1" t="s">
        <v>20</v>
      </c>
      <c r="H333" s="1" t="s">
        <v>19</v>
      </c>
      <c r="I333" s="1" t="s">
        <v>20</v>
      </c>
      <c r="J333" s="2">
        <v>92.2</v>
      </c>
      <c r="K333" s="3">
        <v>93</v>
      </c>
      <c r="L333" s="1" t="s">
        <v>21</v>
      </c>
    </row>
    <row r="334" spans="1:12" x14ac:dyDescent="0.35">
      <c r="A334">
        <v>333</v>
      </c>
      <c r="B334" s="1" t="s">
        <v>23</v>
      </c>
      <c r="C334" s="2">
        <v>3</v>
      </c>
      <c r="D334" s="3">
        <v>92.1</v>
      </c>
      <c r="E334" s="2">
        <v>6.1</v>
      </c>
      <c r="F334" s="1" t="s">
        <v>24</v>
      </c>
      <c r="G334" s="1" t="s">
        <v>19</v>
      </c>
      <c r="H334" s="1" t="s">
        <v>19</v>
      </c>
      <c r="I334" s="1" t="s">
        <v>19</v>
      </c>
      <c r="J334" s="2">
        <v>93.2</v>
      </c>
      <c r="K334" s="3">
        <v>83</v>
      </c>
      <c r="L334" s="1" t="s">
        <v>28</v>
      </c>
    </row>
    <row r="335" spans="1:12" x14ac:dyDescent="0.35">
      <c r="A335">
        <v>334</v>
      </c>
      <c r="B335" s="1" t="s">
        <v>17</v>
      </c>
      <c r="C335" s="2">
        <v>3.4</v>
      </c>
      <c r="D335" s="3">
        <v>80.599999999999994</v>
      </c>
      <c r="E335" s="2">
        <v>6.9</v>
      </c>
      <c r="F335" s="1" t="s">
        <v>33</v>
      </c>
      <c r="G335" s="1" t="s">
        <v>19</v>
      </c>
      <c r="H335" s="1" t="s">
        <v>19</v>
      </c>
      <c r="I335" s="1" t="s">
        <v>20</v>
      </c>
      <c r="J335" s="2">
        <v>73.099999999999994</v>
      </c>
      <c r="K335" s="3">
        <v>81</v>
      </c>
      <c r="L335" s="1" t="s">
        <v>28</v>
      </c>
    </row>
    <row r="336" spans="1:12" x14ac:dyDescent="0.35">
      <c r="A336">
        <v>335</v>
      </c>
      <c r="B336" s="1" t="s">
        <v>23</v>
      </c>
      <c r="C336" s="2">
        <v>4</v>
      </c>
      <c r="D336" s="3">
        <v>90.1</v>
      </c>
      <c r="E336" s="2">
        <v>9.1</v>
      </c>
      <c r="F336" s="1" t="s">
        <v>27</v>
      </c>
      <c r="G336" s="1" t="s">
        <v>19</v>
      </c>
      <c r="H336" s="1" t="s">
        <v>20</v>
      </c>
      <c r="I336" s="1" t="s">
        <v>20</v>
      </c>
      <c r="J336" s="2">
        <v>69.900000000000006</v>
      </c>
      <c r="K336" s="3">
        <v>89</v>
      </c>
      <c r="L336" s="1" t="s">
        <v>28</v>
      </c>
    </row>
    <row r="337" spans="1:12" x14ac:dyDescent="0.35">
      <c r="A337">
        <v>336</v>
      </c>
      <c r="B337" s="1" t="s">
        <v>23</v>
      </c>
      <c r="C337" s="2">
        <v>0.9</v>
      </c>
      <c r="D337" s="3">
        <v>82.4</v>
      </c>
      <c r="E337" s="2">
        <v>6.2</v>
      </c>
      <c r="F337" s="1" t="s">
        <v>33</v>
      </c>
      <c r="G337" s="1" t="s">
        <v>19</v>
      </c>
      <c r="H337" s="1" t="s">
        <v>19</v>
      </c>
      <c r="I337" s="1" t="s">
        <v>20</v>
      </c>
      <c r="J337" s="2">
        <v>82.4</v>
      </c>
      <c r="K337" s="3">
        <v>71</v>
      </c>
      <c r="L337" s="1" t="s">
        <v>32</v>
      </c>
    </row>
    <row r="338" spans="1:12" x14ac:dyDescent="0.35">
      <c r="A338">
        <v>337</v>
      </c>
      <c r="B338" s="1" t="s">
        <v>17</v>
      </c>
      <c r="C338" s="2">
        <v>1.5</v>
      </c>
      <c r="D338" s="3">
        <v>92.4</v>
      </c>
      <c r="E338" s="2">
        <v>5.5</v>
      </c>
      <c r="F338" s="1" t="s">
        <v>24</v>
      </c>
      <c r="G338" s="1" t="s">
        <v>19</v>
      </c>
      <c r="H338" s="1" t="s">
        <v>20</v>
      </c>
      <c r="I338" s="1" t="s">
        <v>20</v>
      </c>
      <c r="J338" s="2">
        <v>83.1</v>
      </c>
      <c r="K338" s="3">
        <v>87</v>
      </c>
      <c r="L338" s="1" t="s">
        <v>28</v>
      </c>
    </row>
    <row r="339" spans="1:12" x14ac:dyDescent="0.35">
      <c r="A339">
        <v>338</v>
      </c>
      <c r="B339" s="1" t="s">
        <v>17</v>
      </c>
      <c r="C339" s="2">
        <v>4.5999999999999996</v>
      </c>
      <c r="D339" s="3">
        <v>91.2</v>
      </c>
      <c r="E339" s="2">
        <v>8.6</v>
      </c>
      <c r="F339" s="1" t="s">
        <v>18</v>
      </c>
      <c r="G339" s="1" t="s">
        <v>19</v>
      </c>
      <c r="H339" s="1" t="s">
        <v>20</v>
      </c>
      <c r="I339" s="1" t="s">
        <v>20</v>
      </c>
      <c r="J339" s="2">
        <v>60.3</v>
      </c>
      <c r="K339" s="3">
        <v>95</v>
      </c>
      <c r="L339" s="1" t="s">
        <v>21</v>
      </c>
    </row>
    <row r="340" spans="1:12" x14ac:dyDescent="0.35">
      <c r="A340">
        <v>339</v>
      </c>
      <c r="B340" s="1" t="s">
        <v>23</v>
      </c>
      <c r="C340" s="2">
        <v>3.8</v>
      </c>
      <c r="D340" s="3">
        <v>75.599999999999994</v>
      </c>
      <c r="E340" s="2">
        <v>9.1999999999999993</v>
      </c>
      <c r="F340" s="1" t="s">
        <v>18</v>
      </c>
      <c r="G340" s="1" t="s">
        <v>19</v>
      </c>
      <c r="H340" s="1" t="s">
        <v>20</v>
      </c>
      <c r="I340" s="1" t="s">
        <v>20</v>
      </c>
      <c r="J340" s="2">
        <v>63.7</v>
      </c>
      <c r="K340" s="3">
        <v>76</v>
      </c>
      <c r="L340" s="1" t="s">
        <v>32</v>
      </c>
    </row>
    <row r="341" spans="1:12" x14ac:dyDescent="0.35">
      <c r="A341">
        <v>340</v>
      </c>
      <c r="B341" s="1" t="s">
        <v>23</v>
      </c>
      <c r="C341" s="2">
        <v>3.2</v>
      </c>
      <c r="D341" s="3">
        <v>95.9</v>
      </c>
      <c r="E341" s="2">
        <v>6.8</v>
      </c>
      <c r="F341" s="1" t="s">
        <v>18</v>
      </c>
      <c r="G341" s="1" t="s">
        <v>19</v>
      </c>
      <c r="H341" s="1" t="s">
        <v>20</v>
      </c>
      <c r="I341" s="1" t="s">
        <v>20</v>
      </c>
      <c r="J341" s="2">
        <v>54.1</v>
      </c>
      <c r="K341" s="3">
        <v>85</v>
      </c>
      <c r="L341" s="1" t="s">
        <v>28</v>
      </c>
    </row>
    <row r="342" spans="1:12" x14ac:dyDescent="0.35">
      <c r="A342">
        <v>341</v>
      </c>
      <c r="B342" s="1" t="s">
        <v>17</v>
      </c>
      <c r="C342" s="2">
        <v>3.5</v>
      </c>
      <c r="D342" s="3">
        <v>79.599999999999994</v>
      </c>
      <c r="E342" s="2">
        <v>8</v>
      </c>
      <c r="F342" s="1" t="s">
        <v>24</v>
      </c>
      <c r="G342" s="1" t="s">
        <v>19</v>
      </c>
      <c r="H342" s="1" t="s">
        <v>19</v>
      </c>
      <c r="I342" s="1" t="s">
        <v>20</v>
      </c>
      <c r="J342" s="2">
        <v>74.900000000000006</v>
      </c>
      <c r="K342" s="3">
        <v>96</v>
      </c>
      <c r="L342" s="1" t="s">
        <v>21</v>
      </c>
    </row>
    <row r="343" spans="1:12" x14ac:dyDescent="0.35">
      <c r="A343">
        <v>342</v>
      </c>
      <c r="B343" s="1" t="s">
        <v>23</v>
      </c>
      <c r="C343" s="2">
        <v>4</v>
      </c>
      <c r="D343" s="3">
        <v>93.1</v>
      </c>
      <c r="E343" s="2">
        <v>8.4</v>
      </c>
      <c r="F343" s="1" t="s">
        <v>24</v>
      </c>
      <c r="G343" s="1" t="s">
        <v>19</v>
      </c>
      <c r="H343" s="1" t="s">
        <v>19</v>
      </c>
      <c r="I343" s="1" t="s">
        <v>20</v>
      </c>
      <c r="J343" s="2">
        <v>78</v>
      </c>
      <c r="K343" s="3">
        <v>100</v>
      </c>
      <c r="L343" s="1" t="s">
        <v>21</v>
      </c>
    </row>
    <row r="344" spans="1:12" x14ac:dyDescent="0.35">
      <c r="A344">
        <v>343</v>
      </c>
      <c r="B344" s="1" t="s">
        <v>17</v>
      </c>
      <c r="C344" s="2">
        <v>2.7</v>
      </c>
      <c r="D344" s="3">
        <v>88.7</v>
      </c>
      <c r="E344" s="2">
        <v>5.9</v>
      </c>
      <c r="F344" s="1" t="s">
        <v>33</v>
      </c>
      <c r="G344" s="1" t="s">
        <v>19</v>
      </c>
      <c r="H344" s="1" t="s">
        <v>20</v>
      </c>
      <c r="I344" s="1" t="s">
        <v>20</v>
      </c>
      <c r="J344" s="2">
        <v>53.8</v>
      </c>
      <c r="K344" s="3">
        <v>92</v>
      </c>
      <c r="L344" s="1" t="s">
        <v>21</v>
      </c>
    </row>
    <row r="345" spans="1:12" x14ac:dyDescent="0.35">
      <c r="A345">
        <v>344</v>
      </c>
      <c r="B345" s="1" t="s">
        <v>23</v>
      </c>
      <c r="C345" s="2">
        <v>2.2999999999999998</v>
      </c>
      <c r="D345" s="3">
        <v>100</v>
      </c>
      <c r="E345" s="2">
        <v>6.2</v>
      </c>
      <c r="F345" s="1" t="s">
        <v>34</v>
      </c>
      <c r="G345" s="1" t="s">
        <v>19</v>
      </c>
      <c r="H345" s="1" t="s">
        <v>19</v>
      </c>
      <c r="I345" s="1" t="s">
        <v>20</v>
      </c>
      <c r="J345" s="2">
        <v>64.5</v>
      </c>
      <c r="K345" s="3">
        <v>77</v>
      </c>
      <c r="L345" s="1" t="s">
        <v>32</v>
      </c>
    </row>
    <row r="346" spans="1:12" x14ac:dyDescent="0.35">
      <c r="A346">
        <v>345</v>
      </c>
      <c r="B346" s="1" t="s">
        <v>17</v>
      </c>
      <c r="C346" s="2">
        <v>3.8</v>
      </c>
      <c r="D346" s="3">
        <v>82.8</v>
      </c>
      <c r="E346" s="2">
        <v>8.3000000000000007</v>
      </c>
      <c r="F346" s="1" t="s">
        <v>24</v>
      </c>
      <c r="G346" s="1" t="s">
        <v>19</v>
      </c>
      <c r="H346" s="1" t="s">
        <v>20</v>
      </c>
      <c r="I346" s="1" t="s">
        <v>20</v>
      </c>
      <c r="J346" s="2">
        <v>53.8</v>
      </c>
      <c r="K346" s="3">
        <v>98</v>
      </c>
      <c r="L346" s="1" t="s">
        <v>21</v>
      </c>
    </row>
    <row r="347" spans="1:12" x14ac:dyDescent="0.35">
      <c r="A347">
        <v>346</v>
      </c>
      <c r="B347" s="1" t="s">
        <v>17</v>
      </c>
      <c r="C347" s="2">
        <v>2</v>
      </c>
      <c r="D347" s="3">
        <v>81.5</v>
      </c>
      <c r="E347" s="2">
        <v>8.8000000000000007</v>
      </c>
      <c r="F347" s="1" t="s">
        <v>27</v>
      </c>
      <c r="G347" s="1" t="s">
        <v>19</v>
      </c>
      <c r="H347" s="1" t="s">
        <v>19</v>
      </c>
      <c r="I347" s="1" t="s">
        <v>19</v>
      </c>
      <c r="J347" s="2">
        <v>59.2</v>
      </c>
      <c r="K347" s="3">
        <v>71</v>
      </c>
      <c r="L347" s="1" t="s">
        <v>32</v>
      </c>
    </row>
    <row r="348" spans="1:12" x14ac:dyDescent="0.35">
      <c r="A348">
        <v>347</v>
      </c>
      <c r="B348" s="1" t="s">
        <v>17</v>
      </c>
      <c r="C348" s="2">
        <v>4.0999999999999996</v>
      </c>
      <c r="D348" s="3">
        <v>84.8</v>
      </c>
      <c r="E348" s="2">
        <v>7.5</v>
      </c>
      <c r="F348" s="1" t="s">
        <v>24</v>
      </c>
      <c r="G348" s="1" t="s">
        <v>19</v>
      </c>
      <c r="H348" s="1" t="s">
        <v>20</v>
      </c>
      <c r="I348" s="1" t="s">
        <v>20</v>
      </c>
      <c r="J348" s="2">
        <v>76.599999999999994</v>
      </c>
      <c r="K348" s="3">
        <v>87</v>
      </c>
      <c r="L348" s="1" t="s">
        <v>28</v>
      </c>
    </row>
    <row r="349" spans="1:12" x14ac:dyDescent="0.35">
      <c r="A349">
        <v>348</v>
      </c>
      <c r="B349" s="1" t="s">
        <v>23</v>
      </c>
      <c r="C349" s="2">
        <v>0.9</v>
      </c>
      <c r="D349" s="3">
        <v>82</v>
      </c>
      <c r="E349" s="2">
        <v>5.7</v>
      </c>
      <c r="F349" s="1" t="s">
        <v>33</v>
      </c>
      <c r="G349" s="1" t="s">
        <v>19</v>
      </c>
      <c r="H349" s="1" t="s">
        <v>20</v>
      </c>
      <c r="I349" s="1" t="s">
        <v>20</v>
      </c>
      <c r="J349" s="2">
        <v>61.2</v>
      </c>
      <c r="K349" s="3">
        <v>69</v>
      </c>
      <c r="L349" s="1" t="s">
        <v>30</v>
      </c>
    </row>
    <row r="350" spans="1:12" x14ac:dyDescent="0.35">
      <c r="A350">
        <v>349</v>
      </c>
      <c r="B350" s="1" t="s">
        <v>23</v>
      </c>
      <c r="C350" s="2">
        <v>5</v>
      </c>
      <c r="D350" s="3">
        <v>93</v>
      </c>
      <c r="E350" s="2">
        <v>9.1999999999999993</v>
      </c>
      <c r="F350" s="1" t="s">
        <v>33</v>
      </c>
      <c r="G350" s="1" t="s">
        <v>19</v>
      </c>
      <c r="H350" s="1" t="s">
        <v>19</v>
      </c>
      <c r="I350" s="1" t="s">
        <v>19</v>
      </c>
      <c r="J350" s="2">
        <v>66.400000000000006</v>
      </c>
      <c r="K350" s="3">
        <v>90</v>
      </c>
      <c r="L350" s="1" t="s">
        <v>21</v>
      </c>
    </row>
    <row r="351" spans="1:12" x14ac:dyDescent="0.35">
      <c r="A351">
        <v>350</v>
      </c>
      <c r="B351" s="1" t="s">
        <v>17</v>
      </c>
      <c r="C351" s="2">
        <v>4.2</v>
      </c>
      <c r="D351" s="3">
        <v>68.8</v>
      </c>
      <c r="E351" s="2">
        <v>6.2</v>
      </c>
      <c r="F351" s="1" t="s">
        <v>33</v>
      </c>
      <c r="G351" s="1" t="s">
        <v>19</v>
      </c>
      <c r="H351" s="1" t="s">
        <v>19</v>
      </c>
      <c r="I351" s="1" t="s">
        <v>19</v>
      </c>
      <c r="J351" s="2">
        <v>50.5</v>
      </c>
      <c r="K351" s="3">
        <v>74</v>
      </c>
      <c r="L351" s="1" t="s">
        <v>32</v>
      </c>
    </row>
    <row r="352" spans="1:12" x14ac:dyDescent="0.35">
      <c r="A352">
        <v>351</v>
      </c>
      <c r="B352" s="1" t="s">
        <v>23</v>
      </c>
      <c r="C352" s="2">
        <v>3.9</v>
      </c>
      <c r="D352" s="3">
        <v>74.5</v>
      </c>
      <c r="E352" s="2">
        <v>6.4</v>
      </c>
      <c r="F352" s="1" t="s">
        <v>27</v>
      </c>
      <c r="G352" s="1" t="s">
        <v>19</v>
      </c>
      <c r="H352" s="1" t="s">
        <v>20</v>
      </c>
      <c r="I352" s="1" t="s">
        <v>20</v>
      </c>
      <c r="J352" s="2">
        <v>72.2</v>
      </c>
      <c r="K352" s="3">
        <v>75</v>
      </c>
      <c r="L352" s="1" t="s">
        <v>32</v>
      </c>
    </row>
    <row r="353" spans="1:12" x14ac:dyDescent="0.35">
      <c r="A353">
        <v>352</v>
      </c>
      <c r="B353" s="1" t="s">
        <v>17</v>
      </c>
      <c r="C353" s="2">
        <v>5</v>
      </c>
      <c r="D353" s="3">
        <v>74.3</v>
      </c>
      <c r="E353" s="2">
        <v>7.2</v>
      </c>
      <c r="F353" s="1" t="s">
        <v>24</v>
      </c>
      <c r="G353" s="1" t="s">
        <v>19</v>
      </c>
      <c r="H353" s="1" t="s">
        <v>20</v>
      </c>
      <c r="I353" s="1" t="s">
        <v>20</v>
      </c>
      <c r="J353" s="2">
        <v>69.5</v>
      </c>
      <c r="K353" s="3">
        <v>87</v>
      </c>
      <c r="L353" s="1" t="s">
        <v>28</v>
      </c>
    </row>
    <row r="354" spans="1:12" x14ac:dyDescent="0.35">
      <c r="A354">
        <v>353</v>
      </c>
      <c r="B354" s="1" t="s">
        <v>17</v>
      </c>
      <c r="C354" s="2">
        <v>6</v>
      </c>
      <c r="D354" s="3">
        <v>94.5</v>
      </c>
      <c r="E354" s="2">
        <v>8.6999999999999993</v>
      </c>
      <c r="F354" s="1" t="s">
        <v>34</v>
      </c>
      <c r="G354" s="1" t="s">
        <v>19</v>
      </c>
      <c r="H354" s="1" t="s">
        <v>19</v>
      </c>
      <c r="I354" s="1" t="s">
        <v>20</v>
      </c>
      <c r="J354" s="2">
        <v>61.3</v>
      </c>
      <c r="K354" s="3">
        <v>100</v>
      </c>
      <c r="L354" s="1" t="s">
        <v>21</v>
      </c>
    </row>
    <row r="355" spans="1:12" x14ac:dyDescent="0.35">
      <c r="A355">
        <v>354</v>
      </c>
      <c r="B355" s="1" t="s">
        <v>23</v>
      </c>
      <c r="C355" s="2">
        <v>5</v>
      </c>
      <c r="D355" s="3">
        <v>100</v>
      </c>
      <c r="E355" s="2">
        <v>7.8</v>
      </c>
      <c r="F355" s="1" t="s">
        <v>24</v>
      </c>
      <c r="G355" s="1" t="s">
        <v>19</v>
      </c>
      <c r="H355" s="1" t="s">
        <v>20</v>
      </c>
      <c r="I355" s="1" t="s">
        <v>19</v>
      </c>
      <c r="J355" s="2">
        <v>67.7</v>
      </c>
      <c r="K355" s="3">
        <v>94</v>
      </c>
      <c r="L355" s="1" t="s">
        <v>21</v>
      </c>
    </row>
    <row r="356" spans="1:12" x14ac:dyDescent="0.35">
      <c r="A356">
        <v>355</v>
      </c>
      <c r="B356" s="1" t="s">
        <v>23</v>
      </c>
      <c r="C356" s="2">
        <v>0.7</v>
      </c>
      <c r="D356" s="3">
        <v>84</v>
      </c>
      <c r="E356" s="2">
        <v>7.3</v>
      </c>
      <c r="F356" s="1" t="s">
        <v>33</v>
      </c>
      <c r="G356" s="1" t="s">
        <v>19</v>
      </c>
      <c r="H356" s="1" t="s">
        <v>19</v>
      </c>
      <c r="I356" s="1" t="s">
        <v>19</v>
      </c>
      <c r="J356" s="2">
        <v>72.2</v>
      </c>
      <c r="K356" s="3">
        <v>72</v>
      </c>
      <c r="L356" s="1" t="s">
        <v>32</v>
      </c>
    </row>
    <row r="357" spans="1:12" x14ac:dyDescent="0.35">
      <c r="A357">
        <v>356</v>
      </c>
      <c r="B357" s="1" t="s">
        <v>17</v>
      </c>
      <c r="C357" s="2">
        <v>1.6</v>
      </c>
      <c r="D357" s="3">
        <v>83.3</v>
      </c>
      <c r="E357" s="2">
        <v>7.4</v>
      </c>
      <c r="F357" s="1" t="s">
        <v>33</v>
      </c>
      <c r="G357" s="1" t="s">
        <v>19</v>
      </c>
      <c r="H357" s="1" t="s">
        <v>19</v>
      </c>
      <c r="I357" s="1" t="s">
        <v>20</v>
      </c>
      <c r="J357" s="2">
        <v>60.2</v>
      </c>
      <c r="K357" s="3">
        <v>76</v>
      </c>
      <c r="L357" s="1" t="s">
        <v>32</v>
      </c>
    </row>
    <row r="358" spans="1:12" x14ac:dyDescent="0.35">
      <c r="A358">
        <v>357</v>
      </c>
      <c r="B358" s="1" t="s">
        <v>23</v>
      </c>
      <c r="C358" s="2">
        <v>2.6</v>
      </c>
      <c r="D358" s="3">
        <v>85.7</v>
      </c>
      <c r="E358" s="2">
        <v>6.9</v>
      </c>
      <c r="F358" s="1" t="s">
        <v>33</v>
      </c>
      <c r="G358" s="1" t="s">
        <v>19</v>
      </c>
      <c r="H358" s="1" t="s">
        <v>20</v>
      </c>
      <c r="I358" s="1" t="s">
        <v>20</v>
      </c>
      <c r="J358" s="2">
        <v>52.3</v>
      </c>
      <c r="K358" s="3">
        <v>81</v>
      </c>
      <c r="L358" s="1" t="s">
        <v>28</v>
      </c>
    </row>
    <row r="359" spans="1:12" x14ac:dyDescent="0.35">
      <c r="A359">
        <v>358</v>
      </c>
      <c r="B359" s="1" t="s">
        <v>23</v>
      </c>
      <c r="C359" s="2">
        <v>3.5</v>
      </c>
      <c r="D359" s="3">
        <v>96.6</v>
      </c>
      <c r="E359" s="2">
        <v>7.5</v>
      </c>
      <c r="F359" s="1" t="s">
        <v>24</v>
      </c>
      <c r="G359" s="1" t="s">
        <v>19</v>
      </c>
      <c r="H359" s="1" t="s">
        <v>20</v>
      </c>
      <c r="I359" s="1" t="s">
        <v>19</v>
      </c>
      <c r="J359" s="2">
        <v>91.7</v>
      </c>
      <c r="K359" s="3">
        <v>85</v>
      </c>
      <c r="L359" s="1" t="s">
        <v>28</v>
      </c>
    </row>
    <row r="360" spans="1:12" x14ac:dyDescent="0.35">
      <c r="A360">
        <v>359</v>
      </c>
      <c r="B360" s="1" t="s">
        <v>17</v>
      </c>
      <c r="C360" s="2">
        <v>4.3</v>
      </c>
      <c r="D360" s="3">
        <v>75.7</v>
      </c>
      <c r="E360" s="2">
        <v>3.8</v>
      </c>
      <c r="F360" s="1" t="s">
        <v>34</v>
      </c>
      <c r="G360" s="1" t="s">
        <v>19</v>
      </c>
      <c r="H360" s="1" t="s">
        <v>20</v>
      </c>
      <c r="I360" s="1" t="s">
        <v>20</v>
      </c>
      <c r="J360" s="2">
        <v>62.4</v>
      </c>
      <c r="K360" s="3">
        <v>82</v>
      </c>
      <c r="L360" s="1" t="s">
        <v>28</v>
      </c>
    </row>
    <row r="361" spans="1:12" x14ac:dyDescent="0.35">
      <c r="A361">
        <v>360</v>
      </c>
      <c r="B361" s="1" t="s">
        <v>17</v>
      </c>
      <c r="C361" s="2">
        <v>2.4</v>
      </c>
      <c r="D361" s="3">
        <v>87.4</v>
      </c>
      <c r="E361" s="2">
        <v>6.4</v>
      </c>
      <c r="F361" s="1" t="s">
        <v>24</v>
      </c>
      <c r="G361" s="1" t="s">
        <v>19</v>
      </c>
      <c r="H361" s="1" t="s">
        <v>20</v>
      </c>
      <c r="I361" s="1" t="s">
        <v>20</v>
      </c>
      <c r="J361" s="2">
        <v>68.8</v>
      </c>
      <c r="K361" s="3">
        <v>78</v>
      </c>
      <c r="L361" s="1" t="s">
        <v>32</v>
      </c>
    </row>
    <row r="362" spans="1:12" x14ac:dyDescent="0.35">
      <c r="A362">
        <v>361</v>
      </c>
      <c r="B362" s="1" t="s">
        <v>23</v>
      </c>
      <c r="C362" s="2">
        <v>3.8</v>
      </c>
      <c r="D362" s="3">
        <v>94.8</v>
      </c>
      <c r="E362" s="2">
        <v>7.1</v>
      </c>
      <c r="F362" s="1" t="s">
        <v>24</v>
      </c>
      <c r="G362" s="1" t="s">
        <v>19</v>
      </c>
      <c r="H362" s="1" t="s">
        <v>19</v>
      </c>
      <c r="I362" s="1" t="s">
        <v>19</v>
      </c>
      <c r="J362" s="2">
        <v>82.1</v>
      </c>
      <c r="K362" s="3">
        <v>94</v>
      </c>
      <c r="L362" s="1" t="s">
        <v>21</v>
      </c>
    </row>
    <row r="363" spans="1:12" x14ac:dyDescent="0.35">
      <c r="A363">
        <v>362</v>
      </c>
      <c r="B363" s="1" t="s">
        <v>17</v>
      </c>
      <c r="C363" s="2">
        <v>2.4</v>
      </c>
      <c r="D363" s="3">
        <v>90</v>
      </c>
      <c r="E363" s="2">
        <v>5.4</v>
      </c>
      <c r="F363" s="1" t="s">
        <v>33</v>
      </c>
      <c r="G363" s="1" t="s">
        <v>19</v>
      </c>
      <c r="H363" s="1" t="s">
        <v>20</v>
      </c>
      <c r="I363" s="1" t="s">
        <v>19</v>
      </c>
      <c r="J363" s="2">
        <v>100</v>
      </c>
      <c r="K363" s="3">
        <v>95</v>
      </c>
      <c r="L363" s="1" t="s">
        <v>21</v>
      </c>
    </row>
    <row r="364" spans="1:12" x14ac:dyDescent="0.35">
      <c r="A364">
        <v>363</v>
      </c>
      <c r="B364" s="1" t="s">
        <v>17</v>
      </c>
      <c r="C364" s="2">
        <v>2.6</v>
      </c>
      <c r="D364" s="3">
        <v>86.9</v>
      </c>
      <c r="E364" s="2">
        <v>7.3</v>
      </c>
      <c r="F364" s="1" t="s">
        <v>18</v>
      </c>
      <c r="G364" s="1" t="s">
        <v>19</v>
      </c>
      <c r="H364" s="1" t="s">
        <v>19</v>
      </c>
      <c r="I364" s="1" t="s">
        <v>19</v>
      </c>
      <c r="J364" s="2">
        <v>55.1</v>
      </c>
      <c r="K364" s="3">
        <v>67</v>
      </c>
      <c r="L364" s="1" t="s">
        <v>30</v>
      </c>
    </row>
    <row r="365" spans="1:12" x14ac:dyDescent="0.35">
      <c r="A365">
        <v>364</v>
      </c>
      <c r="B365" s="1" t="s">
        <v>23</v>
      </c>
      <c r="C365" s="2">
        <v>1.4</v>
      </c>
      <c r="D365" s="3">
        <v>95</v>
      </c>
      <c r="E365" s="2">
        <v>6.6</v>
      </c>
      <c r="F365" s="1" t="s">
        <v>33</v>
      </c>
      <c r="G365" s="1" t="s">
        <v>19</v>
      </c>
      <c r="H365" s="1" t="s">
        <v>19</v>
      </c>
      <c r="I365" s="1" t="s">
        <v>20</v>
      </c>
      <c r="J365" s="2">
        <v>75.400000000000006</v>
      </c>
      <c r="K365" s="3">
        <v>76</v>
      </c>
      <c r="L365" s="1" t="s">
        <v>32</v>
      </c>
    </row>
    <row r="366" spans="1:12" x14ac:dyDescent="0.35">
      <c r="A366">
        <v>365</v>
      </c>
      <c r="B366" s="1" t="s">
        <v>17</v>
      </c>
      <c r="C366" s="2">
        <v>2.1</v>
      </c>
      <c r="D366" s="3">
        <v>58</v>
      </c>
      <c r="E366" s="2">
        <v>8.9</v>
      </c>
      <c r="F366" s="1" t="s">
        <v>18</v>
      </c>
      <c r="G366" s="1" t="s">
        <v>19</v>
      </c>
      <c r="H366" s="1" t="s">
        <v>19</v>
      </c>
      <c r="I366" s="1" t="s">
        <v>20</v>
      </c>
      <c r="J366" s="2">
        <v>61.5</v>
      </c>
      <c r="K366" s="3">
        <v>57</v>
      </c>
      <c r="L366" s="1" t="s">
        <v>35</v>
      </c>
    </row>
    <row r="367" spans="1:12" x14ac:dyDescent="0.35">
      <c r="A367">
        <v>366</v>
      </c>
      <c r="B367" s="1" t="s">
        <v>17</v>
      </c>
      <c r="C367" s="2">
        <v>1.5</v>
      </c>
      <c r="D367" s="3">
        <v>91.8</v>
      </c>
      <c r="E367" s="2">
        <v>8.6999999999999993</v>
      </c>
      <c r="F367" s="1" t="s">
        <v>24</v>
      </c>
      <c r="G367" s="1" t="s">
        <v>19</v>
      </c>
      <c r="H367" s="1" t="s">
        <v>19</v>
      </c>
      <c r="I367" s="1" t="s">
        <v>20</v>
      </c>
      <c r="J367" s="2">
        <v>63.5</v>
      </c>
      <c r="K367" s="3">
        <v>75</v>
      </c>
      <c r="L367" s="1" t="s">
        <v>32</v>
      </c>
    </row>
    <row r="368" spans="1:12" x14ac:dyDescent="0.35">
      <c r="A368">
        <v>367</v>
      </c>
      <c r="B368" s="1" t="s">
        <v>23</v>
      </c>
      <c r="C368" s="2">
        <v>2</v>
      </c>
      <c r="D368" s="3">
        <v>78.5</v>
      </c>
      <c r="E368" s="2">
        <v>6.2</v>
      </c>
      <c r="F368" s="1" t="s">
        <v>33</v>
      </c>
      <c r="G368" s="1" t="s">
        <v>19</v>
      </c>
      <c r="H368" s="1" t="s">
        <v>19</v>
      </c>
      <c r="I368" s="1" t="s">
        <v>20</v>
      </c>
      <c r="J368" s="2">
        <v>61.4</v>
      </c>
      <c r="K368" s="3">
        <v>81</v>
      </c>
      <c r="L368" s="1" t="s">
        <v>28</v>
      </c>
    </row>
    <row r="369" spans="1:12" x14ac:dyDescent="0.35">
      <c r="A369">
        <v>368</v>
      </c>
      <c r="B369" s="1" t="s">
        <v>23</v>
      </c>
      <c r="C369" s="2">
        <v>5.0999999999999996</v>
      </c>
      <c r="D369" s="3">
        <v>66.7</v>
      </c>
      <c r="E369" s="2">
        <v>6.6</v>
      </c>
      <c r="F369" s="1" t="s">
        <v>18</v>
      </c>
      <c r="G369" s="1" t="s">
        <v>20</v>
      </c>
      <c r="H369" s="1" t="s">
        <v>19</v>
      </c>
      <c r="I369" s="1" t="s">
        <v>20</v>
      </c>
      <c r="J369" s="2">
        <v>56.5</v>
      </c>
      <c r="K369" s="3">
        <v>75</v>
      </c>
      <c r="L369" s="1" t="s">
        <v>32</v>
      </c>
    </row>
    <row r="370" spans="1:12" x14ac:dyDescent="0.35">
      <c r="A370">
        <v>369</v>
      </c>
      <c r="B370" s="1" t="s">
        <v>17</v>
      </c>
      <c r="C370" s="2">
        <v>2.1</v>
      </c>
      <c r="D370" s="3">
        <v>90.1</v>
      </c>
      <c r="E370" s="2">
        <v>6.7</v>
      </c>
      <c r="F370" s="1" t="s">
        <v>24</v>
      </c>
      <c r="G370" s="1" t="s">
        <v>20</v>
      </c>
      <c r="H370" s="1" t="s">
        <v>19</v>
      </c>
      <c r="I370" s="1" t="s">
        <v>20</v>
      </c>
      <c r="J370" s="2">
        <v>69.5</v>
      </c>
      <c r="K370" s="3">
        <v>68</v>
      </c>
      <c r="L370" s="1" t="s">
        <v>30</v>
      </c>
    </row>
    <row r="371" spans="1:12" x14ac:dyDescent="0.35">
      <c r="A371">
        <v>370</v>
      </c>
      <c r="B371" s="1" t="s">
        <v>17</v>
      </c>
      <c r="C371" s="2">
        <v>7.4</v>
      </c>
      <c r="D371" s="3">
        <v>98.7</v>
      </c>
      <c r="E371" s="2">
        <v>6.3</v>
      </c>
      <c r="F371" s="1" t="s">
        <v>33</v>
      </c>
      <c r="G371" s="1" t="s">
        <v>19</v>
      </c>
      <c r="H371" s="1" t="s">
        <v>19</v>
      </c>
      <c r="I371" s="1" t="s">
        <v>20</v>
      </c>
      <c r="J371" s="2">
        <v>52.3</v>
      </c>
      <c r="K371" s="3">
        <v>97</v>
      </c>
      <c r="L371" s="1" t="s">
        <v>21</v>
      </c>
    </row>
    <row r="372" spans="1:12" x14ac:dyDescent="0.35">
      <c r="A372">
        <v>371</v>
      </c>
      <c r="B372" s="1" t="s">
        <v>23</v>
      </c>
      <c r="C372" s="2">
        <v>4.2</v>
      </c>
      <c r="D372" s="3">
        <v>83.6</v>
      </c>
      <c r="E372" s="2">
        <v>7</v>
      </c>
      <c r="F372" s="1" t="s">
        <v>18</v>
      </c>
      <c r="G372" s="1" t="s">
        <v>19</v>
      </c>
      <c r="H372" s="1" t="s">
        <v>20</v>
      </c>
      <c r="I372" s="1" t="s">
        <v>19</v>
      </c>
      <c r="J372" s="2">
        <v>81.400000000000006</v>
      </c>
      <c r="K372" s="3">
        <v>80</v>
      </c>
      <c r="L372" s="1" t="s">
        <v>28</v>
      </c>
    </row>
    <row r="373" spans="1:12" x14ac:dyDescent="0.35">
      <c r="A373">
        <v>372</v>
      </c>
      <c r="B373" s="1" t="s">
        <v>23</v>
      </c>
      <c r="C373" s="2">
        <v>3.8</v>
      </c>
      <c r="D373" s="3">
        <v>94.5</v>
      </c>
      <c r="E373" s="2">
        <v>5.9</v>
      </c>
      <c r="F373" s="1" t="s">
        <v>18</v>
      </c>
      <c r="G373" s="1" t="s">
        <v>19</v>
      </c>
      <c r="H373" s="1" t="s">
        <v>19</v>
      </c>
      <c r="I373" s="1" t="s">
        <v>20</v>
      </c>
      <c r="J373" s="2">
        <v>70.7</v>
      </c>
      <c r="K373" s="3">
        <v>83</v>
      </c>
      <c r="L373" s="1" t="s">
        <v>28</v>
      </c>
    </row>
    <row r="374" spans="1:12" x14ac:dyDescent="0.35">
      <c r="A374">
        <v>373</v>
      </c>
      <c r="B374" s="1" t="s">
        <v>23</v>
      </c>
      <c r="C374" s="2">
        <v>2.2000000000000002</v>
      </c>
      <c r="D374" s="3">
        <v>100</v>
      </c>
      <c r="E374" s="2">
        <v>5.4</v>
      </c>
      <c r="F374" s="1" t="s">
        <v>18</v>
      </c>
      <c r="G374" s="1" t="s">
        <v>19</v>
      </c>
      <c r="H374" s="1" t="s">
        <v>19</v>
      </c>
      <c r="I374" s="1" t="s">
        <v>20</v>
      </c>
      <c r="J374" s="2">
        <v>75.099999999999994</v>
      </c>
      <c r="K374" s="3">
        <v>88</v>
      </c>
      <c r="L374" s="1" t="s">
        <v>28</v>
      </c>
    </row>
    <row r="375" spans="1:12" x14ac:dyDescent="0.35">
      <c r="A375">
        <v>374</v>
      </c>
      <c r="B375" s="1" t="s">
        <v>23</v>
      </c>
      <c r="C375" s="2">
        <v>4.5999999999999996</v>
      </c>
      <c r="D375" s="3">
        <v>98.1</v>
      </c>
      <c r="E375" s="2">
        <v>7.5</v>
      </c>
      <c r="F375" s="1" t="s">
        <v>33</v>
      </c>
      <c r="G375" s="1" t="s">
        <v>19</v>
      </c>
      <c r="H375" s="1" t="s">
        <v>20</v>
      </c>
      <c r="I375" s="1" t="s">
        <v>20</v>
      </c>
      <c r="J375" s="2">
        <v>64.400000000000006</v>
      </c>
      <c r="K375" s="3">
        <v>86</v>
      </c>
      <c r="L375" s="1" t="s">
        <v>28</v>
      </c>
    </row>
    <row r="376" spans="1:12" x14ac:dyDescent="0.35">
      <c r="A376">
        <v>375</v>
      </c>
      <c r="B376" s="1" t="s">
        <v>17</v>
      </c>
      <c r="C376" s="2">
        <v>2.6</v>
      </c>
      <c r="D376" s="3">
        <v>100</v>
      </c>
      <c r="E376" s="2">
        <v>7.6</v>
      </c>
      <c r="F376" s="1" t="s">
        <v>33</v>
      </c>
      <c r="G376" s="1" t="s">
        <v>19</v>
      </c>
      <c r="H376" s="1" t="s">
        <v>20</v>
      </c>
      <c r="I376" s="1" t="s">
        <v>20</v>
      </c>
      <c r="J376" s="2">
        <v>65.599999999999994</v>
      </c>
      <c r="K376" s="3">
        <v>92</v>
      </c>
      <c r="L376" s="1" t="s">
        <v>21</v>
      </c>
    </row>
    <row r="377" spans="1:12" x14ac:dyDescent="0.35">
      <c r="A377">
        <v>376</v>
      </c>
      <c r="B377" s="1" t="s">
        <v>23</v>
      </c>
      <c r="C377" s="2">
        <v>3.7</v>
      </c>
      <c r="D377" s="3">
        <v>92.4</v>
      </c>
      <c r="E377" s="2">
        <v>5.8</v>
      </c>
      <c r="F377" s="1" t="s">
        <v>33</v>
      </c>
      <c r="G377" s="1" t="s">
        <v>19</v>
      </c>
      <c r="H377" s="1" t="s">
        <v>20</v>
      </c>
      <c r="I377" s="1" t="s">
        <v>19</v>
      </c>
      <c r="J377" s="2">
        <v>73.5</v>
      </c>
      <c r="K377" s="3">
        <v>85</v>
      </c>
      <c r="L377" s="1" t="s">
        <v>28</v>
      </c>
    </row>
    <row r="378" spans="1:12" x14ac:dyDescent="0.35">
      <c r="A378">
        <v>377</v>
      </c>
      <c r="B378" s="1" t="s">
        <v>23</v>
      </c>
      <c r="C378" s="2">
        <v>7.3</v>
      </c>
      <c r="D378" s="3">
        <v>85.8</v>
      </c>
      <c r="E378" s="2">
        <v>7.9</v>
      </c>
      <c r="F378" s="1" t="s">
        <v>24</v>
      </c>
      <c r="G378" s="1" t="s">
        <v>19</v>
      </c>
      <c r="H378" s="1" t="s">
        <v>19</v>
      </c>
      <c r="I378" s="1" t="s">
        <v>20</v>
      </c>
      <c r="J378" s="2">
        <v>56</v>
      </c>
      <c r="K378" s="3">
        <v>99</v>
      </c>
      <c r="L378" s="1" t="s">
        <v>21</v>
      </c>
    </row>
    <row r="379" spans="1:12" x14ac:dyDescent="0.35">
      <c r="A379">
        <v>378</v>
      </c>
      <c r="B379" s="1" t="s">
        <v>17</v>
      </c>
      <c r="C379" s="2">
        <v>3.4</v>
      </c>
      <c r="D379" s="3">
        <v>69</v>
      </c>
      <c r="E379" s="2">
        <v>6</v>
      </c>
      <c r="F379" s="1" t="s">
        <v>33</v>
      </c>
      <c r="G379" s="1" t="s">
        <v>19</v>
      </c>
      <c r="H379" s="1" t="s">
        <v>20</v>
      </c>
      <c r="I379" s="1" t="s">
        <v>20</v>
      </c>
      <c r="J379" s="2">
        <v>65.7</v>
      </c>
      <c r="K379" s="3">
        <v>74</v>
      </c>
      <c r="L379" s="1" t="s">
        <v>32</v>
      </c>
    </row>
    <row r="380" spans="1:12" x14ac:dyDescent="0.35">
      <c r="A380">
        <v>379</v>
      </c>
      <c r="B380" s="1" t="s">
        <v>23</v>
      </c>
      <c r="C380" s="2">
        <v>5.2</v>
      </c>
      <c r="D380" s="3">
        <v>82.5</v>
      </c>
      <c r="E380" s="2">
        <v>7.1</v>
      </c>
      <c r="F380" s="1" t="s">
        <v>33</v>
      </c>
      <c r="G380" s="1" t="s">
        <v>19</v>
      </c>
      <c r="H380" s="1" t="s">
        <v>19</v>
      </c>
      <c r="I380" s="1" t="s">
        <v>20</v>
      </c>
      <c r="J380" s="2">
        <v>59.7</v>
      </c>
      <c r="K380" s="3">
        <v>93</v>
      </c>
      <c r="L380" s="1" t="s">
        <v>21</v>
      </c>
    </row>
    <row r="381" spans="1:12" x14ac:dyDescent="0.35">
      <c r="A381">
        <v>380</v>
      </c>
      <c r="B381" s="1" t="s">
        <v>17</v>
      </c>
      <c r="C381" s="2">
        <v>2.4</v>
      </c>
      <c r="D381" s="3">
        <v>76.599999999999994</v>
      </c>
      <c r="E381" s="2">
        <v>7.8</v>
      </c>
      <c r="F381" s="1" t="s">
        <v>33</v>
      </c>
      <c r="G381" s="1" t="s">
        <v>19</v>
      </c>
      <c r="H381" s="1" t="s">
        <v>19</v>
      </c>
      <c r="I381" s="1" t="s">
        <v>20</v>
      </c>
      <c r="J381" s="2">
        <v>59.3</v>
      </c>
      <c r="K381" s="3">
        <v>79</v>
      </c>
      <c r="L381" s="1" t="s">
        <v>32</v>
      </c>
    </row>
    <row r="382" spans="1:12" x14ac:dyDescent="0.35">
      <c r="A382">
        <v>381</v>
      </c>
      <c r="B382" s="1" t="s">
        <v>23</v>
      </c>
      <c r="C382" s="2">
        <v>3.4</v>
      </c>
      <c r="D382" s="3">
        <v>100</v>
      </c>
      <c r="E382" s="2">
        <v>6.8</v>
      </c>
      <c r="F382" s="1" t="s">
        <v>18</v>
      </c>
      <c r="G382" s="1" t="s">
        <v>20</v>
      </c>
      <c r="H382" s="1" t="s">
        <v>19</v>
      </c>
      <c r="I382" s="1" t="s">
        <v>20</v>
      </c>
      <c r="J382" s="2">
        <v>44.7</v>
      </c>
      <c r="K382" s="3">
        <v>77</v>
      </c>
      <c r="L382" s="1" t="s">
        <v>32</v>
      </c>
    </row>
    <row r="383" spans="1:12" x14ac:dyDescent="0.35">
      <c r="A383">
        <v>382</v>
      </c>
      <c r="B383" s="1" t="s">
        <v>23</v>
      </c>
      <c r="C383" s="2">
        <v>6.2</v>
      </c>
      <c r="D383" s="3">
        <v>83.2</v>
      </c>
      <c r="E383" s="2">
        <v>7.3</v>
      </c>
      <c r="F383" s="1" t="s">
        <v>34</v>
      </c>
      <c r="G383" s="1" t="s">
        <v>19</v>
      </c>
      <c r="H383" s="1" t="s">
        <v>20</v>
      </c>
      <c r="I383" s="1" t="s">
        <v>20</v>
      </c>
      <c r="J383" s="2">
        <v>86.1</v>
      </c>
      <c r="K383" s="3">
        <v>100</v>
      </c>
      <c r="L383" s="1" t="s">
        <v>21</v>
      </c>
    </row>
    <row r="384" spans="1:12" x14ac:dyDescent="0.35">
      <c r="A384">
        <v>383</v>
      </c>
      <c r="B384" s="1" t="s">
        <v>23</v>
      </c>
      <c r="C384" s="2">
        <v>2.6</v>
      </c>
      <c r="D384" s="3">
        <v>86.2</v>
      </c>
      <c r="E384" s="2">
        <v>6.2</v>
      </c>
      <c r="F384" s="1" t="s">
        <v>33</v>
      </c>
      <c r="G384" s="1" t="s">
        <v>19</v>
      </c>
      <c r="H384" s="1" t="s">
        <v>19</v>
      </c>
      <c r="I384" s="1" t="s">
        <v>20</v>
      </c>
      <c r="J384" s="2">
        <v>61.8</v>
      </c>
      <c r="K384" s="3">
        <v>77</v>
      </c>
      <c r="L384" s="1" t="s">
        <v>32</v>
      </c>
    </row>
    <row r="385" spans="1:12" x14ac:dyDescent="0.35">
      <c r="A385">
        <v>384</v>
      </c>
      <c r="B385" s="1" t="s">
        <v>17</v>
      </c>
      <c r="C385" s="2">
        <v>6.2</v>
      </c>
      <c r="D385" s="3">
        <v>90.5</v>
      </c>
      <c r="E385" s="2">
        <v>6.6</v>
      </c>
      <c r="F385" s="1" t="s">
        <v>24</v>
      </c>
      <c r="G385" s="1" t="s">
        <v>19</v>
      </c>
      <c r="H385" s="1" t="s">
        <v>19</v>
      </c>
      <c r="I385" s="1" t="s">
        <v>20</v>
      </c>
      <c r="J385" s="2">
        <v>84</v>
      </c>
      <c r="K385" s="3">
        <v>100</v>
      </c>
      <c r="L385" s="1" t="s">
        <v>21</v>
      </c>
    </row>
    <row r="386" spans="1:12" x14ac:dyDescent="0.35">
      <c r="A386">
        <v>385</v>
      </c>
      <c r="B386" s="1" t="s">
        <v>17</v>
      </c>
      <c r="C386" s="2">
        <v>4.5999999999999996</v>
      </c>
      <c r="D386" s="3">
        <v>85.4</v>
      </c>
      <c r="E386" s="2">
        <v>6.6</v>
      </c>
      <c r="F386" s="1" t="s">
        <v>18</v>
      </c>
      <c r="G386" s="1" t="s">
        <v>20</v>
      </c>
      <c r="H386" s="1" t="s">
        <v>19</v>
      </c>
      <c r="I386" s="1" t="s">
        <v>20</v>
      </c>
      <c r="J386" s="2">
        <v>82.8</v>
      </c>
      <c r="K386" s="3">
        <v>89</v>
      </c>
      <c r="L386" s="1" t="s">
        <v>28</v>
      </c>
    </row>
    <row r="387" spans="1:12" x14ac:dyDescent="0.35">
      <c r="A387">
        <v>386</v>
      </c>
      <c r="B387" s="1" t="s">
        <v>23</v>
      </c>
      <c r="C387" s="2">
        <v>2.7</v>
      </c>
      <c r="D387" s="3">
        <v>100</v>
      </c>
      <c r="E387" s="2">
        <v>5.9</v>
      </c>
      <c r="F387" s="1" t="s">
        <v>34</v>
      </c>
      <c r="G387" s="1" t="s">
        <v>19</v>
      </c>
      <c r="H387" s="1" t="s">
        <v>20</v>
      </c>
      <c r="I387" s="1" t="s">
        <v>20</v>
      </c>
      <c r="J387" s="2">
        <v>54.6</v>
      </c>
      <c r="K387" s="3">
        <v>79</v>
      </c>
      <c r="L387" s="1" t="s">
        <v>32</v>
      </c>
    </row>
    <row r="388" spans="1:12" x14ac:dyDescent="0.35">
      <c r="A388">
        <v>387</v>
      </c>
      <c r="B388" s="1" t="s">
        <v>17</v>
      </c>
      <c r="C388" s="2">
        <v>4.4000000000000004</v>
      </c>
      <c r="D388" s="3">
        <v>78.8</v>
      </c>
      <c r="E388" s="2">
        <v>6.6</v>
      </c>
      <c r="F388" s="1" t="s">
        <v>24</v>
      </c>
      <c r="G388" s="1" t="s">
        <v>19</v>
      </c>
      <c r="H388" s="1" t="s">
        <v>20</v>
      </c>
      <c r="I388" s="1" t="s">
        <v>20</v>
      </c>
      <c r="J388" s="2">
        <v>56.9</v>
      </c>
      <c r="K388" s="3">
        <v>79</v>
      </c>
      <c r="L388" s="1" t="s">
        <v>32</v>
      </c>
    </row>
    <row r="389" spans="1:12" x14ac:dyDescent="0.35">
      <c r="A389">
        <v>388</v>
      </c>
      <c r="B389" s="1" t="s">
        <v>17</v>
      </c>
      <c r="C389" s="2">
        <v>5</v>
      </c>
      <c r="D389" s="3">
        <v>86.9</v>
      </c>
      <c r="E389" s="2">
        <v>4.9000000000000004</v>
      </c>
      <c r="F389" s="1" t="s">
        <v>27</v>
      </c>
      <c r="G389" s="1" t="s">
        <v>19</v>
      </c>
      <c r="H389" s="1" t="s">
        <v>19</v>
      </c>
      <c r="I389" s="1" t="s">
        <v>20</v>
      </c>
      <c r="J389" s="2">
        <v>100</v>
      </c>
      <c r="K389" s="3">
        <v>100</v>
      </c>
      <c r="L389" s="1" t="s">
        <v>21</v>
      </c>
    </row>
    <row r="390" spans="1:12" x14ac:dyDescent="0.35">
      <c r="A390">
        <v>389</v>
      </c>
      <c r="B390" s="1" t="s">
        <v>17</v>
      </c>
      <c r="C390" s="2">
        <v>4.4000000000000004</v>
      </c>
      <c r="D390" s="3">
        <v>77.599999999999994</v>
      </c>
      <c r="E390" s="2">
        <v>6.2</v>
      </c>
      <c r="F390" s="1" t="s">
        <v>33</v>
      </c>
      <c r="G390" s="1" t="s">
        <v>19</v>
      </c>
      <c r="H390" s="1" t="s">
        <v>20</v>
      </c>
      <c r="I390" s="1" t="s">
        <v>19</v>
      </c>
      <c r="J390" s="2">
        <v>91</v>
      </c>
      <c r="K390" s="3">
        <v>87</v>
      </c>
      <c r="L390" s="1" t="s">
        <v>28</v>
      </c>
    </row>
    <row r="391" spans="1:12" x14ac:dyDescent="0.35">
      <c r="A391">
        <v>390</v>
      </c>
      <c r="B391" s="1" t="s">
        <v>17</v>
      </c>
      <c r="C391" s="2">
        <v>1.1000000000000001</v>
      </c>
      <c r="D391" s="3">
        <v>71.8</v>
      </c>
      <c r="E391" s="2">
        <v>6.5</v>
      </c>
      <c r="F391" s="1" t="s">
        <v>18</v>
      </c>
      <c r="G391" s="1" t="s">
        <v>19</v>
      </c>
      <c r="H391" s="1" t="s">
        <v>19</v>
      </c>
      <c r="I391" s="1" t="s">
        <v>19</v>
      </c>
      <c r="J391" s="2">
        <v>69.599999999999994</v>
      </c>
      <c r="K391" s="3">
        <v>70</v>
      </c>
      <c r="L391" s="1" t="s">
        <v>30</v>
      </c>
    </row>
    <row r="392" spans="1:12" x14ac:dyDescent="0.35">
      <c r="A392">
        <v>391</v>
      </c>
      <c r="B392" s="1" t="s">
        <v>17</v>
      </c>
      <c r="C392" s="2">
        <v>2.4</v>
      </c>
      <c r="D392" s="3">
        <v>78.900000000000006</v>
      </c>
      <c r="E392" s="2">
        <v>6.5</v>
      </c>
      <c r="F392" s="1" t="s">
        <v>24</v>
      </c>
      <c r="G392" s="1" t="s">
        <v>19</v>
      </c>
      <c r="H392" s="1" t="s">
        <v>20</v>
      </c>
      <c r="I392" s="1" t="s">
        <v>20</v>
      </c>
      <c r="J392" s="2">
        <v>73.099999999999994</v>
      </c>
      <c r="K392" s="3">
        <v>86</v>
      </c>
      <c r="L392" s="1" t="s">
        <v>28</v>
      </c>
    </row>
    <row r="393" spans="1:12" x14ac:dyDescent="0.35">
      <c r="A393">
        <v>392</v>
      </c>
      <c r="B393" s="1" t="s">
        <v>17</v>
      </c>
      <c r="C393" s="2">
        <v>3.1</v>
      </c>
      <c r="D393" s="3">
        <v>84.6</v>
      </c>
      <c r="E393" s="2">
        <v>6.5</v>
      </c>
      <c r="F393" s="1" t="s">
        <v>24</v>
      </c>
      <c r="G393" s="1" t="s">
        <v>19</v>
      </c>
      <c r="H393" s="1" t="s">
        <v>19</v>
      </c>
      <c r="I393" s="1" t="s">
        <v>20</v>
      </c>
      <c r="J393" s="2">
        <v>62.4</v>
      </c>
      <c r="K393" s="3">
        <v>87</v>
      </c>
      <c r="L393" s="1" t="s">
        <v>28</v>
      </c>
    </row>
    <row r="394" spans="1:12" x14ac:dyDescent="0.35">
      <c r="A394">
        <v>393</v>
      </c>
      <c r="B394" s="1" t="s">
        <v>23</v>
      </c>
      <c r="C394" s="2">
        <v>3.4</v>
      </c>
      <c r="D394" s="3">
        <v>80.7</v>
      </c>
      <c r="E394" s="2">
        <v>6.7</v>
      </c>
      <c r="F394" s="1" t="s">
        <v>27</v>
      </c>
      <c r="G394" s="1" t="s">
        <v>20</v>
      </c>
      <c r="H394" s="1" t="s">
        <v>20</v>
      </c>
      <c r="I394" s="1" t="s">
        <v>20</v>
      </c>
      <c r="J394" s="2">
        <v>75.2</v>
      </c>
      <c r="K394" s="3">
        <v>72</v>
      </c>
      <c r="L394" s="1" t="s">
        <v>32</v>
      </c>
    </row>
    <row r="395" spans="1:12" x14ac:dyDescent="0.35">
      <c r="A395">
        <v>394</v>
      </c>
      <c r="B395" s="1" t="s">
        <v>23</v>
      </c>
      <c r="C395" s="2">
        <v>4.4000000000000004</v>
      </c>
      <c r="D395" s="3">
        <v>78.099999999999994</v>
      </c>
      <c r="E395" s="2">
        <v>7.4</v>
      </c>
      <c r="F395" s="1" t="s">
        <v>24</v>
      </c>
      <c r="G395" s="1" t="s">
        <v>19</v>
      </c>
      <c r="H395" s="1" t="s">
        <v>19</v>
      </c>
      <c r="I395" s="1" t="s">
        <v>20</v>
      </c>
      <c r="J395" s="2">
        <v>61.4</v>
      </c>
      <c r="K395" s="3">
        <v>92</v>
      </c>
      <c r="L395" s="1" t="s">
        <v>21</v>
      </c>
    </row>
    <row r="396" spans="1:12" x14ac:dyDescent="0.35">
      <c r="A396">
        <v>395</v>
      </c>
      <c r="B396" s="1" t="s">
        <v>17</v>
      </c>
      <c r="C396" s="2">
        <v>3.8</v>
      </c>
      <c r="D396" s="3">
        <v>70.900000000000006</v>
      </c>
      <c r="E396" s="2">
        <v>7.8</v>
      </c>
      <c r="F396" s="1" t="s">
        <v>33</v>
      </c>
      <c r="G396" s="1" t="s">
        <v>19</v>
      </c>
      <c r="H396" s="1" t="s">
        <v>20</v>
      </c>
      <c r="I396" s="1" t="s">
        <v>19</v>
      </c>
      <c r="J396" s="2">
        <v>45.6</v>
      </c>
      <c r="K396" s="3">
        <v>68</v>
      </c>
      <c r="L396" s="1" t="s">
        <v>30</v>
      </c>
    </row>
    <row r="397" spans="1:12" x14ac:dyDescent="0.35">
      <c r="A397">
        <v>396</v>
      </c>
      <c r="B397" s="1" t="s">
        <v>23</v>
      </c>
      <c r="C397" s="2">
        <v>1.5</v>
      </c>
      <c r="D397" s="3">
        <v>84.2</v>
      </c>
      <c r="E397" s="2">
        <v>6</v>
      </c>
      <c r="F397" s="1" t="s">
        <v>18</v>
      </c>
      <c r="G397" s="1" t="s">
        <v>19</v>
      </c>
      <c r="H397" s="1" t="s">
        <v>19</v>
      </c>
      <c r="I397" s="1" t="s">
        <v>20</v>
      </c>
      <c r="J397" s="2">
        <v>54.1</v>
      </c>
      <c r="K397" s="3">
        <v>73</v>
      </c>
      <c r="L397" s="1" t="s">
        <v>32</v>
      </c>
    </row>
    <row r="398" spans="1:12" x14ac:dyDescent="0.35">
      <c r="A398">
        <v>397</v>
      </c>
      <c r="B398" s="1" t="s">
        <v>23</v>
      </c>
      <c r="C398" s="2">
        <v>4.0999999999999996</v>
      </c>
      <c r="D398" s="3">
        <v>70</v>
      </c>
      <c r="E398" s="2">
        <v>5.4</v>
      </c>
      <c r="F398" s="1" t="s">
        <v>24</v>
      </c>
      <c r="G398" s="1" t="s">
        <v>19</v>
      </c>
      <c r="H398" s="1" t="s">
        <v>19</v>
      </c>
      <c r="I398" s="1" t="s">
        <v>20</v>
      </c>
      <c r="J398" s="2">
        <v>70.3</v>
      </c>
      <c r="K398" s="3">
        <v>76</v>
      </c>
      <c r="L398" s="1" t="s">
        <v>32</v>
      </c>
    </row>
    <row r="399" spans="1:12" x14ac:dyDescent="0.35">
      <c r="A399">
        <v>398</v>
      </c>
      <c r="B399" s="1" t="s">
        <v>23</v>
      </c>
      <c r="C399" s="2">
        <v>4.4000000000000004</v>
      </c>
      <c r="D399" s="3">
        <v>92.6</v>
      </c>
      <c r="E399" s="2">
        <v>5.5</v>
      </c>
      <c r="F399" s="1" t="s">
        <v>24</v>
      </c>
      <c r="G399" s="1" t="s">
        <v>20</v>
      </c>
      <c r="H399" s="1" t="s">
        <v>19</v>
      </c>
      <c r="I399" s="1" t="s">
        <v>20</v>
      </c>
      <c r="J399" s="2">
        <v>56.4</v>
      </c>
      <c r="K399" s="3">
        <v>81</v>
      </c>
      <c r="L399" s="1" t="s">
        <v>28</v>
      </c>
    </row>
    <row r="400" spans="1:12" x14ac:dyDescent="0.35">
      <c r="A400">
        <v>399</v>
      </c>
      <c r="B400" s="1" t="s">
        <v>23</v>
      </c>
      <c r="C400" s="2">
        <v>4.3</v>
      </c>
      <c r="D400" s="3">
        <v>85.8</v>
      </c>
      <c r="E400" s="2">
        <v>6.2</v>
      </c>
      <c r="F400" s="1" t="s">
        <v>18</v>
      </c>
      <c r="G400" s="1" t="s">
        <v>19</v>
      </c>
      <c r="H400" s="1" t="s">
        <v>19</v>
      </c>
      <c r="I400" s="1" t="s">
        <v>20</v>
      </c>
      <c r="J400" s="2">
        <v>69.2</v>
      </c>
      <c r="K400" s="3">
        <v>90</v>
      </c>
      <c r="L400" s="1" t="s">
        <v>21</v>
      </c>
    </row>
    <row r="401" spans="1:12" x14ac:dyDescent="0.35">
      <c r="A401">
        <v>400</v>
      </c>
      <c r="B401" s="1" t="s">
        <v>17</v>
      </c>
      <c r="C401" s="2">
        <v>5.0999999999999996</v>
      </c>
      <c r="D401" s="3">
        <v>70.400000000000006</v>
      </c>
      <c r="E401" s="2">
        <v>6.4</v>
      </c>
      <c r="F401" s="1" t="s">
        <v>27</v>
      </c>
      <c r="G401" s="1" t="s">
        <v>19</v>
      </c>
      <c r="H401" s="1" t="s">
        <v>19</v>
      </c>
      <c r="I401" s="1" t="s">
        <v>20</v>
      </c>
      <c r="J401" s="2">
        <v>57.1</v>
      </c>
      <c r="K401" s="3">
        <v>73</v>
      </c>
      <c r="L401" s="1" t="s">
        <v>32</v>
      </c>
    </row>
    <row r="402" spans="1:12" x14ac:dyDescent="0.35">
      <c r="A402">
        <v>401</v>
      </c>
      <c r="B402" s="1" t="s">
        <v>23</v>
      </c>
      <c r="C402" s="2">
        <v>4.8</v>
      </c>
      <c r="D402" s="3">
        <v>81.900000000000006</v>
      </c>
      <c r="E402" s="2">
        <v>5.9</v>
      </c>
      <c r="F402" s="1" t="s">
        <v>18</v>
      </c>
      <c r="G402" s="1" t="s">
        <v>19</v>
      </c>
      <c r="H402" s="1" t="s">
        <v>20</v>
      </c>
      <c r="I402" s="1" t="s">
        <v>19</v>
      </c>
      <c r="J402" s="2">
        <v>60.6</v>
      </c>
      <c r="K402" s="3">
        <v>85</v>
      </c>
      <c r="L402" s="1" t="s">
        <v>28</v>
      </c>
    </row>
    <row r="403" spans="1:12" x14ac:dyDescent="0.35">
      <c r="A403">
        <v>402</v>
      </c>
      <c r="B403" s="1" t="s">
        <v>23</v>
      </c>
      <c r="C403" s="2">
        <v>4.2</v>
      </c>
      <c r="D403" s="3">
        <v>77.5</v>
      </c>
      <c r="E403" s="2">
        <v>5.2</v>
      </c>
      <c r="F403" s="1" t="s">
        <v>18</v>
      </c>
      <c r="G403" s="1" t="s">
        <v>19</v>
      </c>
      <c r="H403" s="1" t="s">
        <v>19</v>
      </c>
      <c r="I403" s="1" t="s">
        <v>20</v>
      </c>
      <c r="J403" s="2">
        <v>80.2</v>
      </c>
      <c r="K403" s="3">
        <v>96</v>
      </c>
      <c r="L403" s="1" t="s">
        <v>21</v>
      </c>
    </row>
    <row r="404" spans="1:12" x14ac:dyDescent="0.35">
      <c r="A404">
        <v>403</v>
      </c>
      <c r="B404" s="1" t="s">
        <v>17</v>
      </c>
      <c r="C404" s="2">
        <v>3.4</v>
      </c>
      <c r="D404" s="3">
        <v>88.2</v>
      </c>
      <c r="E404" s="2">
        <v>6.3</v>
      </c>
      <c r="F404" s="1" t="s">
        <v>24</v>
      </c>
      <c r="G404" s="1" t="s">
        <v>19</v>
      </c>
      <c r="H404" s="1" t="s">
        <v>20</v>
      </c>
      <c r="I404" s="1" t="s">
        <v>19</v>
      </c>
      <c r="J404" s="2">
        <v>73</v>
      </c>
      <c r="K404" s="3">
        <v>82</v>
      </c>
      <c r="L404" s="1" t="s">
        <v>28</v>
      </c>
    </row>
    <row r="405" spans="1:12" x14ac:dyDescent="0.35">
      <c r="A405">
        <v>404</v>
      </c>
      <c r="B405" s="1" t="s">
        <v>17</v>
      </c>
      <c r="C405" s="2">
        <v>1</v>
      </c>
      <c r="D405" s="3">
        <v>98.4</v>
      </c>
      <c r="E405" s="2">
        <v>7</v>
      </c>
      <c r="F405" s="1" t="s">
        <v>18</v>
      </c>
      <c r="G405" s="1" t="s">
        <v>19</v>
      </c>
      <c r="H405" s="1" t="s">
        <v>20</v>
      </c>
      <c r="I405" s="1" t="s">
        <v>20</v>
      </c>
      <c r="J405" s="2">
        <v>69.900000000000006</v>
      </c>
      <c r="K405" s="3">
        <v>87</v>
      </c>
      <c r="L405" s="1" t="s">
        <v>28</v>
      </c>
    </row>
    <row r="406" spans="1:12" x14ac:dyDescent="0.35">
      <c r="A406">
        <v>405</v>
      </c>
      <c r="B406" s="1" t="s">
        <v>23</v>
      </c>
      <c r="C406" s="2">
        <v>4.0999999999999996</v>
      </c>
      <c r="D406" s="3">
        <v>66.2</v>
      </c>
      <c r="E406" s="2">
        <v>7.5</v>
      </c>
      <c r="F406" s="1" t="s">
        <v>18</v>
      </c>
      <c r="G406" s="1" t="s">
        <v>19</v>
      </c>
      <c r="H406" s="1" t="s">
        <v>20</v>
      </c>
      <c r="I406" s="1" t="s">
        <v>20</v>
      </c>
      <c r="J406" s="2">
        <v>80.5</v>
      </c>
      <c r="K406" s="3">
        <v>85</v>
      </c>
      <c r="L406" s="1" t="s">
        <v>28</v>
      </c>
    </row>
    <row r="407" spans="1:12" x14ac:dyDescent="0.35">
      <c r="A407">
        <v>406</v>
      </c>
      <c r="B407" s="1" t="s">
        <v>23</v>
      </c>
      <c r="C407" s="2">
        <v>3.8</v>
      </c>
      <c r="D407" s="3">
        <v>86.2</v>
      </c>
      <c r="E407" s="2">
        <v>6.1</v>
      </c>
      <c r="F407" s="1" t="s">
        <v>34</v>
      </c>
      <c r="G407" s="1" t="s">
        <v>19</v>
      </c>
      <c r="H407" s="1" t="s">
        <v>20</v>
      </c>
      <c r="I407" s="1" t="s">
        <v>20</v>
      </c>
      <c r="J407" s="2">
        <v>75.8</v>
      </c>
      <c r="K407" s="3">
        <v>93</v>
      </c>
      <c r="L407" s="1" t="s">
        <v>21</v>
      </c>
    </row>
    <row r="408" spans="1:12" x14ac:dyDescent="0.35">
      <c r="A408">
        <v>407</v>
      </c>
      <c r="B408" s="1" t="s">
        <v>23</v>
      </c>
      <c r="C408" s="2">
        <v>3.9</v>
      </c>
      <c r="D408" s="3">
        <v>83.4</v>
      </c>
      <c r="E408" s="2">
        <v>6.3</v>
      </c>
      <c r="F408" s="1" t="s">
        <v>18</v>
      </c>
      <c r="G408" s="1" t="s">
        <v>19</v>
      </c>
      <c r="H408" s="1" t="s">
        <v>20</v>
      </c>
      <c r="I408" s="1" t="s">
        <v>20</v>
      </c>
      <c r="J408" s="2">
        <v>87.4</v>
      </c>
      <c r="K408" s="3">
        <v>79</v>
      </c>
      <c r="L408" s="1" t="s">
        <v>32</v>
      </c>
    </row>
    <row r="409" spans="1:12" x14ac:dyDescent="0.35">
      <c r="A409">
        <v>408</v>
      </c>
      <c r="B409" s="1" t="s">
        <v>23</v>
      </c>
      <c r="C409" s="2">
        <v>1.6</v>
      </c>
      <c r="D409" s="3">
        <v>91.7</v>
      </c>
      <c r="E409" s="2">
        <v>5.7</v>
      </c>
      <c r="F409" s="1" t="s">
        <v>18</v>
      </c>
      <c r="G409" s="1" t="s">
        <v>19</v>
      </c>
      <c r="H409" s="1" t="s">
        <v>19</v>
      </c>
      <c r="I409" s="1" t="s">
        <v>20</v>
      </c>
      <c r="J409" s="2">
        <v>64.5</v>
      </c>
      <c r="K409" s="3">
        <v>90</v>
      </c>
      <c r="L409" s="1" t="s">
        <v>21</v>
      </c>
    </row>
    <row r="410" spans="1:12" x14ac:dyDescent="0.35">
      <c r="A410">
        <v>409</v>
      </c>
      <c r="B410" s="1" t="s">
        <v>23</v>
      </c>
      <c r="C410" s="2">
        <v>1.9</v>
      </c>
      <c r="D410" s="3">
        <v>87.1</v>
      </c>
      <c r="E410" s="2">
        <v>6.8</v>
      </c>
      <c r="F410" s="1" t="s">
        <v>24</v>
      </c>
      <c r="G410" s="1" t="s">
        <v>20</v>
      </c>
      <c r="H410" s="1" t="s">
        <v>20</v>
      </c>
      <c r="I410" s="1" t="s">
        <v>20</v>
      </c>
      <c r="J410" s="2">
        <v>64.8</v>
      </c>
      <c r="K410" s="3">
        <v>80</v>
      </c>
      <c r="L410" s="1" t="s">
        <v>28</v>
      </c>
    </row>
    <row r="411" spans="1:12" x14ac:dyDescent="0.35">
      <c r="A411">
        <v>410</v>
      </c>
      <c r="B411" s="1" t="s">
        <v>23</v>
      </c>
      <c r="C411" s="2">
        <v>5.0999999999999996</v>
      </c>
      <c r="D411" s="3">
        <v>77.5</v>
      </c>
      <c r="E411" s="2">
        <v>5.8</v>
      </c>
      <c r="F411" s="1" t="s">
        <v>27</v>
      </c>
      <c r="G411" s="1" t="s">
        <v>19</v>
      </c>
      <c r="H411" s="1" t="s">
        <v>19</v>
      </c>
      <c r="I411" s="1" t="s">
        <v>19</v>
      </c>
      <c r="J411" s="2">
        <v>54.4</v>
      </c>
      <c r="K411" s="3">
        <v>78</v>
      </c>
      <c r="L411" s="1" t="s">
        <v>32</v>
      </c>
    </row>
    <row r="412" spans="1:12" x14ac:dyDescent="0.35">
      <c r="A412">
        <v>411</v>
      </c>
      <c r="B412" s="1" t="s">
        <v>17</v>
      </c>
      <c r="C412" s="2">
        <v>3.4</v>
      </c>
      <c r="D412" s="3">
        <v>81.8</v>
      </c>
      <c r="E412" s="2">
        <v>7.5</v>
      </c>
      <c r="F412" s="1" t="s">
        <v>24</v>
      </c>
      <c r="G412" s="1" t="s">
        <v>19</v>
      </c>
      <c r="H412" s="1" t="s">
        <v>20</v>
      </c>
      <c r="I412" s="1" t="s">
        <v>20</v>
      </c>
      <c r="J412" s="2">
        <v>64.900000000000006</v>
      </c>
      <c r="K412" s="3">
        <v>70</v>
      </c>
      <c r="L412" s="1" t="s">
        <v>32</v>
      </c>
    </row>
    <row r="413" spans="1:12" x14ac:dyDescent="0.35">
      <c r="A413">
        <v>412</v>
      </c>
      <c r="B413" s="1" t="s">
        <v>23</v>
      </c>
      <c r="C413" s="2">
        <v>4.5</v>
      </c>
      <c r="D413" s="3">
        <v>77</v>
      </c>
      <c r="E413" s="2">
        <v>4.7</v>
      </c>
      <c r="F413" s="1" t="s">
        <v>24</v>
      </c>
      <c r="G413" s="1" t="s">
        <v>19</v>
      </c>
      <c r="H413" s="1" t="s">
        <v>20</v>
      </c>
      <c r="I413" s="1" t="s">
        <v>20</v>
      </c>
      <c r="J413" s="2">
        <v>81.599999999999994</v>
      </c>
      <c r="K413" s="3">
        <v>90</v>
      </c>
      <c r="L413" s="1" t="s">
        <v>21</v>
      </c>
    </row>
    <row r="414" spans="1:12" x14ac:dyDescent="0.35">
      <c r="A414">
        <v>413</v>
      </c>
      <c r="B414" s="1" t="s">
        <v>23</v>
      </c>
      <c r="C414" s="2">
        <v>3.5</v>
      </c>
      <c r="D414" s="3">
        <v>95.8</v>
      </c>
      <c r="E414" s="2">
        <v>6.4</v>
      </c>
      <c r="F414" s="1" t="s">
        <v>33</v>
      </c>
      <c r="G414" s="1" t="s">
        <v>19</v>
      </c>
      <c r="H414" s="1" t="s">
        <v>19</v>
      </c>
      <c r="I414" s="1" t="s">
        <v>20</v>
      </c>
      <c r="J414" s="2">
        <v>85.6</v>
      </c>
      <c r="K414" s="3">
        <v>87</v>
      </c>
      <c r="L414" s="1" t="s">
        <v>28</v>
      </c>
    </row>
    <row r="415" spans="1:12" x14ac:dyDescent="0.35">
      <c r="A415">
        <v>414</v>
      </c>
      <c r="B415" s="1" t="s">
        <v>17</v>
      </c>
      <c r="C415" s="2">
        <v>3.5</v>
      </c>
      <c r="D415" s="3">
        <v>85.2</v>
      </c>
      <c r="E415" s="2">
        <v>7.2</v>
      </c>
      <c r="F415" s="1" t="s">
        <v>18</v>
      </c>
      <c r="G415" s="1" t="s">
        <v>19</v>
      </c>
      <c r="H415" s="1" t="s">
        <v>19</v>
      </c>
      <c r="I415" s="1" t="s">
        <v>20</v>
      </c>
      <c r="J415" s="2">
        <v>81.5</v>
      </c>
      <c r="K415" s="3">
        <v>94</v>
      </c>
      <c r="L415" s="1" t="s">
        <v>21</v>
      </c>
    </row>
    <row r="416" spans="1:12" x14ac:dyDescent="0.35">
      <c r="A416">
        <v>415</v>
      </c>
      <c r="B416" s="1" t="s">
        <v>17</v>
      </c>
      <c r="C416" s="2">
        <v>4.9000000000000004</v>
      </c>
      <c r="D416" s="3">
        <v>100</v>
      </c>
      <c r="E416" s="2">
        <v>7</v>
      </c>
      <c r="F416" s="1" t="s">
        <v>18</v>
      </c>
      <c r="G416" s="1" t="s">
        <v>20</v>
      </c>
      <c r="H416" s="1" t="s">
        <v>19</v>
      </c>
      <c r="I416" s="1" t="s">
        <v>19</v>
      </c>
      <c r="J416" s="2">
        <v>48.5</v>
      </c>
      <c r="K416" s="3">
        <v>83</v>
      </c>
      <c r="L416" s="1" t="s">
        <v>28</v>
      </c>
    </row>
    <row r="417" spans="1:12" x14ac:dyDescent="0.35">
      <c r="A417">
        <v>416</v>
      </c>
      <c r="B417" s="1" t="s">
        <v>17</v>
      </c>
      <c r="C417" s="2">
        <v>2.7</v>
      </c>
      <c r="D417" s="3">
        <v>84.4</v>
      </c>
      <c r="E417" s="2">
        <v>10</v>
      </c>
      <c r="F417" s="1" t="s">
        <v>18</v>
      </c>
      <c r="G417" s="1" t="s">
        <v>19</v>
      </c>
      <c r="H417" s="1" t="s">
        <v>20</v>
      </c>
      <c r="I417" s="1" t="s">
        <v>19</v>
      </c>
      <c r="J417" s="2">
        <v>83</v>
      </c>
      <c r="K417" s="3">
        <v>81</v>
      </c>
      <c r="L417" s="1" t="s">
        <v>28</v>
      </c>
    </row>
    <row r="418" spans="1:12" x14ac:dyDescent="0.35">
      <c r="A418">
        <v>417</v>
      </c>
      <c r="B418" s="1" t="s">
        <v>17</v>
      </c>
      <c r="C418" s="2">
        <v>3.6</v>
      </c>
      <c r="D418" s="3">
        <v>77.900000000000006</v>
      </c>
      <c r="E418" s="2">
        <v>7.2</v>
      </c>
      <c r="F418" s="1" t="s">
        <v>33</v>
      </c>
      <c r="G418" s="1" t="s">
        <v>20</v>
      </c>
      <c r="H418" s="1" t="s">
        <v>20</v>
      </c>
      <c r="I418" s="1" t="s">
        <v>20</v>
      </c>
      <c r="J418" s="2">
        <v>47.9</v>
      </c>
      <c r="K418" s="3">
        <v>76</v>
      </c>
      <c r="L418" s="1" t="s">
        <v>32</v>
      </c>
    </row>
    <row r="419" spans="1:12" x14ac:dyDescent="0.35">
      <c r="A419">
        <v>418</v>
      </c>
      <c r="B419" s="1" t="s">
        <v>23</v>
      </c>
      <c r="C419" s="2">
        <v>2.8</v>
      </c>
      <c r="D419" s="3">
        <v>69.900000000000006</v>
      </c>
      <c r="E419" s="2">
        <v>5.6</v>
      </c>
      <c r="F419" s="1" t="s">
        <v>24</v>
      </c>
      <c r="G419" s="1" t="s">
        <v>19</v>
      </c>
      <c r="H419" s="1" t="s">
        <v>19</v>
      </c>
      <c r="I419" s="1" t="s">
        <v>20</v>
      </c>
      <c r="J419" s="2">
        <v>80.8</v>
      </c>
      <c r="K419" s="3">
        <v>85</v>
      </c>
      <c r="L419" s="1" t="s">
        <v>28</v>
      </c>
    </row>
    <row r="420" spans="1:12" x14ac:dyDescent="0.35">
      <c r="A420">
        <v>419</v>
      </c>
      <c r="B420" s="1" t="s">
        <v>23</v>
      </c>
      <c r="C420" s="2">
        <v>2.8</v>
      </c>
      <c r="D420" s="3">
        <v>67</v>
      </c>
      <c r="E420" s="2">
        <v>6.7</v>
      </c>
      <c r="F420" s="1" t="s">
        <v>33</v>
      </c>
      <c r="G420" s="1" t="s">
        <v>19</v>
      </c>
      <c r="H420" s="1" t="s">
        <v>20</v>
      </c>
      <c r="I420" s="1" t="s">
        <v>20</v>
      </c>
      <c r="J420" s="2">
        <v>65.599999999999994</v>
      </c>
      <c r="K420" s="3">
        <v>79</v>
      </c>
      <c r="L420" s="1" t="s">
        <v>32</v>
      </c>
    </row>
    <row r="421" spans="1:12" x14ac:dyDescent="0.35">
      <c r="A421">
        <v>420</v>
      </c>
      <c r="B421" s="1" t="s">
        <v>23</v>
      </c>
      <c r="C421" s="2">
        <v>3</v>
      </c>
      <c r="D421" s="3">
        <v>69.2</v>
      </c>
      <c r="E421" s="2">
        <v>4.7</v>
      </c>
      <c r="F421" s="1" t="s">
        <v>18</v>
      </c>
      <c r="G421" s="1" t="s">
        <v>20</v>
      </c>
      <c r="H421" s="1" t="s">
        <v>20</v>
      </c>
      <c r="I421" s="1" t="s">
        <v>20</v>
      </c>
      <c r="J421" s="2">
        <v>78.400000000000006</v>
      </c>
      <c r="K421" s="3">
        <v>73</v>
      </c>
      <c r="L421" s="1" t="s">
        <v>32</v>
      </c>
    </row>
    <row r="422" spans="1:12" x14ac:dyDescent="0.35">
      <c r="A422">
        <v>421</v>
      </c>
      <c r="B422" s="1" t="s">
        <v>23</v>
      </c>
      <c r="C422" s="2">
        <v>3.8</v>
      </c>
      <c r="D422" s="3">
        <v>87.7</v>
      </c>
      <c r="E422" s="2">
        <v>6.7</v>
      </c>
      <c r="F422" s="1" t="s">
        <v>18</v>
      </c>
      <c r="G422" s="1" t="s">
        <v>19</v>
      </c>
      <c r="H422" s="1" t="s">
        <v>19</v>
      </c>
      <c r="I422" s="1" t="s">
        <v>19</v>
      </c>
      <c r="J422" s="2">
        <v>54</v>
      </c>
      <c r="K422" s="3">
        <v>70</v>
      </c>
      <c r="L422" s="1" t="s">
        <v>30</v>
      </c>
    </row>
    <row r="423" spans="1:12" x14ac:dyDescent="0.35">
      <c r="A423">
        <v>422</v>
      </c>
      <c r="B423" s="1" t="s">
        <v>23</v>
      </c>
      <c r="C423" s="2">
        <v>2.8</v>
      </c>
      <c r="D423" s="3">
        <v>90.1</v>
      </c>
      <c r="E423" s="2">
        <v>5.8</v>
      </c>
      <c r="F423" s="1" t="s">
        <v>18</v>
      </c>
      <c r="G423" s="1" t="s">
        <v>20</v>
      </c>
      <c r="H423" s="1" t="s">
        <v>19</v>
      </c>
      <c r="I423" s="1" t="s">
        <v>20</v>
      </c>
      <c r="J423" s="2">
        <v>84.1</v>
      </c>
      <c r="K423" s="3">
        <v>90</v>
      </c>
      <c r="L423" s="1" t="s">
        <v>28</v>
      </c>
    </row>
    <row r="424" spans="1:12" x14ac:dyDescent="0.35">
      <c r="A424">
        <v>423</v>
      </c>
      <c r="B424" s="1" t="s">
        <v>23</v>
      </c>
      <c r="C424" s="2">
        <v>5.4</v>
      </c>
      <c r="D424" s="3">
        <v>69.2</v>
      </c>
      <c r="E424" s="2">
        <v>7.9</v>
      </c>
      <c r="F424" s="1" t="s">
        <v>24</v>
      </c>
      <c r="G424" s="1" t="s">
        <v>19</v>
      </c>
      <c r="H424" s="1" t="s">
        <v>20</v>
      </c>
      <c r="I424" s="1" t="s">
        <v>19</v>
      </c>
      <c r="J424" s="2">
        <v>52.4</v>
      </c>
      <c r="K424" s="3">
        <v>77</v>
      </c>
      <c r="L424" s="1" t="s">
        <v>32</v>
      </c>
    </row>
    <row r="425" spans="1:12" x14ac:dyDescent="0.35">
      <c r="A425">
        <v>424</v>
      </c>
      <c r="B425" s="1" t="s">
        <v>17</v>
      </c>
      <c r="C425" s="2">
        <v>2.2000000000000002</v>
      </c>
      <c r="D425" s="3">
        <v>94</v>
      </c>
      <c r="E425" s="2">
        <v>6.1</v>
      </c>
      <c r="F425" s="1" t="s">
        <v>33</v>
      </c>
      <c r="G425" s="1" t="s">
        <v>20</v>
      </c>
      <c r="H425" s="1" t="s">
        <v>20</v>
      </c>
      <c r="I425" s="1" t="s">
        <v>20</v>
      </c>
      <c r="J425" s="2">
        <v>62</v>
      </c>
      <c r="K425" s="3">
        <v>65</v>
      </c>
      <c r="L425" s="1" t="s">
        <v>30</v>
      </c>
    </row>
    <row r="426" spans="1:12" x14ac:dyDescent="0.35">
      <c r="A426">
        <v>425</v>
      </c>
      <c r="B426" s="1" t="s">
        <v>23</v>
      </c>
      <c r="C426" s="2">
        <v>3.2</v>
      </c>
      <c r="D426" s="3">
        <v>80.2</v>
      </c>
      <c r="E426" s="2">
        <v>6.7</v>
      </c>
      <c r="F426" s="1" t="s">
        <v>18</v>
      </c>
      <c r="G426" s="1" t="s">
        <v>19</v>
      </c>
      <c r="H426" s="1" t="s">
        <v>20</v>
      </c>
      <c r="I426" s="1" t="s">
        <v>19</v>
      </c>
      <c r="J426" s="2">
        <v>58</v>
      </c>
      <c r="K426" s="3">
        <v>82</v>
      </c>
      <c r="L426" s="1" t="s">
        <v>28</v>
      </c>
    </row>
    <row r="427" spans="1:12" x14ac:dyDescent="0.35">
      <c r="A427">
        <v>426</v>
      </c>
      <c r="B427" s="1" t="s">
        <v>17</v>
      </c>
      <c r="C427" s="2">
        <v>2.8</v>
      </c>
      <c r="D427" s="3">
        <v>86.5</v>
      </c>
      <c r="E427" s="2">
        <v>6</v>
      </c>
      <c r="F427" s="1" t="s">
        <v>24</v>
      </c>
      <c r="G427" s="1" t="s">
        <v>19</v>
      </c>
      <c r="H427" s="1" t="s">
        <v>19</v>
      </c>
      <c r="I427" s="1" t="s">
        <v>20</v>
      </c>
      <c r="J427" s="2">
        <v>48.9</v>
      </c>
      <c r="K427" s="3">
        <v>86</v>
      </c>
      <c r="L427" s="1" t="s">
        <v>28</v>
      </c>
    </row>
    <row r="428" spans="1:12" x14ac:dyDescent="0.35">
      <c r="A428">
        <v>427</v>
      </c>
      <c r="B428" s="1" t="s">
        <v>17</v>
      </c>
      <c r="C428" s="2">
        <v>5.7</v>
      </c>
      <c r="D428" s="3">
        <v>100</v>
      </c>
      <c r="E428" s="2">
        <v>8.9</v>
      </c>
      <c r="F428" s="1" t="s">
        <v>18</v>
      </c>
      <c r="G428" s="1" t="s">
        <v>19</v>
      </c>
      <c r="H428" s="1" t="s">
        <v>19</v>
      </c>
      <c r="I428" s="1" t="s">
        <v>19</v>
      </c>
      <c r="J428" s="2">
        <v>71.099999999999994</v>
      </c>
      <c r="K428" s="3">
        <v>100</v>
      </c>
      <c r="L428" s="1" t="s">
        <v>21</v>
      </c>
    </row>
    <row r="429" spans="1:12" x14ac:dyDescent="0.35">
      <c r="A429">
        <v>428</v>
      </c>
      <c r="B429" s="1" t="s">
        <v>23</v>
      </c>
      <c r="C429" s="2">
        <v>3.8</v>
      </c>
      <c r="D429" s="3">
        <v>94</v>
      </c>
      <c r="E429" s="2">
        <v>6.4</v>
      </c>
      <c r="F429" s="1" t="s">
        <v>27</v>
      </c>
      <c r="G429" s="1" t="s">
        <v>19</v>
      </c>
      <c r="H429" s="1" t="s">
        <v>19</v>
      </c>
      <c r="I429" s="1" t="s">
        <v>20</v>
      </c>
      <c r="J429" s="2">
        <v>91.7</v>
      </c>
      <c r="K429" s="3">
        <v>100</v>
      </c>
      <c r="L429" s="1" t="s">
        <v>21</v>
      </c>
    </row>
    <row r="430" spans="1:12" x14ac:dyDescent="0.35">
      <c r="A430">
        <v>429</v>
      </c>
      <c r="B430" s="1" t="s">
        <v>17</v>
      </c>
      <c r="C430" s="2">
        <v>5</v>
      </c>
      <c r="D430" s="3">
        <v>82.3</v>
      </c>
      <c r="E430" s="2">
        <v>9</v>
      </c>
      <c r="F430" s="1" t="s">
        <v>18</v>
      </c>
      <c r="G430" s="1" t="s">
        <v>19</v>
      </c>
      <c r="H430" s="1" t="s">
        <v>19</v>
      </c>
      <c r="I430" s="1" t="s">
        <v>20</v>
      </c>
      <c r="J430" s="2">
        <v>100</v>
      </c>
      <c r="K430" s="3">
        <v>100</v>
      </c>
      <c r="L430" s="1" t="s">
        <v>21</v>
      </c>
    </row>
    <row r="431" spans="1:12" x14ac:dyDescent="0.35">
      <c r="A431">
        <v>430</v>
      </c>
      <c r="B431" s="1" t="s">
        <v>23</v>
      </c>
      <c r="C431" s="2">
        <v>1.3</v>
      </c>
      <c r="D431" s="3">
        <v>76.099999999999994</v>
      </c>
      <c r="E431" s="2">
        <v>7.8</v>
      </c>
      <c r="F431" s="1" t="s">
        <v>27</v>
      </c>
      <c r="G431" s="1" t="s">
        <v>19</v>
      </c>
      <c r="H431" s="1" t="s">
        <v>19</v>
      </c>
      <c r="I431" s="1" t="s">
        <v>20</v>
      </c>
      <c r="J431" s="2">
        <v>71.2</v>
      </c>
      <c r="K431" s="3">
        <v>72</v>
      </c>
      <c r="L431" s="1" t="s">
        <v>32</v>
      </c>
    </row>
    <row r="432" spans="1:12" x14ac:dyDescent="0.35">
      <c r="A432">
        <v>431</v>
      </c>
      <c r="B432" s="1" t="s">
        <v>17</v>
      </c>
      <c r="C432" s="2">
        <v>3.9</v>
      </c>
      <c r="D432" s="3">
        <v>63.5</v>
      </c>
      <c r="E432" s="2">
        <v>7.4</v>
      </c>
      <c r="F432" s="1" t="s">
        <v>24</v>
      </c>
      <c r="G432" s="1" t="s">
        <v>19</v>
      </c>
      <c r="H432" s="1" t="s">
        <v>20</v>
      </c>
      <c r="I432" s="1" t="s">
        <v>20</v>
      </c>
      <c r="J432" s="2">
        <v>83.4</v>
      </c>
      <c r="K432" s="3">
        <v>81</v>
      </c>
      <c r="L432" s="1" t="s">
        <v>28</v>
      </c>
    </row>
    <row r="433" spans="1:12" x14ac:dyDescent="0.35">
      <c r="A433">
        <v>432</v>
      </c>
      <c r="B433" s="1" t="s">
        <v>23</v>
      </c>
      <c r="C433" s="2">
        <v>4.8</v>
      </c>
      <c r="D433" s="3">
        <v>77.8</v>
      </c>
      <c r="E433" s="2">
        <v>7.2</v>
      </c>
      <c r="F433" s="1" t="s">
        <v>24</v>
      </c>
      <c r="G433" s="1" t="s">
        <v>19</v>
      </c>
      <c r="H433" s="1" t="s">
        <v>19</v>
      </c>
      <c r="I433" s="1" t="s">
        <v>20</v>
      </c>
      <c r="J433" s="2">
        <v>72.8</v>
      </c>
      <c r="K433" s="3">
        <v>100</v>
      </c>
      <c r="L433" s="1" t="s">
        <v>21</v>
      </c>
    </row>
    <row r="434" spans="1:12" x14ac:dyDescent="0.35">
      <c r="A434">
        <v>433</v>
      </c>
      <c r="B434" s="1" t="s">
        <v>17</v>
      </c>
      <c r="C434" s="2">
        <v>3.6</v>
      </c>
      <c r="D434" s="3">
        <v>82.9</v>
      </c>
      <c r="E434" s="2">
        <v>7.3</v>
      </c>
      <c r="F434" s="1" t="s">
        <v>24</v>
      </c>
      <c r="G434" s="1" t="s">
        <v>19</v>
      </c>
      <c r="H434" s="1" t="s">
        <v>20</v>
      </c>
      <c r="I434" s="1" t="s">
        <v>19</v>
      </c>
      <c r="J434" s="2">
        <v>76</v>
      </c>
      <c r="K434" s="3">
        <v>80</v>
      </c>
      <c r="L434" s="1" t="s">
        <v>32</v>
      </c>
    </row>
    <row r="435" spans="1:12" x14ac:dyDescent="0.35">
      <c r="A435">
        <v>434</v>
      </c>
      <c r="B435" s="1" t="s">
        <v>23</v>
      </c>
      <c r="C435" s="2">
        <v>5.0999999999999996</v>
      </c>
      <c r="D435" s="3">
        <v>75.099999999999994</v>
      </c>
      <c r="E435" s="2">
        <v>4.5</v>
      </c>
      <c r="F435" s="1" t="s">
        <v>18</v>
      </c>
      <c r="G435" s="1" t="s">
        <v>19</v>
      </c>
      <c r="H435" s="1" t="s">
        <v>19</v>
      </c>
      <c r="I435" s="1" t="s">
        <v>20</v>
      </c>
      <c r="J435" s="2">
        <v>65.900000000000006</v>
      </c>
      <c r="K435" s="3">
        <v>89</v>
      </c>
      <c r="L435" s="1" t="s">
        <v>28</v>
      </c>
    </row>
    <row r="436" spans="1:12" x14ac:dyDescent="0.35">
      <c r="A436">
        <v>435</v>
      </c>
      <c r="B436" s="1" t="s">
        <v>23</v>
      </c>
      <c r="C436" s="2">
        <v>2.7</v>
      </c>
      <c r="D436" s="3">
        <v>83.7</v>
      </c>
      <c r="E436" s="2">
        <v>6.5</v>
      </c>
      <c r="F436" s="1" t="s">
        <v>24</v>
      </c>
      <c r="G436" s="1" t="s">
        <v>19</v>
      </c>
      <c r="H436" s="1" t="s">
        <v>20</v>
      </c>
      <c r="I436" s="1" t="s">
        <v>20</v>
      </c>
      <c r="J436" s="2">
        <v>72.3</v>
      </c>
      <c r="K436" s="3">
        <v>78</v>
      </c>
      <c r="L436" s="1" t="s">
        <v>32</v>
      </c>
    </row>
    <row r="437" spans="1:12" x14ac:dyDescent="0.35">
      <c r="A437">
        <v>436</v>
      </c>
      <c r="B437" s="1" t="s">
        <v>23</v>
      </c>
      <c r="C437" s="2">
        <v>5.6</v>
      </c>
      <c r="D437" s="3">
        <v>85.8</v>
      </c>
      <c r="E437" s="2">
        <v>7.8</v>
      </c>
      <c r="F437" s="1" t="s">
        <v>24</v>
      </c>
      <c r="G437" s="1" t="s">
        <v>19</v>
      </c>
      <c r="H437" s="1" t="s">
        <v>19</v>
      </c>
      <c r="I437" s="1" t="s">
        <v>19</v>
      </c>
      <c r="J437" s="2">
        <v>76.400000000000006</v>
      </c>
      <c r="K437" s="3">
        <v>93</v>
      </c>
      <c r="L437" s="1" t="s">
        <v>21</v>
      </c>
    </row>
    <row r="438" spans="1:12" x14ac:dyDescent="0.35">
      <c r="A438">
        <v>437</v>
      </c>
      <c r="B438" s="1" t="s">
        <v>23</v>
      </c>
      <c r="C438" s="2">
        <v>6.9</v>
      </c>
      <c r="D438" s="3">
        <v>82.8</v>
      </c>
      <c r="E438" s="2">
        <v>6.7</v>
      </c>
      <c r="F438" s="1" t="s">
        <v>27</v>
      </c>
      <c r="G438" s="1" t="s">
        <v>19</v>
      </c>
      <c r="H438" s="1" t="s">
        <v>19</v>
      </c>
      <c r="I438" s="1" t="s">
        <v>19</v>
      </c>
      <c r="J438" s="2">
        <v>63.1</v>
      </c>
      <c r="K438" s="3">
        <v>100</v>
      </c>
      <c r="L438" s="1" t="s">
        <v>21</v>
      </c>
    </row>
    <row r="439" spans="1:12" x14ac:dyDescent="0.35">
      <c r="A439">
        <v>438</v>
      </c>
      <c r="B439" s="1" t="s">
        <v>23</v>
      </c>
      <c r="C439" s="2">
        <v>3</v>
      </c>
      <c r="D439" s="3">
        <v>78.5</v>
      </c>
      <c r="E439" s="2">
        <v>5.0999999999999996</v>
      </c>
      <c r="F439" s="1" t="s">
        <v>33</v>
      </c>
      <c r="G439" s="1" t="s">
        <v>19</v>
      </c>
      <c r="H439" s="1" t="s">
        <v>19</v>
      </c>
      <c r="I439" s="1" t="s">
        <v>20</v>
      </c>
      <c r="J439" s="2">
        <v>69.099999999999994</v>
      </c>
      <c r="K439" s="3">
        <v>77</v>
      </c>
      <c r="L439" s="1" t="s">
        <v>32</v>
      </c>
    </row>
    <row r="440" spans="1:12" x14ac:dyDescent="0.35">
      <c r="A440">
        <v>439</v>
      </c>
      <c r="B440" s="1" t="s">
        <v>17</v>
      </c>
      <c r="C440" s="2">
        <v>2.8</v>
      </c>
      <c r="D440" s="3">
        <v>86.7</v>
      </c>
      <c r="E440" s="2">
        <v>6.7</v>
      </c>
      <c r="F440" s="1" t="s">
        <v>33</v>
      </c>
      <c r="G440" s="1" t="s">
        <v>19</v>
      </c>
      <c r="H440" s="1" t="s">
        <v>20</v>
      </c>
      <c r="I440" s="1" t="s">
        <v>20</v>
      </c>
      <c r="J440" s="2">
        <v>69.3</v>
      </c>
      <c r="K440" s="3">
        <v>79</v>
      </c>
      <c r="L440" s="1" t="s">
        <v>32</v>
      </c>
    </row>
    <row r="441" spans="1:12" x14ac:dyDescent="0.35">
      <c r="A441">
        <v>440</v>
      </c>
      <c r="B441" s="1" t="s">
        <v>17</v>
      </c>
      <c r="C441" s="2">
        <v>5.7</v>
      </c>
      <c r="D441" s="3">
        <v>89.4</v>
      </c>
      <c r="E441" s="2">
        <v>8.8000000000000007</v>
      </c>
      <c r="F441" s="1" t="s">
        <v>24</v>
      </c>
      <c r="G441" s="1" t="s">
        <v>20</v>
      </c>
      <c r="H441" s="1" t="s">
        <v>20</v>
      </c>
      <c r="I441" s="1" t="s">
        <v>20</v>
      </c>
      <c r="J441" s="2">
        <v>79.900000000000006</v>
      </c>
      <c r="K441" s="3">
        <v>100</v>
      </c>
      <c r="L441" s="1" t="s">
        <v>21</v>
      </c>
    </row>
    <row r="442" spans="1:12" x14ac:dyDescent="0.35">
      <c r="A442">
        <v>441</v>
      </c>
      <c r="B442" s="1" t="s">
        <v>17</v>
      </c>
      <c r="C442" s="2">
        <v>5.9</v>
      </c>
      <c r="D442" s="3">
        <v>74.099999999999994</v>
      </c>
      <c r="E442" s="2">
        <v>8.3000000000000007</v>
      </c>
      <c r="F442" s="1" t="s">
        <v>24</v>
      </c>
      <c r="G442" s="1" t="s">
        <v>19</v>
      </c>
      <c r="H442" s="1" t="s">
        <v>19</v>
      </c>
      <c r="I442" s="1" t="s">
        <v>20</v>
      </c>
      <c r="J442" s="2">
        <v>57.2</v>
      </c>
      <c r="K442" s="3">
        <v>99</v>
      </c>
      <c r="L442" s="1" t="s">
        <v>21</v>
      </c>
    </row>
    <row r="443" spans="1:12" x14ac:dyDescent="0.35">
      <c r="A443">
        <v>442</v>
      </c>
      <c r="B443" s="1" t="s">
        <v>23</v>
      </c>
      <c r="C443" s="2">
        <v>2.7</v>
      </c>
      <c r="D443" s="3">
        <v>99.1</v>
      </c>
      <c r="E443" s="2">
        <v>6.7</v>
      </c>
      <c r="F443" s="1" t="s">
        <v>24</v>
      </c>
      <c r="G443" s="1" t="s">
        <v>19</v>
      </c>
      <c r="H443" s="1" t="s">
        <v>19</v>
      </c>
      <c r="I443" s="1" t="s">
        <v>19</v>
      </c>
      <c r="J443" s="2">
        <v>69.400000000000006</v>
      </c>
      <c r="K443" s="3">
        <v>88</v>
      </c>
      <c r="L443" s="1" t="s">
        <v>28</v>
      </c>
    </row>
    <row r="444" spans="1:12" x14ac:dyDescent="0.35">
      <c r="A444">
        <v>443</v>
      </c>
      <c r="B444" s="1" t="s">
        <v>17</v>
      </c>
      <c r="C444" s="2">
        <v>2.9</v>
      </c>
      <c r="D444" s="3">
        <v>84</v>
      </c>
      <c r="E444" s="2">
        <v>7.9</v>
      </c>
      <c r="F444" s="1" t="s">
        <v>33</v>
      </c>
      <c r="G444" s="1" t="s">
        <v>19</v>
      </c>
      <c r="H444" s="1" t="s">
        <v>20</v>
      </c>
      <c r="I444" s="1" t="s">
        <v>19</v>
      </c>
      <c r="J444" s="2">
        <v>92.9</v>
      </c>
      <c r="K444" s="3">
        <v>85</v>
      </c>
      <c r="L444" s="1" t="s">
        <v>28</v>
      </c>
    </row>
    <row r="445" spans="1:12" x14ac:dyDescent="0.35">
      <c r="A445">
        <v>444</v>
      </c>
      <c r="B445" s="1" t="s">
        <v>23</v>
      </c>
      <c r="C445" s="2">
        <v>3.1</v>
      </c>
      <c r="D445" s="3">
        <v>85.2</v>
      </c>
      <c r="E445" s="2">
        <v>6.4</v>
      </c>
      <c r="F445" s="1" t="s">
        <v>27</v>
      </c>
      <c r="G445" s="1" t="s">
        <v>19</v>
      </c>
      <c r="H445" s="1" t="s">
        <v>19</v>
      </c>
      <c r="I445" s="1" t="s">
        <v>20</v>
      </c>
      <c r="J445" s="2">
        <v>84</v>
      </c>
      <c r="K445" s="3">
        <v>86</v>
      </c>
      <c r="L445" s="1" t="s">
        <v>28</v>
      </c>
    </row>
    <row r="446" spans="1:12" x14ac:dyDescent="0.35">
      <c r="A446">
        <v>445</v>
      </c>
      <c r="B446" s="1" t="s">
        <v>23</v>
      </c>
      <c r="C446" s="2">
        <v>1.5</v>
      </c>
      <c r="D446" s="3">
        <v>92.1</v>
      </c>
      <c r="E446" s="2">
        <v>4.8</v>
      </c>
      <c r="F446" s="1" t="s">
        <v>18</v>
      </c>
      <c r="G446" s="1" t="s">
        <v>19</v>
      </c>
      <c r="H446" s="1" t="s">
        <v>19</v>
      </c>
      <c r="I446" s="1" t="s">
        <v>19</v>
      </c>
      <c r="J446" s="2">
        <v>86.2</v>
      </c>
      <c r="K446" s="3">
        <v>81</v>
      </c>
      <c r="L446" s="1" t="s">
        <v>28</v>
      </c>
    </row>
    <row r="447" spans="1:12" x14ac:dyDescent="0.35">
      <c r="A447">
        <v>446</v>
      </c>
      <c r="B447" s="1" t="s">
        <v>17</v>
      </c>
      <c r="C447" s="2">
        <v>2.1</v>
      </c>
      <c r="D447" s="3">
        <v>87.3</v>
      </c>
      <c r="E447" s="2">
        <v>5.7</v>
      </c>
      <c r="F447" s="1" t="s">
        <v>24</v>
      </c>
      <c r="G447" s="1" t="s">
        <v>19</v>
      </c>
      <c r="H447" s="1" t="s">
        <v>20</v>
      </c>
      <c r="I447" s="1" t="s">
        <v>20</v>
      </c>
      <c r="J447" s="2">
        <v>70.3</v>
      </c>
      <c r="K447" s="3">
        <v>80</v>
      </c>
      <c r="L447" s="1" t="s">
        <v>32</v>
      </c>
    </row>
    <row r="448" spans="1:12" x14ac:dyDescent="0.35">
      <c r="A448">
        <v>447</v>
      </c>
      <c r="B448" s="1" t="s">
        <v>17</v>
      </c>
      <c r="C448" s="2">
        <v>2</v>
      </c>
      <c r="D448" s="3">
        <v>94.5</v>
      </c>
      <c r="E448" s="2">
        <v>8.6999999999999993</v>
      </c>
      <c r="F448" s="1" t="s">
        <v>18</v>
      </c>
      <c r="G448" s="1" t="s">
        <v>19</v>
      </c>
      <c r="H448" s="1" t="s">
        <v>20</v>
      </c>
      <c r="I448" s="1" t="s">
        <v>20</v>
      </c>
      <c r="J448" s="2">
        <v>73.900000000000006</v>
      </c>
      <c r="K448" s="3">
        <v>79</v>
      </c>
      <c r="L448" s="1" t="s">
        <v>32</v>
      </c>
    </row>
    <row r="449" spans="1:12" x14ac:dyDescent="0.35">
      <c r="A449">
        <v>448</v>
      </c>
      <c r="B449" s="1" t="s">
        <v>23</v>
      </c>
      <c r="C449" s="2">
        <v>2.2999999999999998</v>
      </c>
      <c r="D449" s="3">
        <v>87.9</v>
      </c>
      <c r="E449" s="2">
        <v>6.5</v>
      </c>
      <c r="F449" s="1" t="s">
        <v>24</v>
      </c>
      <c r="G449" s="1" t="s">
        <v>19</v>
      </c>
      <c r="H449" s="1" t="s">
        <v>19</v>
      </c>
      <c r="I449" s="1" t="s">
        <v>19</v>
      </c>
      <c r="J449" s="2">
        <v>82</v>
      </c>
      <c r="K449" s="3">
        <v>87</v>
      </c>
      <c r="L449" s="1" t="s">
        <v>28</v>
      </c>
    </row>
    <row r="450" spans="1:12" x14ac:dyDescent="0.35">
      <c r="A450">
        <v>449</v>
      </c>
      <c r="B450" s="1" t="s">
        <v>17</v>
      </c>
      <c r="C450" s="2">
        <v>3.4</v>
      </c>
      <c r="D450" s="3">
        <v>78.900000000000006</v>
      </c>
      <c r="E450" s="2">
        <v>6.5</v>
      </c>
      <c r="F450" s="1" t="s">
        <v>18</v>
      </c>
      <c r="G450" s="1" t="s">
        <v>19</v>
      </c>
      <c r="H450" s="1" t="s">
        <v>19</v>
      </c>
      <c r="I450" s="1" t="s">
        <v>20</v>
      </c>
      <c r="J450" s="2">
        <v>88.7</v>
      </c>
      <c r="K450" s="3">
        <v>91</v>
      </c>
      <c r="L450" s="1" t="s">
        <v>21</v>
      </c>
    </row>
    <row r="451" spans="1:12" x14ac:dyDescent="0.35">
      <c r="A451">
        <v>450</v>
      </c>
      <c r="B451" s="1" t="s">
        <v>23</v>
      </c>
      <c r="C451" s="2">
        <v>3.9</v>
      </c>
      <c r="D451" s="3">
        <v>88.6</v>
      </c>
      <c r="E451" s="2">
        <v>6.4</v>
      </c>
      <c r="F451" s="1" t="s">
        <v>18</v>
      </c>
      <c r="G451" s="1" t="s">
        <v>19</v>
      </c>
      <c r="H451" s="1" t="s">
        <v>20</v>
      </c>
      <c r="I451" s="1" t="s">
        <v>19</v>
      </c>
      <c r="J451" s="2">
        <v>46.6</v>
      </c>
      <c r="K451" s="3">
        <v>65</v>
      </c>
      <c r="L451" s="1" t="s">
        <v>30</v>
      </c>
    </row>
    <row r="452" spans="1:12" x14ac:dyDescent="0.35">
      <c r="A452">
        <v>451</v>
      </c>
      <c r="B452" s="1" t="s">
        <v>23</v>
      </c>
      <c r="C452" s="2">
        <v>5.8</v>
      </c>
      <c r="D452" s="3">
        <v>73.599999999999994</v>
      </c>
      <c r="E452" s="2">
        <v>9.1</v>
      </c>
      <c r="F452" s="1" t="s">
        <v>33</v>
      </c>
      <c r="G452" s="1" t="s">
        <v>20</v>
      </c>
      <c r="H452" s="1" t="s">
        <v>19</v>
      </c>
      <c r="I452" s="1" t="s">
        <v>20</v>
      </c>
      <c r="J452" s="2">
        <v>54.2</v>
      </c>
      <c r="K452" s="3">
        <v>78</v>
      </c>
      <c r="L452" s="1" t="s">
        <v>32</v>
      </c>
    </row>
    <row r="453" spans="1:12" x14ac:dyDescent="0.35">
      <c r="A453">
        <v>452</v>
      </c>
      <c r="B453" s="1" t="s">
        <v>23</v>
      </c>
      <c r="C453" s="2">
        <v>2</v>
      </c>
      <c r="D453" s="3">
        <v>86.1</v>
      </c>
      <c r="E453" s="2">
        <v>8.8000000000000007</v>
      </c>
      <c r="F453" s="1" t="s">
        <v>24</v>
      </c>
      <c r="G453" s="1" t="s">
        <v>19</v>
      </c>
      <c r="H453" s="1" t="s">
        <v>19</v>
      </c>
      <c r="I453" s="1" t="s">
        <v>19</v>
      </c>
      <c r="J453" s="2">
        <v>85.7</v>
      </c>
      <c r="K453" s="3">
        <v>82</v>
      </c>
      <c r="L453" s="1" t="s">
        <v>28</v>
      </c>
    </row>
    <row r="454" spans="1:12" x14ac:dyDescent="0.35">
      <c r="A454">
        <v>453</v>
      </c>
      <c r="B454" s="1" t="s">
        <v>23</v>
      </c>
      <c r="C454" s="2">
        <v>5</v>
      </c>
      <c r="D454" s="3">
        <v>84.7</v>
      </c>
      <c r="E454" s="2">
        <v>9.5</v>
      </c>
      <c r="F454" s="1" t="s">
        <v>24</v>
      </c>
      <c r="G454" s="1" t="s">
        <v>19</v>
      </c>
      <c r="H454" s="1" t="s">
        <v>20</v>
      </c>
      <c r="I454" s="1" t="s">
        <v>20</v>
      </c>
      <c r="J454" s="2">
        <v>66.7</v>
      </c>
      <c r="K454" s="3">
        <v>93</v>
      </c>
      <c r="L454" s="1" t="s">
        <v>21</v>
      </c>
    </row>
    <row r="455" spans="1:12" x14ac:dyDescent="0.35">
      <c r="A455">
        <v>454</v>
      </c>
      <c r="B455" s="1" t="s">
        <v>23</v>
      </c>
      <c r="C455" s="2">
        <v>3.2</v>
      </c>
      <c r="D455" s="3">
        <v>82.9</v>
      </c>
      <c r="E455" s="2">
        <v>6.6</v>
      </c>
      <c r="F455" s="1" t="s">
        <v>27</v>
      </c>
      <c r="G455" s="1" t="s">
        <v>20</v>
      </c>
      <c r="H455" s="1" t="s">
        <v>20</v>
      </c>
      <c r="I455" s="1" t="s">
        <v>20</v>
      </c>
      <c r="J455" s="2">
        <v>61.9</v>
      </c>
      <c r="K455" s="3">
        <v>85</v>
      </c>
      <c r="L455" s="1" t="s">
        <v>28</v>
      </c>
    </row>
    <row r="456" spans="1:12" x14ac:dyDescent="0.35">
      <c r="A456">
        <v>455</v>
      </c>
      <c r="B456" s="1" t="s">
        <v>17</v>
      </c>
      <c r="C456" s="2">
        <v>3.4</v>
      </c>
      <c r="D456" s="3">
        <v>83.7</v>
      </c>
      <c r="E456" s="2">
        <v>7.2</v>
      </c>
      <c r="F456" s="1" t="s">
        <v>24</v>
      </c>
      <c r="G456" s="1" t="s">
        <v>19</v>
      </c>
      <c r="H456" s="1" t="s">
        <v>19</v>
      </c>
      <c r="I456" s="1" t="s">
        <v>20</v>
      </c>
      <c r="J456" s="2">
        <v>55</v>
      </c>
      <c r="K456" s="3">
        <v>81</v>
      </c>
      <c r="L456" s="1" t="s">
        <v>28</v>
      </c>
    </row>
    <row r="457" spans="1:12" x14ac:dyDescent="0.35">
      <c r="A457">
        <v>456</v>
      </c>
      <c r="B457" s="1" t="s">
        <v>17</v>
      </c>
      <c r="C457" s="2">
        <v>4.5</v>
      </c>
      <c r="D457" s="3">
        <v>66.2</v>
      </c>
      <c r="E457" s="2">
        <v>5</v>
      </c>
      <c r="F457" s="1" t="s">
        <v>24</v>
      </c>
      <c r="G457" s="1" t="s">
        <v>19</v>
      </c>
      <c r="H457" s="1" t="s">
        <v>20</v>
      </c>
      <c r="I457" s="1" t="s">
        <v>20</v>
      </c>
      <c r="J457" s="2">
        <v>63.3</v>
      </c>
      <c r="K457" s="3">
        <v>73</v>
      </c>
      <c r="L457" s="1" t="s">
        <v>32</v>
      </c>
    </row>
    <row r="458" spans="1:12" x14ac:dyDescent="0.35">
      <c r="A458">
        <v>457</v>
      </c>
      <c r="B458" s="1" t="s">
        <v>23</v>
      </c>
      <c r="C458" s="2">
        <v>1.8</v>
      </c>
      <c r="D458" s="3">
        <v>79.5</v>
      </c>
      <c r="E458" s="2">
        <v>8.6</v>
      </c>
      <c r="F458" s="1" t="s">
        <v>24</v>
      </c>
      <c r="G458" s="1" t="s">
        <v>19</v>
      </c>
      <c r="H458" s="1" t="s">
        <v>20</v>
      </c>
      <c r="I458" s="1" t="s">
        <v>19</v>
      </c>
      <c r="J458" s="2">
        <v>53.2</v>
      </c>
      <c r="K458" s="3">
        <v>69</v>
      </c>
      <c r="L458" s="1" t="s">
        <v>30</v>
      </c>
    </row>
    <row r="459" spans="1:12" x14ac:dyDescent="0.35">
      <c r="A459">
        <v>458</v>
      </c>
      <c r="B459" s="1" t="s">
        <v>23</v>
      </c>
      <c r="C459" s="2">
        <v>4.0999999999999996</v>
      </c>
      <c r="D459" s="3">
        <v>85.9</v>
      </c>
      <c r="E459" s="2">
        <v>5.4</v>
      </c>
      <c r="F459" s="1" t="s">
        <v>24</v>
      </c>
      <c r="G459" s="1" t="s">
        <v>20</v>
      </c>
      <c r="H459" s="1" t="s">
        <v>19</v>
      </c>
      <c r="I459" s="1" t="s">
        <v>20</v>
      </c>
      <c r="J459" s="2">
        <v>95.1</v>
      </c>
      <c r="K459" s="3">
        <v>90</v>
      </c>
      <c r="L459" s="1" t="s">
        <v>28</v>
      </c>
    </row>
    <row r="460" spans="1:12" x14ac:dyDescent="0.35">
      <c r="A460">
        <v>459</v>
      </c>
      <c r="B460" s="1" t="s">
        <v>17</v>
      </c>
      <c r="C460" s="2">
        <v>3.7</v>
      </c>
      <c r="D460" s="3">
        <v>86.6</v>
      </c>
      <c r="E460" s="2">
        <v>7.1</v>
      </c>
      <c r="F460" s="1" t="s">
        <v>18</v>
      </c>
      <c r="G460" s="1" t="s">
        <v>20</v>
      </c>
      <c r="H460" s="1" t="s">
        <v>20</v>
      </c>
      <c r="I460" s="1" t="s">
        <v>20</v>
      </c>
      <c r="J460" s="2">
        <v>69.7</v>
      </c>
      <c r="K460" s="3">
        <v>83</v>
      </c>
      <c r="L460" s="1" t="s">
        <v>28</v>
      </c>
    </row>
    <row r="461" spans="1:12" x14ac:dyDescent="0.35">
      <c r="A461">
        <v>460</v>
      </c>
      <c r="B461" s="1" t="s">
        <v>17</v>
      </c>
      <c r="C461" s="2">
        <v>4.2</v>
      </c>
      <c r="D461" s="3">
        <v>74.7</v>
      </c>
      <c r="E461" s="2">
        <v>5.5</v>
      </c>
      <c r="F461" s="1" t="s">
        <v>33</v>
      </c>
      <c r="G461" s="1" t="s">
        <v>19</v>
      </c>
      <c r="H461" s="1" t="s">
        <v>19</v>
      </c>
      <c r="I461" s="1" t="s">
        <v>20</v>
      </c>
      <c r="J461" s="2">
        <v>69.3</v>
      </c>
      <c r="K461" s="3">
        <v>87</v>
      </c>
      <c r="L461" s="1" t="s">
        <v>28</v>
      </c>
    </row>
    <row r="462" spans="1:12" x14ac:dyDescent="0.35">
      <c r="A462">
        <v>461</v>
      </c>
      <c r="B462" s="1" t="s">
        <v>23</v>
      </c>
      <c r="C462" s="2">
        <v>3.9</v>
      </c>
      <c r="D462" s="3">
        <v>97.7</v>
      </c>
      <c r="E462" s="2">
        <v>6.1</v>
      </c>
      <c r="F462" s="1" t="s">
        <v>24</v>
      </c>
      <c r="G462" s="1" t="s">
        <v>19</v>
      </c>
      <c r="H462" s="1" t="s">
        <v>19</v>
      </c>
      <c r="I462" s="1" t="s">
        <v>19</v>
      </c>
      <c r="J462" s="2">
        <v>77.099999999999994</v>
      </c>
      <c r="K462" s="3">
        <v>98</v>
      </c>
      <c r="L462" s="1" t="s">
        <v>21</v>
      </c>
    </row>
    <row r="463" spans="1:12" x14ac:dyDescent="0.35">
      <c r="A463">
        <v>462</v>
      </c>
      <c r="B463" s="1" t="s">
        <v>17</v>
      </c>
      <c r="C463" s="2">
        <v>7.2</v>
      </c>
      <c r="D463" s="3">
        <v>76.3</v>
      </c>
      <c r="E463" s="2">
        <v>5.8</v>
      </c>
      <c r="F463" s="1" t="s">
        <v>18</v>
      </c>
      <c r="G463" s="1" t="s">
        <v>19</v>
      </c>
      <c r="H463" s="1" t="s">
        <v>20</v>
      </c>
      <c r="I463" s="1" t="s">
        <v>20</v>
      </c>
      <c r="J463" s="2">
        <v>81.5</v>
      </c>
      <c r="K463" s="3">
        <v>100</v>
      </c>
      <c r="L463" s="1" t="s">
        <v>21</v>
      </c>
    </row>
    <row r="464" spans="1:12" x14ac:dyDescent="0.35">
      <c r="A464">
        <v>463</v>
      </c>
      <c r="B464" s="1" t="s">
        <v>23</v>
      </c>
      <c r="C464" s="2">
        <v>2.5</v>
      </c>
      <c r="D464" s="3">
        <v>94.7</v>
      </c>
      <c r="E464" s="2">
        <v>6.1</v>
      </c>
      <c r="F464" s="1" t="s">
        <v>33</v>
      </c>
      <c r="G464" s="1" t="s">
        <v>19</v>
      </c>
      <c r="H464" s="1" t="s">
        <v>19</v>
      </c>
      <c r="I464" s="1" t="s">
        <v>19</v>
      </c>
      <c r="J464" s="2">
        <v>81.400000000000006</v>
      </c>
      <c r="K464" s="3">
        <v>95</v>
      </c>
      <c r="L464" s="1" t="s">
        <v>21</v>
      </c>
    </row>
    <row r="465" spans="1:12" x14ac:dyDescent="0.35">
      <c r="A465">
        <v>464</v>
      </c>
      <c r="B465" s="1" t="s">
        <v>17</v>
      </c>
      <c r="C465" s="2">
        <v>2.7</v>
      </c>
      <c r="D465" s="3">
        <v>89.3</v>
      </c>
      <c r="E465" s="2">
        <v>6.2</v>
      </c>
      <c r="F465" s="1" t="s">
        <v>18</v>
      </c>
      <c r="G465" s="1" t="s">
        <v>19</v>
      </c>
      <c r="H465" s="1" t="s">
        <v>19</v>
      </c>
      <c r="I465" s="1" t="s">
        <v>20</v>
      </c>
      <c r="J465" s="2">
        <v>82.9</v>
      </c>
      <c r="K465" s="3">
        <v>94</v>
      </c>
      <c r="L465" s="1" t="s">
        <v>21</v>
      </c>
    </row>
    <row r="466" spans="1:12" x14ac:dyDescent="0.35">
      <c r="A466">
        <v>465</v>
      </c>
      <c r="B466" s="1" t="s">
        <v>23</v>
      </c>
      <c r="C466" s="2">
        <v>2.6</v>
      </c>
      <c r="D466" s="3">
        <v>78.5</v>
      </c>
      <c r="E466" s="2">
        <v>6.1</v>
      </c>
      <c r="F466" s="1" t="s">
        <v>34</v>
      </c>
      <c r="G466" s="1" t="s">
        <v>20</v>
      </c>
      <c r="H466" s="1" t="s">
        <v>19</v>
      </c>
      <c r="I466" s="1" t="s">
        <v>19</v>
      </c>
      <c r="J466" s="2">
        <v>62.4</v>
      </c>
      <c r="K466" s="3">
        <v>63</v>
      </c>
      <c r="L466" s="1" t="s">
        <v>30</v>
      </c>
    </row>
    <row r="467" spans="1:12" x14ac:dyDescent="0.35">
      <c r="A467">
        <v>466</v>
      </c>
      <c r="B467" s="1" t="s">
        <v>17</v>
      </c>
      <c r="C467" s="2">
        <v>2.7</v>
      </c>
      <c r="D467" s="3">
        <v>100</v>
      </c>
      <c r="E467" s="2">
        <v>7.8</v>
      </c>
      <c r="F467" s="1" t="s">
        <v>34</v>
      </c>
      <c r="G467" s="1" t="s">
        <v>19</v>
      </c>
      <c r="H467" s="1" t="s">
        <v>19</v>
      </c>
      <c r="I467" s="1" t="s">
        <v>20</v>
      </c>
      <c r="J467" s="2">
        <v>66.400000000000006</v>
      </c>
      <c r="K467" s="3">
        <v>100</v>
      </c>
      <c r="L467" s="1" t="s">
        <v>21</v>
      </c>
    </row>
    <row r="468" spans="1:12" x14ac:dyDescent="0.35">
      <c r="A468">
        <v>467</v>
      </c>
      <c r="B468" s="1" t="s">
        <v>23</v>
      </c>
      <c r="C468" s="2">
        <v>2.5</v>
      </c>
      <c r="D468" s="3">
        <v>73.099999999999994</v>
      </c>
      <c r="E468" s="2">
        <v>5.5</v>
      </c>
      <c r="F468" s="1" t="s">
        <v>24</v>
      </c>
      <c r="G468" s="1" t="s">
        <v>19</v>
      </c>
      <c r="H468" s="1" t="s">
        <v>20</v>
      </c>
      <c r="I468" s="1" t="s">
        <v>19</v>
      </c>
      <c r="J468" s="2">
        <v>79.2</v>
      </c>
      <c r="K468" s="3">
        <v>77</v>
      </c>
      <c r="L468" s="1" t="s">
        <v>32</v>
      </c>
    </row>
    <row r="469" spans="1:12" x14ac:dyDescent="0.35">
      <c r="A469">
        <v>468</v>
      </c>
      <c r="B469" s="1" t="s">
        <v>17</v>
      </c>
      <c r="C469" s="2">
        <v>5.3</v>
      </c>
      <c r="D469" s="3">
        <v>94.2</v>
      </c>
      <c r="E469" s="2">
        <v>7.1</v>
      </c>
      <c r="F469" s="1" t="s">
        <v>33</v>
      </c>
      <c r="G469" s="1" t="s">
        <v>19</v>
      </c>
      <c r="H469" s="1" t="s">
        <v>20</v>
      </c>
      <c r="I469" s="1" t="s">
        <v>20</v>
      </c>
      <c r="J469" s="2">
        <v>63.7</v>
      </c>
      <c r="K469" s="3">
        <v>89</v>
      </c>
      <c r="L469" s="1" t="s">
        <v>28</v>
      </c>
    </row>
    <row r="470" spans="1:12" x14ac:dyDescent="0.35">
      <c r="A470">
        <v>469</v>
      </c>
      <c r="B470" s="1" t="s">
        <v>17</v>
      </c>
      <c r="C470" s="2">
        <v>5.6</v>
      </c>
      <c r="D470" s="3">
        <v>95</v>
      </c>
      <c r="E470" s="2">
        <v>8.3000000000000007</v>
      </c>
      <c r="F470" s="1" t="s">
        <v>18</v>
      </c>
      <c r="G470" s="1" t="s">
        <v>19</v>
      </c>
      <c r="H470" s="1" t="s">
        <v>20</v>
      </c>
      <c r="I470" s="1" t="s">
        <v>20</v>
      </c>
      <c r="J470" s="2">
        <v>69.900000000000006</v>
      </c>
      <c r="K470" s="3">
        <v>100</v>
      </c>
      <c r="L470" s="1" t="s">
        <v>21</v>
      </c>
    </row>
    <row r="471" spans="1:12" x14ac:dyDescent="0.35">
      <c r="A471">
        <v>470</v>
      </c>
      <c r="B471" s="1" t="s">
        <v>23</v>
      </c>
      <c r="C471" s="2">
        <v>2.6</v>
      </c>
      <c r="D471" s="3">
        <v>78.3</v>
      </c>
      <c r="E471" s="2">
        <v>6.2</v>
      </c>
      <c r="F471" s="1" t="s">
        <v>27</v>
      </c>
      <c r="G471" s="1" t="s">
        <v>19</v>
      </c>
      <c r="H471" s="1" t="s">
        <v>19</v>
      </c>
      <c r="I471" s="1" t="s">
        <v>19</v>
      </c>
      <c r="J471" s="2">
        <v>74.8</v>
      </c>
      <c r="K471" s="3">
        <v>90</v>
      </c>
      <c r="L471" s="1" t="s">
        <v>28</v>
      </c>
    </row>
    <row r="472" spans="1:12" x14ac:dyDescent="0.35">
      <c r="A472">
        <v>471</v>
      </c>
      <c r="B472" s="1" t="s">
        <v>17</v>
      </c>
      <c r="C472" s="2">
        <v>2.2999999999999998</v>
      </c>
      <c r="D472" s="3">
        <v>98.9</v>
      </c>
      <c r="E472" s="2">
        <v>5.9</v>
      </c>
      <c r="F472" s="1" t="s">
        <v>18</v>
      </c>
      <c r="G472" s="1" t="s">
        <v>19</v>
      </c>
      <c r="H472" s="1" t="s">
        <v>19</v>
      </c>
      <c r="I472" s="1" t="s">
        <v>20</v>
      </c>
      <c r="J472" s="2">
        <v>79.400000000000006</v>
      </c>
      <c r="K472" s="3">
        <v>88</v>
      </c>
      <c r="L472" s="1" t="s">
        <v>28</v>
      </c>
    </row>
    <row r="473" spans="1:12" x14ac:dyDescent="0.35">
      <c r="A473">
        <v>472</v>
      </c>
      <c r="B473" s="1" t="s">
        <v>23</v>
      </c>
      <c r="C473" s="2">
        <v>4.2</v>
      </c>
      <c r="D473" s="3">
        <v>82.5</v>
      </c>
      <c r="E473" s="2">
        <v>6.5</v>
      </c>
      <c r="F473" s="1" t="s">
        <v>27</v>
      </c>
      <c r="G473" s="1" t="s">
        <v>20</v>
      </c>
      <c r="H473" s="1" t="s">
        <v>19</v>
      </c>
      <c r="I473" s="1" t="s">
        <v>19</v>
      </c>
      <c r="J473" s="2">
        <v>48.7</v>
      </c>
      <c r="K473" s="3">
        <v>68</v>
      </c>
      <c r="L473" s="1" t="s">
        <v>30</v>
      </c>
    </row>
    <row r="474" spans="1:12" x14ac:dyDescent="0.35">
      <c r="A474">
        <v>473</v>
      </c>
      <c r="B474" s="1" t="s">
        <v>17</v>
      </c>
      <c r="C474" s="2">
        <v>2.7</v>
      </c>
      <c r="D474" s="3">
        <v>87.9</v>
      </c>
      <c r="E474" s="2">
        <v>8.1999999999999993</v>
      </c>
      <c r="F474" s="1" t="s">
        <v>33</v>
      </c>
      <c r="G474" s="1" t="s">
        <v>20</v>
      </c>
      <c r="H474" s="1" t="s">
        <v>19</v>
      </c>
      <c r="I474" s="1" t="s">
        <v>20</v>
      </c>
      <c r="J474" s="2">
        <v>78.599999999999994</v>
      </c>
      <c r="K474" s="3">
        <v>82</v>
      </c>
      <c r="L474" s="1" t="s">
        <v>28</v>
      </c>
    </row>
    <row r="475" spans="1:12" x14ac:dyDescent="0.35">
      <c r="A475">
        <v>474</v>
      </c>
      <c r="B475" s="1" t="s">
        <v>23</v>
      </c>
      <c r="C475" s="2">
        <v>4.4000000000000004</v>
      </c>
      <c r="D475" s="3">
        <v>87.6</v>
      </c>
      <c r="E475" s="2">
        <v>7</v>
      </c>
      <c r="F475" s="1" t="s">
        <v>24</v>
      </c>
      <c r="G475" s="1" t="s">
        <v>19</v>
      </c>
      <c r="H475" s="1" t="s">
        <v>19</v>
      </c>
      <c r="I475" s="1" t="s">
        <v>20</v>
      </c>
      <c r="J475" s="2">
        <v>67.2</v>
      </c>
      <c r="K475" s="3">
        <v>94</v>
      </c>
      <c r="L475" s="1" t="s">
        <v>21</v>
      </c>
    </row>
    <row r="476" spans="1:12" x14ac:dyDescent="0.35">
      <c r="A476">
        <v>475</v>
      </c>
      <c r="B476" s="1" t="s">
        <v>17</v>
      </c>
      <c r="C476" s="2">
        <v>3.8</v>
      </c>
      <c r="D476" s="3">
        <v>83.7</v>
      </c>
      <c r="E476" s="2">
        <v>6.2</v>
      </c>
      <c r="F476" s="1" t="s">
        <v>18</v>
      </c>
      <c r="G476" s="1" t="s">
        <v>20</v>
      </c>
      <c r="H476" s="1" t="s">
        <v>20</v>
      </c>
      <c r="I476" s="1" t="s">
        <v>20</v>
      </c>
      <c r="J476" s="2">
        <v>78.5</v>
      </c>
      <c r="K476" s="3">
        <v>91</v>
      </c>
      <c r="L476" s="1" t="s">
        <v>21</v>
      </c>
    </row>
    <row r="477" spans="1:12" x14ac:dyDescent="0.35">
      <c r="A477">
        <v>476</v>
      </c>
      <c r="B477" s="1" t="s">
        <v>23</v>
      </c>
      <c r="C477" s="2">
        <v>1.2</v>
      </c>
      <c r="D477" s="3">
        <v>93.1</v>
      </c>
      <c r="E477" s="2">
        <v>7.4</v>
      </c>
      <c r="F477" s="1" t="s">
        <v>27</v>
      </c>
      <c r="G477" s="1" t="s">
        <v>19</v>
      </c>
      <c r="H477" s="1" t="s">
        <v>20</v>
      </c>
      <c r="I477" s="1" t="s">
        <v>20</v>
      </c>
      <c r="J477" s="2">
        <v>79.3</v>
      </c>
      <c r="K477" s="3">
        <v>85</v>
      </c>
      <c r="L477" s="1" t="s">
        <v>28</v>
      </c>
    </row>
    <row r="478" spans="1:12" x14ac:dyDescent="0.35">
      <c r="A478">
        <v>477</v>
      </c>
      <c r="B478" s="1" t="s">
        <v>17</v>
      </c>
      <c r="C478" s="2">
        <v>5.8</v>
      </c>
      <c r="D478" s="3">
        <v>92.9</v>
      </c>
      <c r="E478" s="2">
        <v>5.5</v>
      </c>
      <c r="F478" s="1" t="s">
        <v>34</v>
      </c>
      <c r="G478" s="1" t="s">
        <v>19</v>
      </c>
      <c r="H478" s="1" t="s">
        <v>20</v>
      </c>
      <c r="I478" s="1" t="s">
        <v>19</v>
      </c>
      <c r="J478" s="2">
        <v>89.3</v>
      </c>
      <c r="K478" s="3">
        <v>100</v>
      </c>
      <c r="L478" s="1" t="s">
        <v>21</v>
      </c>
    </row>
    <row r="479" spans="1:12" x14ac:dyDescent="0.35">
      <c r="A479">
        <v>478</v>
      </c>
      <c r="B479" s="1" t="s">
        <v>23</v>
      </c>
      <c r="C479" s="2">
        <v>6.2</v>
      </c>
      <c r="D479" s="3">
        <v>67.5</v>
      </c>
      <c r="E479" s="2">
        <v>7.6</v>
      </c>
      <c r="F479" s="1" t="s">
        <v>24</v>
      </c>
      <c r="G479" s="1" t="s">
        <v>19</v>
      </c>
      <c r="H479" s="1" t="s">
        <v>19</v>
      </c>
      <c r="I479" s="1" t="s">
        <v>20</v>
      </c>
      <c r="J479" s="2">
        <v>86.2</v>
      </c>
      <c r="K479" s="3">
        <v>100</v>
      </c>
      <c r="L479" s="1" t="s">
        <v>21</v>
      </c>
    </row>
    <row r="480" spans="1:12" x14ac:dyDescent="0.35">
      <c r="A480">
        <v>479</v>
      </c>
      <c r="B480" s="1" t="s">
        <v>17</v>
      </c>
      <c r="C480" s="2">
        <v>2.6</v>
      </c>
      <c r="D480" s="3">
        <v>98</v>
      </c>
      <c r="E480" s="2">
        <v>7.3</v>
      </c>
      <c r="F480" s="1" t="s">
        <v>33</v>
      </c>
      <c r="G480" s="1" t="s">
        <v>19</v>
      </c>
      <c r="H480" s="1" t="s">
        <v>20</v>
      </c>
      <c r="I480" s="1" t="s">
        <v>19</v>
      </c>
      <c r="J480" s="2">
        <v>86.2</v>
      </c>
      <c r="K480" s="3">
        <v>87</v>
      </c>
      <c r="L480" s="1" t="s">
        <v>28</v>
      </c>
    </row>
    <row r="481" spans="1:12" x14ac:dyDescent="0.35">
      <c r="A481">
        <v>480</v>
      </c>
      <c r="B481" s="1" t="s">
        <v>23</v>
      </c>
      <c r="C481" s="2">
        <v>2.9</v>
      </c>
      <c r="D481" s="3">
        <v>68.400000000000006</v>
      </c>
      <c r="E481" s="2">
        <v>6.4</v>
      </c>
      <c r="F481" s="1" t="s">
        <v>24</v>
      </c>
      <c r="G481" s="1" t="s">
        <v>20</v>
      </c>
      <c r="H481" s="1" t="s">
        <v>19</v>
      </c>
      <c r="I481" s="1" t="s">
        <v>20</v>
      </c>
      <c r="J481" s="2">
        <v>87.3</v>
      </c>
      <c r="K481" s="3">
        <v>85</v>
      </c>
      <c r="L481" s="1" t="s">
        <v>28</v>
      </c>
    </row>
    <row r="482" spans="1:12" x14ac:dyDescent="0.35">
      <c r="A482">
        <v>481</v>
      </c>
      <c r="B482" s="1" t="s">
        <v>23</v>
      </c>
      <c r="C482" s="2">
        <v>3.9</v>
      </c>
      <c r="D482" s="3">
        <v>95.3</v>
      </c>
      <c r="E482" s="2">
        <v>5.8</v>
      </c>
      <c r="F482" s="1" t="s">
        <v>24</v>
      </c>
      <c r="G482" s="1" t="s">
        <v>19</v>
      </c>
      <c r="H482" s="1" t="s">
        <v>19</v>
      </c>
      <c r="I482" s="1" t="s">
        <v>20</v>
      </c>
      <c r="J482" s="2">
        <v>73.5</v>
      </c>
      <c r="K482" s="3">
        <v>90</v>
      </c>
      <c r="L482" s="1" t="s">
        <v>28</v>
      </c>
    </row>
    <row r="483" spans="1:12" x14ac:dyDescent="0.35">
      <c r="A483">
        <v>482</v>
      </c>
      <c r="B483" s="1" t="s">
        <v>23</v>
      </c>
      <c r="C483" s="2">
        <v>4</v>
      </c>
      <c r="D483" s="3">
        <v>96.3</v>
      </c>
      <c r="E483" s="2">
        <v>5.7</v>
      </c>
      <c r="F483" s="1" t="s">
        <v>18</v>
      </c>
      <c r="G483" s="1" t="s">
        <v>19</v>
      </c>
      <c r="H483" s="1" t="s">
        <v>20</v>
      </c>
      <c r="I483" s="1" t="s">
        <v>20</v>
      </c>
      <c r="J483" s="2">
        <v>70.400000000000006</v>
      </c>
      <c r="K483" s="3">
        <v>92</v>
      </c>
      <c r="L483" s="1" t="s">
        <v>21</v>
      </c>
    </row>
    <row r="484" spans="1:12" x14ac:dyDescent="0.35">
      <c r="A484">
        <v>483</v>
      </c>
      <c r="B484" s="1" t="s">
        <v>17</v>
      </c>
      <c r="C484" s="2">
        <v>4.5</v>
      </c>
      <c r="D484" s="3">
        <v>74.099999999999994</v>
      </c>
      <c r="E484" s="2">
        <v>7.4</v>
      </c>
      <c r="F484" s="1" t="s">
        <v>24</v>
      </c>
      <c r="G484" s="1" t="s">
        <v>19</v>
      </c>
      <c r="H484" s="1" t="s">
        <v>20</v>
      </c>
      <c r="I484" s="1" t="s">
        <v>19</v>
      </c>
      <c r="J484" s="2">
        <v>80.5</v>
      </c>
      <c r="K484" s="3">
        <v>87</v>
      </c>
      <c r="L484" s="1" t="s">
        <v>28</v>
      </c>
    </row>
    <row r="485" spans="1:12" x14ac:dyDescent="0.35">
      <c r="A485">
        <v>484</v>
      </c>
      <c r="B485" s="1" t="s">
        <v>23</v>
      </c>
      <c r="C485" s="2">
        <v>6.5</v>
      </c>
      <c r="D485" s="3">
        <v>80.900000000000006</v>
      </c>
      <c r="E485" s="2">
        <v>8.3000000000000007</v>
      </c>
      <c r="F485" s="1" t="s">
        <v>33</v>
      </c>
      <c r="G485" s="1" t="s">
        <v>19</v>
      </c>
      <c r="H485" s="1" t="s">
        <v>19</v>
      </c>
      <c r="I485" s="1" t="s">
        <v>20</v>
      </c>
      <c r="J485" s="2">
        <v>78.8</v>
      </c>
      <c r="K485" s="3">
        <v>100</v>
      </c>
      <c r="L485" s="1" t="s">
        <v>21</v>
      </c>
    </row>
    <row r="486" spans="1:12" x14ac:dyDescent="0.35">
      <c r="A486">
        <v>485</v>
      </c>
      <c r="B486" s="1" t="s">
        <v>17</v>
      </c>
      <c r="C486" s="2">
        <v>3.2</v>
      </c>
      <c r="D486" s="3">
        <v>73.900000000000006</v>
      </c>
      <c r="E486" s="2">
        <v>6</v>
      </c>
      <c r="F486" s="1" t="s">
        <v>24</v>
      </c>
      <c r="G486" s="1" t="s">
        <v>19</v>
      </c>
      <c r="H486" s="1" t="s">
        <v>19</v>
      </c>
      <c r="I486" s="1" t="s">
        <v>20</v>
      </c>
      <c r="J486" s="2">
        <v>66.3</v>
      </c>
      <c r="K486" s="3">
        <v>76</v>
      </c>
      <c r="L486" s="1" t="s">
        <v>32</v>
      </c>
    </row>
    <row r="487" spans="1:12" x14ac:dyDescent="0.35">
      <c r="A487">
        <v>486</v>
      </c>
      <c r="B487" s="1" t="s">
        <v>23</v>
      </c>
      <c r="C487" s="2">
        <v>2.2999999999999998</v>
      </c>
      <c r="D487" s="3">
        <v>82.9</v>
      </c>
      <c r="E487" s="2">
        <v>7.4</v>
      </c>
      <c r="F487" s="1" t="s">
        <v>33</v>
      </c>
      <c r="G487" s="1" t="s">
        <v>19</v>
      </c>
      <c r="H487" s="1" t="s">
        <v>19</v>
      </c>
      <c r="I487" s="1" t="s">
        <v>19</v>
      </c>
      <c r="J487" s="2">
        <v>74.900000000000006</v>
      </c>
      <c r="K487" s="3">
        <v>87</v>
      </c>
      <c r="L487" s="1" t="s">
        <v>28</v>
      </c>
    </row>
    <row r="488" spans="1:12" x14ac:dyDescent="0.35">
      <c r="A488">
        <v>487</v>
      </c>
      <c r="B488" s="1" t="s">
        <v>17</v>
      </c>
      <c r="C488" s="2">
        <v>1.4</v>
      </c>
      <c r="D488" s="3">
        <v>81.900000000000006</v>
      </c>
      <c r="E488" s="2">
        <v>4.3</v>
      </c>
      <c r="F488" s="1" t="s">
        <v>24</v>
      </c>
      <c r="G488" s="1" t="s">
        <v>19</v>
      </c>
      <c r="H488" s="1" t="s">
        <v>20</v>
      </c>
      <c r="I488" s="1" t="s">
        <v>20</v>
      </c>
      <c r="J488" s="2">
        <v>69.599999999999994</v>
      </c>
      <c r="K488" s="3">
        <v>67</v>
      </c>
      <c r="L488" s="1" t="s">
        <v>30</v>
      </c>
    </row>
    <row r="489" spans="1:12" x14ac:dyDescent="0.35">
      <c r="A489">
        <v>488</v>
      </c>
      <c r="B489" s="1" t="s">
        <v>23</v>
      </c>
      <c r="C489" s="2">
        <v>2.4</v>
      </c>
      <c r="D489" s="3">
        <v>92.8</v>
      </c>
      <c r="E489" s="2">
        <v>6.1</v>
      </c>
      <c r="F489" s="1" t="s">
        <v>24</v>
      </c>
      <c r="G489" s="1" t="s">
        <v>19</v>
      </c>
      <c r="H489" s="1" t="s">
        <v>19</v>
      </c>
      <c r="I489" s="1" t="s">
        <v>20</v>
      </c>
      <c r="J489" s="2">
        <v>59.8</v>
      </c>
      <c r="K489" s="3">
        <v>74</v>
      </c>
      <c r="L489" s="1" t="s">
        <v>32</v>
      </c>
    </row>
    <row r="490" spans="1:12" x14ac:dyDescent="0.35">
      <c r="A490">
        <v>489</v>
      </c>
      <c r="B490" s="1" t="s">
        <v>17</v>
      </c>
      <c r="C490" s="2">
        <v>3.5</v>
      </c>
      <c r="D490" s="3">
        <v>98.1</v>
      </c>
      <c r="E490" s="2">
        <v>6.8</v>
      </c>
      <c r="F490" s="1" t="s">
        <v>24</v>
      </c>
      <c r="G490" s="1" t="s">
        <v>19</v>
      </c>
      <c r="H490" s="1" t="s">
        <v>20</v>
      </c>
      <c r="I490" s="1" t="s">
        <v>20</v>
      </c>
      <c r="J490" s="2">
        <v>85.5</v>
      </c>
      <c r="K490" s="3">
        <v>100</v>
      </c>
      <c r="L490" s="1" t="s">
        <v>21</v>
      </c>
    </row>
    <row r="491" spans="1:12" x14ac:dyDescent="0.35">
      <c r="A491">
        <v>490</v>
      </c>
      <c r="B491" s="1" t="s">
        <v>17</v>
      </c>
      <c r="C491" s="2">
        <v>6.2</v>
      </c>
      <c r="D491" s="3">
        <v>99</v>
      </c>
      <c r="E491" s="2">
        <v>5.7</v>
      </c>
      <c r="F491" s="1" t="s">
        <v>24</v>
      </c>
      <c r="G491" s="1" t="s">
        <v>19</v>
      </c>
      <c r="H491" s="1" t="s">
        <v>19</v>
      </c>
      <c r="I491" s="1" t="s">
        <v>20</v>
      </c>
      <c r="J491" s="2">
        <v>70.7</v>
      </c>
      <c r="K491" s="3">
        <v>100</v>
      </c>
      <c r="L491" s="1" t="s">
        <v>21</v>
      </c>
    </row>
    <row r="492" spans="1:12" x14ac:dyDescent="0.35">
      <c r="A492">
        <v>491</v>
      </c>
      <c r="B492" s="1" t="s">
        <v>23</v>
      </c>
      <c r="C492" s="2">
        <v>2.7</v>
      </c>
      <c r="D492" s="3">
        <v>79.400000000000006</v>
      </c>
      <c r="E492" s="2">
        <v>5.7</v>
      </c>
      <c r="F492" s="1" t="s">
        <v>24</v>
      </c>
      <c r="G492" s="1" t="s">
        <v>19</v>
      </c>
      <c r="H492" s="1" t="s">
        <v>19</v>
      </c>
      <c r="I492" s="1" t="s">
        <v>20</v>
      </c>
      <c r="J492" s="2">
        <v>94.6</v>
      </c>
      <c r="K492" s="3">
        <v>74</v>
      </c>
      <c r="L492" s="1" t="s">
        <v>32</v>
      </c>
    </row>
    <row r="493" spans="1:12" x14ac:dyDescent="0.35">
      <c r="A493">
        <v>492</v>
      </c>
      <c r="B493" s="1" t="s">
        <v>17</v>
      </c>
      <c r="C493" s="2">
        <v>3.8</v>
      </c>
      <c r="D493" s="3">
        <v>82.9</v>
      </c>
      <c r="E493" s="2">
        <v>6</v>
      </c>
      <c r="F493" s="1" t="s">
        <v>24</v>
      </c>
      <c r="G493" s="1" t="s">
        <v>19</v>
      </c>
      <c r="H493" s="1" t="s">
        <v>19</v>
      </c>
      <c r="I493" s="1" t="s">
        <v>19</v>
      </c>
      <c r="J493" s="2">
        <v>50.5</v>
      </c>
      <c r="K493" s="3">
        <v>71</v>
      </c>
      <c r="L493" s="1" t="s">
        <v>32</v>
      </c>
    </row>
    <row r="494" spans="1:12" x14ac:dyDescent="0.35">
      <c r="A494">
        <v>493</v>
      </c>
      <c r="B494" s="1" t="s">
        <v>17</v>
      </c>
      <c r="C494" s="2">
        <v>3.5</v>
      </c>
      <c r="D494" s="3">
        <v>68.2</v>
      </c>
      <c r="E494" s="2">
        <v>7.2</v>
      </c>
      <c r="F494" s="1" t="s">
        <v>18</v>
      </c>
      <c r="G494" s="1" t="s">
        <v>19</v>
      </c>
      <c r="H494" s="1" t="s">
        <v>19</v>
      </c>
      <c r="I494" s="1" t="s">
        <v>20</v>
      </c>
      <c r="J494" s="2">
        <v>63.3</v>
      </c>
      <c r="K494" s="3">
        <v>67</v>
      </c>
      <c r="L494" s="1" t="s">
        <v>30</v>
      </c>
    </row>
    <row r="495" spans="1:12" x14ac:dyDescent="0.35">
      <c r="A495">
        <v>494</v>
      </c>
      <c r="B495" s="1" t="s">
        <v>23</v>
      </c>
      <c r="C495" s="2">
        <v>5.3</v>
      </c>
      <c r="D495" s="3">
        <v>76.900000000000006</v>
      </c>
      <c r="E495" s="2">
        <v>6.6</v>
      </c>
      <c r="F495" s="1" t="s">
        <v>24</v>
      </c>
      <c r="G495" s="1" t="s">
        <v>19</v>
      </c>
      <c r="H495" s="1" t="s">
        <v>19</v>
      </c>
      <c r="I495" s="1" t="s">
        <v>19</v>
      </c>
      <c r="J495" s="2">
        <v>70.400000000000006</v>
      </c>
      <c r="K495" s="3">
        <v>82</v>
      </c>
      <c r="L495" s="1" t="s">
        <v>28</v>
      </c>
    </row>
    <row r="496" spans="1:12" x14ac:dyDescent="0.35">
      <c r="A496">
        <v>495</v>
      </c>
      <c r="B496" s="1" t="s">
        <v>17</v>
      </c>
      <c r="C496" s="2">
        <v>7.3</v>
      </c>
      <c r="D496" s="3">
        <v>94.6</v>
      </c>
      <c r="E496" s="2">
        <v>4.0999999999999996</v>
      </c>
      <c r="F496" s="1" t="s">
        <v>18</v>
      </c>
      <c r="G496" s="1" t="s">
        <v>19</v>
      </c>
      <c r="H496" s="1" t="s">
        <v>20</v>
      </c>
      <c r="I496" s="1" t="s">
        <v>20</v>
      </c>
      <c r="J496" s="2">
        <v>83.6</v>
      </c>
      <c r="K496" s="3">
        <v>89</v>
      </c>
      <c r="L496" s="1" t="s">
        <v>28</v>
      </c>
    </row>
    <row r="497" spans="1:12" x14ac:dyDescent="0.35">
      <c r="A497">
        <v>496</v>
      </c>
      <c r="B497" s="1" t="s">
        <v>17</v>
      </c>
      <c r="C497" s="2">
        <v>2.7</v>
      </c>
      <c r="D497" s="3">
        <v>100</v>
      </c>
      <c r="E497" s="2">
        <v>4.3</v>
      </c>
      <c r="F497" s="1" t="s">
        <v>18</v>
      </c>
      <c r="G497" s="1" t="s">
        <v>20</v>
      </c>
      <c r="H497" s="1" t="s">
        <v>20</v>
      </c>
      <c r="I497" s="1" t="s">
        <v>20</v>
      </c>
      <c r="J497" s="2">
        <v>74.8</v>
      </c>
      <c r="K497" s="3">
        <v>79</v>
      </c>
      <c r="L497" s="1" t="s">
        <v>32</v>
      </c>
    </row>
    <row r="498" spans="1:12" x14ac:dyDescent="0.35">
      <c r="A498">
        <v>497</v>
      </c>
      <c r="B498" s="1" t="s">
        <v>17</v>
      </c>
      <c r="C498" s="2">
        <v>2.8</v>
      </c>
      <c r="D498" s="3">
        <v>72.7</v>
      </c>
      <c r="E498" s="2">
        <v>6.1</v>
      </c>
      <c r="F498" s="1" t="s">
        <v>34</v>
      </c>
      <c r="G498" s="1" t="s">
        <v>19</v>
      </c>
      <c r="H498" s="1" t="s">
        <v>20</v>
      </c>
      <c r="I498" s="1" t="s">
        <v>20</v>
      </c>
      <c r="J498" s="2">
        <v>73.7</v>
      </c>
      <c r="K498" s="3">
        <v>71</v>
      </c>
      <c r="L498" s="1" t="s">
        <v>32</v>
      </c>
    </row>
    <row r="499" spans="1:12" x14ac:dyDescent="0.35">
      <c r="A499">
        <v>498</v>
      </c>
      <c r="B499" s="1" t="s">
        <v>23</v>
      </c>
      <c r="C499" s="2">
        <v>5.0999999999999996</v>
      </c>
      <c r="D499" s="3">
        <v>79.099999999999994</v>
      </c>
      <c r="E499" s="2">
        <v>7.3</v>
      </c>
      <c r="F499" s="1" t="s">
        <v>27</v>
      </c>
      <c r="G499" s="1" t="s">
        <v>19</v>
      </c>
      <c r="H499" s="1" t="s">
        <v>20</v>
      </c>
      <c r="I499" s="1" t="s">
        <v>20</v>
      </c>
      <c r="J499" s="2">
        <v>56.5</v>
      </c>
      <c r="K499" s="3">
        <v>85</v>
      </c>
      <c r="L499" s="1" t="s">
        <v>28</v>
      </c>
    </row>
    <row r="500" spans="1:12" x14ac:dyDescent="0.35">
      <c r="A500">
        <v>499</v>
      </c>
      <c r="B500" s="1" t="s">
        <v>17</v>
      </c>
      <c r="C500" s="2">
        <v>4.5</v>
      </c>
      <c r="D500" s="3">
        <v>84.7</v>
      </c>
      <c r="E500" s="2">
        <v>3.5</v>
      </c>
      <c r="F500" s="1" t="s">
        <v>18</v>
      </c>
      <c r="G500" s="1" t="s">
        <v>20</v>
      </c>
      <c r="H500" s="1" t="s">
        <v>20</v>
      </c>
      <c r="I500" s="1" t="s">
        <v>19</v>
      </c>
      <c r="J500" s="2">
        <v>56.1</v>
      </c>
      <c r="K500" s="3">
        <v>62</v>
      </c>
      <c r="L500" s="1" t="s">
        <v>30</v>
      </c>
    </row>
    <row r="501" spans="1:12" x14ac:dyDescent="0.35">
      <c r="A501">
        <v>500</v>
      </c>
      <c r="B501" s="1" t="s">
        <v>23</v>
      </c>
      <c r="C501" s="2">
        <v>6.3</v>
      </c>
      <c r="D501" s="3">
        <v>87.8</v>
      </c>
      <c r="E501" s="2">
        <v>6.2</v>
      </c>
      <c r="F501" s="1" t="s">
        <v>24</v>
      </c>
      <c r="G501" s="1" t="s">
        <v>19</v>
      </c>
      <c r="H501" s="1" t="s">
        <v>20</v>
      </c>
      <c r="I501" s="1" t="s">
        <v>20</v>
      </c>
      <c r="J501" s="2">
        <v>73.900000000000006</v>
      </c>
      <c r="K501" s="3">
        <v>100</v>
      </c>
      <c r="L501" s="1" t="s">
        <v>21</v>
      </c>
    </row>
    <row r="502" spans="1:12" x14ac:dyDescent="0.35">
      <c r="A502">
        <v>501</v>
      </c>
      <c r="B502" s="1" t="s">
        <v>17</v>
      </c>
      <c r="C502" s="2">
        <v>4.4000000000000004</v>
      </c>
      <c r="D502" s="3">
        <v>76.900000000000006</v>
      </c>
      <c r="E502" s="2">
        <v>6.2</v>
      </c>
      <c r="F502" s="1" t="s">
        <v>24</v>
      </c>
      <c r="G502" s="1" t="s">
        <v>19</v>
      </c>
      <c r="H502" s="1" t="s">
        <v>20</v>
      </c>
      <c r="I502" s="1" t="s">
        <v>20</v>
      </c>
      <c r="J502" s="2">
        <v>53.6</v>
      </c>
      <c r="K502" s="3">
        <v>76</v>
      </c>
      <c r="L502" s="1" t="s">
        <v>32</v>
      </c>
    </row>
    <row r="503" spans="1:12" x14ac:dyDescent="0.35">
      <c r="A503">
        <v>502</v>
      </c>
      <c r="B503" s="1" t="s">
        <v>17</v>
      </c>
      <c r="C503" s="2">
        <v>3</v>
      </c>
      <c r="D503" s="3">
        <v>89.2</v>
      </c>
      <c r="E503" s="2">
        <v>8.5</v>
      </c>
      <c r="F503" s="1" t="s">
        <v>27</v>
      </c>
      <c r="G503" s="1" t="s">
        <v>19</v>
      </c>
      <c r="H503" s="1" t="s">
        <v>19</v>
      </c>
      <c r="I503" s="1" t="s">
        <v>19</v>
      </c>
      <c r="J503" s="2">
        <v>63.6</v>
      </c>
      <c r="K503" s="3">
        <v>90</v>
      </c>
      <c r="L503" s="1" t="s">
        <v>21</v>
      </c>
    </row>
    <row r="504" spans="1:12" x14ac:dyDescent="0.35">
      <c r="A504">
        <v>503</v>
      </c>
      <c r="B504" s="1" t="s">
        <v>17</v>
      </c>
      <c r="C504" s="2">
        <v>4.4000000000000004</v>
      </c>
      <c r="D504" s="3">
        <v>80.3</v>
      </c>
      <c r="E504" s="2">
        <v>6.3</v>
      </c>
      <c r="F504" s="1" t="s">
        <v>24</v>
      </c>
      <c r="G504" s="1" t="s">
        <v>20</v>
      </c>
      <c r="H504" s="1" t="s">
        <v>19</v>
      </c>
      <c r="I504" s="1" t="s">
        <v>20</v>
      </c>
      <c r="J504" s="2">
        <v>76</v>
      </c>
      <c r="K504" s="3">
        <v>93</v>
      </c>
      <c r="L504" s="1" t="s">
        <v>21</v>
      </c>
    </row>
    <row r="505" spans="1:12" x14ac:dyDescent="0.35">
      <c r="A505">
        <v>504</v>
      </c>
      <c r="B505" s="1" t="s">
        <v>23</v>
      </c>
      <c r="C505" s="2">
        <v>5.2</v>
      </c>
      <c r="D505" s="3">
        <v>84.9</v>
      </c>
      <c r="E505" s="2">
        <v>7.3</v>
      </c>
      <c r="F505" s="1" t="s">
        <v>24</v>
      </c>
      <c r="G505" s="1" t="s">
        <v>20</v>
      </c>
      <c r="H505" s="1" t="s">
        <v>19</v>
      </c>
      <c r="I505" s="1" t="s">
        <v>20</v>
      </c>
      <c r="J505" s="2">
        <v>58.2</v>
      </c>
      <c r="K505" s="3">
        <v>89</v>
      </c>
      <c r="L505" s="1" t="s">
        <v>28</v>
      </c>
    </row>
    <row r="506" spans="1:12" x14ac:dyDescent="0.35">
      <c r="A506">
        <v>505</v>
      </c>
      <c r="B506" s="1" t="s">
        <v>17</v>
      </c>
      <c r="C506" s="2">
        <v>4.7</v>
      </c>
      <c r="D506" s="3">
        <v>90.5</v>
      </c>
      <c r="E506" s="2">
        <v>7</v>
      </c>
      <c r="F506" s="1" t="s">
        <v>24</v>
      </c>
      <c r="G506" s="1" t="s">
        <v>19</v>
      </c>
      <c r="H506" s="1" t="s">
        <v>19</v>
      </c>
      <c r="I506" s="1" t="s">
        <v>20</v>
      </c>
      <c r="J506" s="2">
        <v>89.3</v>
      </c>
      <c r="K506" s="3">
        <v>99</v>
      </c>
      <c r="L506" s="1" t="s">
        <v>21</v>
      </c>
    </row>
    <row r="507" spans="1:12" x14ac:dyDescent="0.35">
      <c r="A507">
        <v>506</v>
      </c>
      <c r="B507" s="1" t="s">
        <v>17</v>
      </c>
      <c r="C507" s="2">
        <v>4.3</v>
      </c>
      <c r="D507" s="3">
        <v>85.1</v>
      </c>
      <c r="E507" s="2">
        <v>4.2</v>
      </c>
      <c r="F507" s="1" t="s">
        <v>24</v>
      </c>
      <c r="G507" s="1" t="s">
        <v>19</v>
      </c>
      <c r="H507" s="1" t="s">
        <v>19</v>
      </c>
      <c r="I507" s="1" t="s">
        <v>19</v>
      </c>
      <c r="J507" s="2">
        <v>84.7</v>
      </c>
      <c r="K507" s="3">
        <v>100</v>
      </c>
      <c r="L507" s="1" t="s">
        <v>21</v>
      </c>
    </row>
    <row r="508" spans="1:12" x14ac:dyDescent="0.35">
      <c r="A508">
        <v>507</v>
      </c>
      <c r="B508" s="1" t="s">
        <v>23</v>
      </c>
      <c r="C508" s="2">
        <v>5.0999999999999996</v>
      </c>
      <c r="D508" s="3">
        <v>80.599999999999994</v>
      </c>
      <c r="E508" s="2">
        <v>7.7</v>
      </c>
      <c r="F508" s="1" t="s">
        <v>24</v>
      </c>
      <c r="G508" s="1" t="s">
        <v>19</v>
      </c>
      <c r="H508" s="1" t="s">
        <v>20</v>
      </c>
      <c r="I508" s="1" t="s">
        <v>20</v>
      </c>
      <c r="J508" s="2">
        <v>51.1</v>
      </c>
      <c r="K508" s="3">
        <v>75</v>
      </c>
      <c r="L508" s="1" t="s">
        <v>32</v>
      </c>
    </row>
    <row r="509" spans="1:12" x14ac:dyDescent="0.35">
      <c r="A509">
        <v>508</v>
      </c>
      <c r="B509" s="1" t="s">
        <v>17</v>
      </c>
      <c r="C509" s="2">
        <v>5.3</v>
      </c>
      <c r="D509" s="3">
        <v>83.9</v>
      </c>
      <c r="E509" s="2">
        <v>7.1</v>
      </c>
      <c r="F509" s="1" t="s">
        <v>33</v>
      </c>
      <c r="G509" s="1" t="s">
        <v>20</v>
      </c>
      <c r="H509" s="1" t="s">
        <v>19</v>
      </c>
      <c r="I509" s="1" t="s">
        <v>19</v>
      </c>
      <c r="J509" s="2">
        <v>58.8</v>
      </c>
      <c r="K509" s="3">
        <v>73</v>
      </c>
      <c r="L509" s="1" t="s">
        <v>32</v>
      </c>
    </row>
    <row r="510" spans="1:12" x14ac:dyDescent="0.35">
      <c r="A510">
        <v>509</v>
      </c>
      <c r="B510" s="1" t="s">
        <v>23</v>
      </c>
      <c r="C510" s="2">
        <v>5.6</v>
      </c>
      <c r="D510" s="3">
        <v>84.1</v>
      </c>
      <c r="E510" s="2">
        <v>7.4</v>
      </c>
      <c r="F510" s="1" t="s">
        <v>24</v>
      </c>
      <c r="G510" s="1" t="s">
        <v>20</v>
      </c>
      <c r="H510" s="1" t="s">
        <v>19</v>
      </c>
      <c r="I510" s="1" t="s">
        <v>19</v>
      </c>
      <c r="J510" s="2">
        <v>42.6</v>
      </c>
      <c r="K510" s="3">
        <v>76</v>
      </c>
      <c r="L510" s="1" t="s">
        <v>32</v>
      </c>
    </row>
    <row r="511" spans="1:12" x14ac:dyDescent="0.35">
      <c r="A511">
        <v>510</v>
      </c>
      <c r="B511" s="1" t="s">
        <v>23</v>
      </c>
      <c r="C511" s="2">
        <v>4.5</v>
      </c>
      <c r="D511" s="3">
        <v>81.3</v>
      </c>
      <c r="E511" s="2">
        <v>10</v>
      </c>
      <c r="F511" s="1" t="s">
        <v>18</v>
      </c>
      <c r="G511" s="1" t="s">
        <v>19</v>
      </c>
      <c r="H511" s="1" t="s">
        <v>19</v>
      </c>
      <c r="I511" s="1" t="s">
        <v>19</v>
      </c>
      <c r="J511" s="2">
        <v>60.6</v>
      </c>
      <c r="K511" s="3">
        <v>100</v>
      </c>
      <c r="L511" s="1" t="s">
        <v>21</v>
      </c>
    </row>
    <row r="512" spans="1:12" x14ac:dyDescent="0.35">
      <c r="A512">
        <v>511</v>
      </c>
      <c r="B512" s="1" t="s">
        <v>17</v>
      </c>
      <c r="C512" s="2">
        <v>3.2</v>
      </c>
      <c r="D512" s="3">
        <v>82.4</v>
      </c>
      <c r="E512" s="2">
        <v>4.3</v>
      </c>
      <c r="F512" s="1" t="s">
        <v>24</v>
      </c>
      <c r="G512" s="1" t="s">
        <v>19</v>
      </c>
      <c r="H512" s="1" t="s">
        <v>19</v>
      </c>
      <c r="I512" s="1" t="s">
        <v>19</v>
      </c>
      <c r="J512" s="2">
        <v>79.2</v>
      </c>
      <c r="K512" s="3">
        <v>80</v>
      </c>
      <c r="L512" s="1" t="s">
        <v>32</v>
      </c>
    </row>
    <row r="513" spans="1:12" x14ac:dyDescent="0.35">
      <c r="A513">
        <v>512</v>
      </c>
      <c r="B513" s="1" t="s">
        <v>23</v>
      </c>
      <c r="C513" s="2">
        <v>3.7</v>
      </c>
      <c r="D513" s="3">
        <v>100</v>
      </c>
      <c r="E513" s="2">
        <v>8.9</v>
      </c>
      <c r="F513" s="1" t="s">
        <v>24</v>
      </c>
      <c r="G513" s="1" t="s">
        <v>19</v>
      </c>
      <c r="H513" s="1" t="s">
        <v>19</v>
      </c>
      <c r="I513" s="1" t="s">
        <v>19</v>
      </c>
      <c r="J513" s="2">
        <v>65</v>
      </c>
      <c r="K513" s="3">
        <v>88</v>
      </c>
      <c r="L513" s="1" t="s">
        <v>28</v>
      </c>
    </row>
    <row r="514" spans="1:12" x14ac:dyDescent="0.35">
      <c r="A514">
        <v>513</v>
      </c>
      <c r="B514" s="1" t="s">
        <v>17</v>
      </c>
      <c r="C514" s="2">
        <v>5.3</v>
      </c>
      <c r="D514" s="3">
        <v>90.6</v>
      </c>
      <c r="E514" s="2">
        <v>6.5</v>
      </c>
      <c r="F514" s="1" t="s">
        <v>27</v>
      </c>
      <c r="G514" s="1" t="s">
        <v>19</v>
      </c>
      <c r="H514" s="1" t="s">
        <v>19</v>
      </c>
      <c r="I514" s="1" t="s">
        <v>20</v>
      </c>
      <c r="J514" s="2">
        <v>75.5</v>
      </c>
      <c r="K514" s="3">
        <v>89</v>
      </c>
      <c r="L514" s="1" t="s">
        <v>28</v>
      </c>
    </row>
    <row r="515" spans="1:12" x14ac:dyDescent="0.35">
      <c r="A515">
        <v>514</v>
      </c>
      <c r="B515" s="1" t="s">
        <v>23</v>
      </c>
      <c r="C515" s="2">
        <v>2.2999999999999998</v>
      </c>
      <c r="D515" s="3">
        <v>82</v>
      </c>
      <c r="E515" s="2">
        <v>7.1</v>
      </c>
      <c r="F515" s="1" t="s">
        <v>24</v>
      </c>
      <c r="G515" s="1" t="s">
        <v>19</v>
      </c>
      <c r="H515" s="1" t="s">
        <v>19</v>
      </c>
      <c r="I515" s="1" t="s">
        <v>20</v>
      </c>
      <c r="J515" s="2">
        <v>51.7</v>
      </c>
      <c r="K515" s="3">
        <v>78</v>
      </c>
      <c r="L515" s="1" t="s">
        <v>32</v>
      </c>
    </row>
    <row r="516" spans="1:12" x14ac:dyDescent="0.35">
      <c r="A516">
        <v>515</v>
      </c>
      <c r="B516" s="1" t="s">
        <v>23</v>
      </c>
      <c r="C516" s="2">
        <v>4.0999999999999996</v>
      </c>
      <c r="D516" s="3">
        <v>92</v>
      </c>
      <c r="E516" s="2">
        <v>6.7</v>
      </c>
      <c r="F516" s="1" t="s">
        <v>33</v>
      </c>
      <c r="G516" s="1" t="s">
        <v>19</v>
      </c>
      <c r="H516" s="1" t="s">
        <v>19</v>
      </c>
      <c r="I516" s="1" t="s">
        <v>19</v>
      </c>
      <c r="J516" s="2">
        <v>79.599999999999994</v>
      </c>
      <c r="K516" s="3">
        <v>97</v>
      </c>
      <c r="L516" s="1" t="s">
        <v>21</v>
      </c>
    </row>
    <row r="517" spans="1:12" x14ac:dyDescent="0.35">
      <c r="A517">
        <v>516</v>
      </c>
      <c r="B517" s="1" t="s">
        <v>17</v>
      </c>
      <c r="C517" s="2">
        <v>2.9</v>
      </c>
      <c r="D517" s="3">
        <v>81.7</v>
      </c>
      <c r="E517" s="2">
        <v>6.3</v>
      </c>
      <c r="F517" s="1" t="s">
        <v>18</v>
      </c>
      <c r="G517" s="1" t="s">
        <v>19</v>
      </c>
      <c r="H517" s="1" t="s">
        <v>20</v>
      </c>
      <c r="I517" s="1" t="s">
        <v>19</v>
      </c>
      <c r="J517" s="2">
        <v>63.3</v>
      </c>
      <c r="K517" s="3">
        <v>79</v>
      </c>
      <c r="L517" s="1" t="s">
        <v>32</v>
      </c>
    </row>
    <row r="518" spans="1:12" x14ac:dyDescent="0.35">
      <c r="A518">
        <v>517</v>
      </c>
      <c r="B518" s="1" t="s">
        <v>23</v>
      </c>
      <c r="C518" s="2">
        <v>3.5</v>
      </c>
      <c r="D518" s="3">
        <v>96.7</v>
      </c>
      <c r="E518" s="2">
        <v>6.1</v>
      </c>
      <c r="F518" s="1" t="s">
        <v>24</v>
      </c>
      <c r="G518" s="1" t="s">
        <v>19</v>
      </c>
      <c r="H518" s="1" t="s">
        <v>20</v>
      </c>
      <c r="I518" s="1" t="s">
        <v>20</v>
      </c>
      <c r="J518" s="2">
        <v>70.099999999999994</v>
      </c>
      <c r="K518" s="3">
        <v>84</v>
      </c>
      <c r="L518" s="1" t="s">
        <v>28</v>
      </c>
    </row>
    <row r="519" spans="1:12" x14ac:dyDescent="0.35">
      <c r="A519">
        <v>518</v>
      </c>
      <c r="B519" s="1" t="s">
        <v>23</v>
      </c>
      <c r="C519" s="2">
        <v>5.4</v>
      </c>
      <c r="D519" s="3">
        <v>88.7</v>
      </c>
      <c r="E519" s="2">
        <v>7.2</v>
      </c>
      <c r="F519" s="1" t="s">
        <v>27</v>
      </c>
      <c r="G519" s="1" t="s">
        <v>20</v>
      </c>
      <c r="H519" s="1" t="s">
        <v>19</v>
      </c>
      <c r="I519" s="1" t="s">
        <v>20</v>
      </c>
      <c r="J519" s="2">
        <v>68.900000000000006</v>
      </c>
      <c r="K519" s="3">
        <v>86</v>
      </c>
      <c r="L519" s="1" t="s">
        <v>28</v>
      </c>
    </row>
    <row r="520" spans="1:12" x14ac:dyDescent="0.35">
      <c r="A520">
        <v>519</v>
      </c>
      <c r="B520" s="1" t="s">
        <v>23</v>
      </c>
      <c r="C520" s="2">
        <v>3.8</v>
      </c>
      <c r="D520" s="3">
        <v>83.9</v>
      </c>
      <c r="E520" s="2">
        <v>5</v>
      </c>
      <c r="F520" s="1" t="s">
        <v>24</v>
      </c>
      <c r="G520" s="1" t="s">
        <v>19</v>
      </c>
      <c r="H520" s="1" t="s">
        <v>19</v>
      </c>
      <c r="I520" s="1" t="s">
        <v>19</v>
      </c>
      <c r="J520" s="2">
        <v>54.7</v>
      </c>
      <c r="K520" s="3">
        <v>68</v>
      </c>
      <c r="L520" s="1" t="s">
        <v>30</v>
      </c>
    </row>
    <row r="521" spans="1:12" x14ac:dyDescent="0.35">
      <c r="A521">
        <v>520</v>
      </c>
      <c r="B521" s="1" t="s">
        <v>23</v>
      </c>
      <c r="C521" s="2">
        <v>3.6</v>
      </c>
      <c r="D521" s="3">
        <v>89.5</v>
      </c>
      <c r="E521" s="2">
        <v>7.7</v>
      </c>
      <c r="F521" s="1" t="s">
        <v>34</v>
      </c>
      <c r="G521" s="1" t="s">
        <v>19</v>
      </c>
      <c r="H521" s="1" t="s">
        <v>19</v>
      </c>
      <c r="I521" s="1" t="s">
        <v>19</v>
      </c>
      <c r="J521" s="2">
        <v>56.2</v>
      </c>
      <c r="K521" s="3">
        <v>81</v>
      </c>
      <c r="L521" s="1" t="s">
        <v>28</v>
      </c>
    </row>
    <row r="522" spans="1:12" x14ac:dyDescent="0.35">
      <c r="A522">
        <v>521</v>
      </c>
      <c r="B522" s="1" t="s">
        <v>23</v>
      </c>
      <c r="C522" s="2">
        <v>1.5</v>
      </c>
      <c r="D522" s="3">
        <v>69.3</v>
      </c>
      <c r="E522" s="2">
        <v>6.3</v>
      </c>
      <c r="F522" s="1" t="s">
        <v>24</v>
      </c>
      <c r="G522" s="1" t="s">
        <v>19</v>
      </c>
      <c r="H522" s="1" t="s">
        <v>20</v>
      </c>
      <c r="I522" s="1" t="s">
        <v>19</v>
      </c>
      <c r="J522" s="2">
        <v>81.599999999999994</v>
      </c>
      <c r="K522" s="3">
        <v>65</v>
      </c>
      <c r="L522" s="1" t="s">
        <v>30</v>
      </c>
    </row>
    <row r="523" spans="1:12" x14ac:dyDescent="0.35">
      <c r="A523">
        <v>522</v>
      </c>
      <c r="B523" s="1" t="s">
        <v>17</v>
      </c>
      <c r="C523" s="2">
        <v>4.5999999999999996</v>
      </c>
      <c r="D523" s="3">
        <v>73.7</v>
      </c>
      <c r="E523" s="2">
        <v>5.4</v>
      </c>
      <c r="F523" s="1" t="s">
        <v>34</v>
      </c>
      <c r="G523" s="1" t="s">
        <v>20</v>
      </c>
      <c r="H523" s="1" t="s">
        <v>19</v>
      </c>
      <c r="I523" s="1" t="s">
        <v>19</v>
      </c>
      <c r="J523" s="2">
        <v>74.8</v>
      </c>
      <c r="K523" s="3">
        <v>72</v>
      </c>
      <c r="L523" s="1" t="s">
        <v>32</v>
      </c>
    </row>
    <row r="524" spans="1:12" x14ac:dyDescent="0.35">
      <c r="A524">
        <v>523</v>
      </c>
      <c r="B524" s="1" t="s">
        <v>23</v>
      </c>
      <c r="C524" s="2">
        <v>4.5</v>
      </c>
      <c r="D524" s="3">
        <v>73.099999999999994</v>
      </c>
      <c r="E524" s="2">
        <v>6.3</v>
      </c>
      <c r="F524" s="1" t="s">
        <v>24</v>
      </c>
      <c r="G524" s="1" t="s">
        <v>19</v>
      </c>
      <c r="H524" s="1" t="s">
        <v>19</v>
      </c>
      <c r="I524" s="1" t="s">
        <v>19</v>
      </c>
      <c r="J524" s="2">
        <v>82.6</v>
      </c>
      <c r="K524" s="3">
        <v>85</v>
      </c>
      <c r="L524" s="1" t="s">
        <v>28</v>
      </c>
    </row>
    <row r="525" spans="1:12" x14ac:dyDescent="0.35">
      <c r="A525">
        <v>524</v>
      </c>
      <c r="B525" s="1" t="s">
        <v>17</v>
      </c>
      <c r="C525" s="2">
        <v>6.7</v>
      </c>
      <c r="D525" s="3">
        <v>86.4</v>
      </c>
      <c r="E525" s="2">
        <v>8.3000000000000007</v>
      </c>
      <c r="F525" s="1" t="s">
        <v>18</v>
      </c>
      <c r="G525" s="1" t="s">
        <v>19</v>
      </c>
      <c r="H525" s="1" t="s">
        <v>20</v>
      </c>
      <c r="I525" s="1" t="s">
        <v>20</v>
      </c>
      <c r="J525" s="2">
        <v>73.900000000000006</v>
      </c>
      <c r="K525" s="3">
        <v>100</v>
      </c>
      <c r="L525" s="1" t="s">
        <v>21</v>
      </c>
    </row>
    <row r="526" spans="1:12" x14ac:dyDescent="0.35">
      <c r="A526">
        <v>525</v>
      </c>
      <c r="B526" s="1" t="s">
        <v>23</v>
      </c>
      <c r="C526" s="2">
        <v>3</v>
      </c>
      <c r="D526" s="3">
        <v>100</v>
      </c>
      <c r="E526" s="2">
        <v>6.2</v>
      </c>
      <c r="F526" s="1" t="s">
        <v>33</v>
      </c>
      <c r="G526" s="1" t="s">
        <v>19</v>
      </c>
      <c r="H526" s="1" t="s">
        <v>19</v>
      </c>
      <c r="I526" s="1" t="s">
        <v>19</v>
      </c>
      <c r="J526" s="2">
        <v>71.7</v>
      </c>
      <c r="K526" s="3">
        <v>82</v>
      </c>
      <c r="L526" s="1" t="s">
        <v>28</v>
      </c>
    </row>
    <row r="527" spans="1:12" x14ac:dyDescent="0.35">
      <c r="A527">
        <v>526</v>
      </c>
      <c r="B527" s="1" t="s">
        <v>17</v>
      </c>
      <c r="C527" s="2">
        <v>3.8</v>
      </c>
      <c r="D527" s="3">
        <v>100</v>
      </c>
      <c r="E527" s="2">
        <v>7.2</v>
      </c>
      <c r="F527" s="1" t="s">
        <v>27</v>
      </c>
      <c r="G527" s="1" t="s">
        <v>19</v>
      </c>
      <c r="H527" s="1" t="s">
        <v>19</v>
      </c>
      <c r="I527" s="1" t="s">
        <v>20</v>
      </c>
      <c r="J527" s="2">
        <v>49.3</v>
      </c>
      <c r="K527" s="3">
        <v>87</v>
      </c>
      <c r="L527" s="1" t="s">
        <v>28</v>
      </c>
    </row>
    <row r="528" spans="1:12" x14ac:dyDescent="0.35">
      <c r="A528">
        <v>527</v>
      </c>
      <c r="B528" s="1" t="s">
        <v>17</v>
      </c>
      <c r="C528" s="2">
        <v>3.9</v>
      </c>
      <c r="D528" s="3">
        <v>91.4</v>
      </c>
      <c r="E528" s="2">
        <v>5.9</v>
      </c>
      <c r="F528" s="1" t="s">
        <v>27</v>
      </c>
      <c r="G528" s="1" t="s">
        <v>19</v>
      </c>
      <c r="H528" s="1" t="s">
        <v>19</v>
      </c>
      <c r="I528" s="1" t="s">
        <v>19</v>
      </c>
      <c r="J528" s="2">
        <v>66.8</v>
      </c>
      <c r="K528" s="3">
        <v>85</v>
      </c>
      <c r="L528" s="1" t="s">
        <v>28</v>
      </c>
    </row>
    <row r="529" spans="1:12" x14ac:dyDescent="0.35">
      <c r="A529">
        <v>528</v>
      </c>
      <c r="B529" s="1" t="s">
        <v>23</v>
      </c>
      <c r="C529" s="2">
        <v>5.9</v>
      </c>
      <c r="D529" s="3">
        <v>90</v>
      </c>
      <c r="E529" s="2">
        <v>7.7</v>
      </c>
      <c r="F529" s="1" t="s">
        <v>33</v>
      </c>
      <c r="G529" s="1" t="s">
        <v>19</v>
      </c>
      <c r="H529" s="1" t="s">
        <v>20</v>
      </c>
      <c r="I529" s="1" t="s">
        <v>20</v>
      </c>
      <c r="J529" s="2">
        <v>69.7</v>
      </c>
      <c r="K529" s="3">
        <v>96</v>
      </c>
      <c r="L529" s="1" t="s">
        <v>21</v>
      </c>
    </row>
    <row r="530" spans="1:12" x14ac:dyDescent="0.35">
      <c r="A530">
        <v>529</v>
      </c>
      <c r="B530" s="1" t="s">
        <v>23</v>
      </c>
      <c r="C530" s="2">
        <v>3.4</v>
      </c>
      <c r="D530" s="3">
        <v>67</v>
      </c>
      <c r="E530" s="2">
        <v>7.6</v>
      </c>
      <c r="F530" s="1" t="s">
        <v>34</v>
      </c>
      <c r="G530" s="1" t="s">
        <v>20</v>
      </c>
      <c r="H530" s="1" t="s">
        <v>20</v>
      </c>
      <c r="I530" s="1" t="s">
        <v>20</v>
      </c>
      <c r="J530" s="2">
        <v>93.4</v>
      </c>
      <c r="K530" s="3">
        <v>84</v>
      </c>
      <c r="L530" s="1" t="s">
        <v>28</v>
      </c>
    </row>
    <row r="531" spans="1:12" x14ac:dyDescent="0.35">
      <c r="A531">
        <v>530</v>
      </c>
      <c r="B531" s="1" t="s">
        <v>23</v>
      </c>
      <c r="C531" s="2">
        <v>3.9</v>
      </c>
      <c r="D531" s="3">
        <v>79.599999999999994</v>
      </c>
      <c r="E531" s="2">
        <v>9</v>
      </c>
      <c r="F531" s="1" t="s">
        <v>24</v>
      </c>
      <c r="G531" s="1" t="s">
        <v>19</v>
      </c>
      <c r="H531" s="1" t="s">
        <v>20</v>
      </c>
      <c r="I531" s="1" t="s">
        <v>20</v>
      </c>
      <c r="J531" s="2">
        <v>78.2</v>
      </c>
      <c r="K531" s="3">
        <v>85</v>
      </c>
      <c r="L531" s="1" t="s">
        <v>28</v>
      </c>
    </row>
    <row r="532" spans="1:12" x14ac:dyDescent="0.35">
      <c r="A532">
        <v>531</v>
      </c>
      <c r="B532" s="1" t="s">
        <v>17</v>
      </c>
      <c r="C532" s="2">
        <v>4.4000000000000004</v>
      </c>
      <c r="D532" s="3">
        <v>77.099999999999994</v>
      </c>
      <c r="E532" s="2">
        <v>6.6</v>
      </c>
      <c r="F532" s="1" t="s">
        <v>24</v>
      </c>
      <c r="G532" s="1" t="s">
        <v>19</v>
      </c>
      <c r="H532" s="1" t="s">
        <v>19</v>
      </c>
      <c r="I532" s="1" t="s">
        <v>20</v>
      </c>
      <c r="J532" s="2">
        <v>88.4</v>
      </c>
      <c r="K532" s="3">
        <v>95</v>
      </c>
      <c r="L532" s="1" t="s">
        <v>21</v>
      </c>
    </row>
    <row r="533" spans="1:12" x14ac:dyDescent="0.35">
      <c r="A533">
        <v>532</v>
      </c>
      <c r="B533" s="1" t="s">
        <v>23</v>
      </c>
      <c r="C533" s="2">
        <v>3.8</v>
      </c>
      <c r="D533" s="3">
        <v>78.8</v>
      </c>
      <c r="E533" s="2">
        <v>7.6</v>
      </c>
      <c r="F533" s="1" t="s">
        <v>24</v>
      </c>
      <c r="G533" s="1" t="s">
        <v>19</v>
      </c>
      <c r="H533" s="1" t="s">
        <v>19</v>
      </c>
      <c r="I533" s="1" t="s">
        <v>20</v>
      </c>
      <c r="J533" s="2">
        <v>77.2</v>
      </c>
      <c r="K533" s="3">
        <v>90</v>
      </c>
      <c r="L533" s="1" t="s">
        <v>28</v>
      </c>
    </row>
    <row r="534" spans="1:12" x14ac:dyDescent="0.35">
      <c r="A534">
        <v>533</v>
      </c>
      <c r="B534" s="1" t="s">
        <v>17</v>
      </c>
      <c r="C534" s="2">
        <v>2.8</v>
      </c>
      <c r="D534" s="3">
        <v>83.3</v>
      </c>
      <c r="E534" s="2">
        <v>6.9</v>
      </c>
      <c r="F534" s="1" t="s">
        <v>18</v>
      </c>
      <c r="G534" s="1" t="s">
        <v>19</v>
      </c>
      <c r="H534" s="1" t="s">
        <v>20</v>
      </c>
      <c r="I534" s="1" t="s">
        <v>20</v>
      </c>
      <c r="J534" s="2">
        <v>61.5</v>
      </c>
      <c r="K534" s="3">
        <v>69</v>
      </c>
      <c r="L534" s="1" t="s">
        <v>30</v>
      </c>
    </row>
    <row r="535" spans="1:12" x14ac:dyDescent="0.35">
      <c r="A535">
        <v>534</v>
      </c>
      <c r="B535" s="1" t="s">
        <v>17</v>
      </c>
      <c r="C535" s="2">
        <v>3.8</v>
      </c>
      <c r="D535" s="3">
        <v>80.3</v>
      </c>
      <c r="E535" s="2">
        <v>8.4</v>
      </c>
      <c r="F535" s="1" t="s">
        <v>18</v>
      </c>
      <c r="G535" s="1" t="s">
        <v>19</v>
      </c>
      <c r="H535" s="1" t="s">
        <v>20</v>
      </c>
      <c r="I535" s="1" t="s">
        <v>20</v>
      </c>
      <c r="J535" s="2">
        <v>71.400000000000006</v>
      </c>
      <c r="K535" s="3">
        <v>93</v>
      </c>
      <c r="L535" s="1" t="s">
        <v>21</v>
      </c>
    </row>
    <row r="536" spans="1:12" x14ac:dyDescent="0.35">
      <c r="A536">
        <v>535</v>
      </c>
      <c r="B536" s="1" t="s">
        <v>17</v>
      </c>
      <c r="C536" s="2">
        <v>5.0999999999999996</v>
      </c>
      <c r="D536" s="3">
        <v>65.2</v>
      </c>
      <c r="E536" s="2">
        <v>5.9</v>
      </c>
      <c r="F536" s="1" t="s">
        <v>18</v>
      </c>
      <c r="G536" s="1" t="s">
        <v>19</v>
      </c>
      <c r="H536" s="1" t="s">
        <v>19</v>
      </c>
      <c r="I536" s="1" t="s">
        <v>20</v>
      </c>
      <c r="J536" s="2">
        <v>72.8</v>
      </c>
      <c r="K536" s="3">
        <v>81</v>
      </c>
      <c r="L536" s="1" t="s">
        <v>28</v>
      </c>
    </row>
    <row r="537" spans="1:12" x14ac:dyDescent="0.35">
      <c r="A537">
        <v>536</v>
      </c>
      <c r="B537" s="1" t="s">
        <v>23</v>
      </c>
      <c r="C537" s="2">
        <v>2</v>
      </c>
      <c r="D537" s="3">
        <v>92.5</v>
      </c>
      <c r="E537" s="2">
        <v>7.7</v>
      </c>
      <c r="F537" s="1" t="s">
        <v>24</v>
      </c>
      <c r="G537" s="1" t="s">
        <v>19</v>
      </c>
      <c r="H537" s="1" t="s">
        <v>20</v>
      </c>
      <c r="I537" s="1" t="s">
        <v>20</v>
      </c>
      <c r="J537" s="2">
        <v>58.7</v>
      </c>
      <c r="K537" s="3">
        <v>78</v>
      </c>
      <c r="L537" s="1" t="s">
        <v>32</v>
      </c>
    </row>
    <row r="538" spans="1:12" x14ac:dyDescent="0.35">
      <c r="A538">
        <v>537</v>
      </c>
      <c r="B538" s="1" t="s">
        <v>23</v>
      </c>
      <c r="C538" s="2">
        <v>3.7</v>
      </c>
      <c r="D538" s="3">
        <v>74.3</v>
      </c>
      <c r="E538" s="2">
        <v>6.6</v>
      </c>
      <c r="F538" s="1" t="s">
        <v>33</v>
      </c>
      <c r="G538" s="1" t="s">
        <v>19</v>
      </c>
      <c r="H538" s="1" t="s">
        <v>19</v>
      </c>
      <c r="I538" s="1" t="s">
        <v>20</v>
      </c>
      <c r="J538" s="2">
        <v>65.400000000000006</v>
      </c>
      <c r="K538" s="3">
        <v>88</v>
      </c>
      <c r="L538" s="1" t="s">
        <v>28</v>
      </c>
    </row>
    <row r="539" spans="1:12" x14ac:dyDescent="0.35">
      <c r="A539">
        <v>538</v>
      </c>
      <c r="B539" s="1" t="s">
        <v>17</v>
      </c>
      <c r="C539" s="2">
        <v>2.4</v>
      </c>
      <c r="D539" s="3">
        <v>87.4</v>
      </c>
      <c r="E539" s="2">
        <v>6.7</v>
      </c>
      <c r="F539" s="1" t="s">
        <v>24</v>
      </c>
      <c r="G539" s="1" t="s">
        <v>19</v>
      </c>
      <c r="H539" s="1" t="s">
        <v>19</v>
      </c>
      <c r="I539" s="1" t="s">
        <v>20</v>
      </c>
      <c r="J539" s="2">
        <v>67.5</v>
      </c>
      <c r="K539" s="3">
        <v>86</v>
      </c>
      <c r="L539" s="1" t="s">
        <v>28</v>
      </c>
    </row>
    <row r="540" spans="1:12" x14ac:dyDescent="0.35">
      <c r="A540">
        <v>539</v>
      </c>
      <c r="B540" s="1" t="s">
        <v>17</v>
      </c>
      <c r="C540" s="2">
        <v>5.3</v>
      </c>
      <c r="D540" s="3">
        <v>100</v>
      </c>
      <c r="E540" s="2">
        <v>6.9</v>
      </c>
      <c r="F540" s="1" t="s">
        <v>24</v>
      </c>
      <c r="G540" s="1" t="s">
        <v>19</v>
      </c>
      <c r="H540" s="1" t="s">
        <v>20</v>
      </c>
      <c r="I540" s="1" t="s">
        <v>20</v>
      </c>
      <c r="J540" s="2">
        <v>89.3</v>
      </c>
      <c r="K540" s="3">
        <v>100</v>
      </c>
      <c r="L540" s="1" t="s">
        <v>21</v>
      </c>
    </row>
    <row r="541" spans="1:12" x14ac:dyDescent="0.35">
      <c r="A541">
        <v>540</v>
      </c>
      <c r="B541" s="1" t="s">
        <v>23</v>
      </c>
      <c r="C541" s="2">
        <v>1.2</v>
      </c>
      <c r="D541" s="3">
        <v>75.8</v>
      </c>
      <c r="E541" s="2">
        <v>7.1</v>
      </c>
      <c r="F541" s="1" t="s">
        <v>18</v>
      </c>
      <c r="G541" s="1" t="s">
        <v>19</v>
      </c>
      <c r="H541" s="1" t="s">
        <v>19</v>
      </c>
      <c r="I541" s="1" t="s">
        <v>19</v>
      </c>
      <c r="J541" s="2">
        <v>45</v>
      </c>
      <c r="K541" s="3">
        <v>57</v>
      </c>
      <c r="L541" s="1" t="s">
        <v>35</v>
      </c>
    </row>
    <row r="542" spans="1:12" x14ac:dyDescent="0.35">
      <c r="A542">
        <v>541</v>
      </c>
      <c r="B542" s="1" t="s">
        <v>17</v>
      </c>
      <c r="C542" s="2">
        <v>2.7</v>
      </c>
      <c r="D542" s="3">
        <v>59.7</v>
      </c>
      <c r="E542" s="2">
        <v>6.7</v>
      </c>
      <c r="F542" s="1" t="s">
        <v>33</v>
      </c>
      <c r="G542" s="1" t="s">
        <v>20</v>
      </c>
      <c r="H542" s="1" t="s">
        <v>20</v>
      </c>
      <c r="I542" s="1" t="s">
        <v>19</v>
      </c>
      <c r="J542" s="2">
        <v>84.5</v>
      </c>
      <c r="K542" s="3">
        <v>76</v>
      </c>
      <c r="L542" s="1" t="s">
        <v>32</v>
      </c>
    </row>
    <row r="543" spans="1:12" x14ac:dyDescent="0.35">
      <c r="A543">
        <v>542</v>
      </c>
      <c r="B543" s="1" t="s">
        <v>23</v>
      </c>
      <c r="C543" s="2">
        <v>4.0999999999999996</v>
      </c>
      <c r="D543" s="3">
        <v>82.1</v>
      </c>
      <c r="E543" s="2">
        <v>7.1</v>
      </c>
      <c r="F543" s="1" t="s">
        <v>33</v>
      </c>
      <c r="G543" s="1" t="s">
        <v>19</v>
      </c>
      <c r="H543" s="1" t="s">
        <v>19</v>
      </c>
      <c r="I543" s="1" t="s">
        <v>20</v>
      </c>
      <c r="J543" s="2">
        <v>58.8</v>
      </c>
      <c r="K543" s="3">
        <v>87</v>
      </c>
      <c r="L543" s="1" t="s">
        <v>28</v>
      </c>
    </row>
    <row r="544" spans="1:12" x14ac:dyDescent="0.35">
      <c r="A544">
        <v>543</v>
      </c>
      <c r="B544" s="1" t="s">
        <v>17</v>
      </c>
      <c r="C544" s="2">
        <v>5.8</v>
      </c>
      <c r="D544" s="3">
        <v>96</v>
      </c>
      <c r="E544" s="2">
        <v>8.6999999999999993</v>
      </c>
      <c r="F544" s="1" t="s">
        <v>18</v>
      </c>
      <c r="G544" s="1" t="s">
        <v>19</v>
      </c>
      <c r="H544" s="1" t="s">
        <v>19</v>
      </c>
      <c r="I544" s="1" t="s">
        <v>19</v>
      </c>
      <c r="J544" s="2">
        <v>53.5</v>
      </c>
      <c r="K544" s="3">
        <v>89</v>
      </c>
      <c r="L544" s="1" t="s">
        <v>28</v>
      </c>
    </row>
    <row r="545" spans="1:12" x14ac:dyDescent="0.35">
      <c r="A545">
        <v>544</v>
      </c>
      <c r="B545" s="1" t="s">
        <v>23</v>
      </c>
      <c r="C545" s="2">
        <v>3.4</v>
      </c>
      <c r="D545" s="3">
        <v>100</v>
      </c>
      <c r="E545" s="2">
        <v>8</v>
      </c>
      <c r="F545" s="1" t="s">
        <v>24</v>
      </c>
      <c r="G545" s="1" t="s">
        <v>19</v>
      </c>
      <c r="H545" s="1" t="s">
        <v>20</v>
      </c>
      <c r="I545" s="1" t="s">
        <v>20</v>
      </c>
      <c r="J545" s="2">
        <v>84.2</v>
      </c>
      <c r="K545" s="3">
        <v>92</v>
      </c>
      <c r="L545" s="1" t="s">
        <v>21</v>
      </c>
    </row>
    <row r="546" spans="1:12" x14ac:dyDescent="0.35">
      <c r="A546">
        <v>545</v>
      </c>
      <c r="B546" s="1" t="s">
        <v>17</v>
      </c>
      <c r="C546" s="2">
        <v>2.7</v>
      </c>
      <c r="D546" s="3">
        <v>72.7</v>
      </c>
      <c r="E546" s="2">
        <v>7.8</v>
      </c>
      <c r="F546" s="1" t="s">
        <v>18</v>
      </c>
      <c r="G546" s="1" t="s">
        <v>19</v>
      </c>
      <c r="H546" s="1" t="s">
        <v>20</v>
      </c>
      <c r="I546" s="1" t="s">
        <v>19</v>
      </c>
      <c r="J546" s="2">
        <v>78.8</v>
      </c>
      <c r="K546" s="3">
        <v>66</v>
      </c>
      <c r="L546" s="1" t="s">
        <v>30</v>
      </c>
    </row>
    <row r="547" spans="1:12" x14ac:dyDescent="0.35">
      <c r="A547">
        <v>546</v>
      </c>
      <c r="B547" s="1" t="s">
        <v>23</v>
      </c>
      <c r="C547" s="2">
        <v>6.3</v>
      </c>
      <c r="D547" s="3">
        <v>90</v>
      </c>
      <c r="E547" s="2">
        <v>6.3</v>
      </c>
      <c r="F547" s="1" t="s">
        <v>24</v>
      </c>
      <c r="G547" s="1" t="s">
        <v>19</v>
      </c>
      <c r="H547" s="1" t="s">
        <v>19</v>
      </c>
      <c r="I547" s="1" t="s">
        <v>20</v>
      </c>
      <c r="J547" s="2">
        <v>85.1</v>
      </c>
      <c r="K547" s="3">
        <v>100</v>
      </c>
      <c r="L547" s="1" t="s">
        <v>21</v>
      </c>
    </row>
    <row r="548" spans="1:12" x14ac:dyDescent="0.35">
      <c r="A548">
        <v>547</v>
      </c>
      <c r="B548" s="1" t="s">
        <v>17</v>
      </c>
      <c r="C548" s="2">
        <v>1.3</v>
      </c>
      <c r="D548" s="3">
        <v>80.3</v>
      </c>
      <c r="E548" s="2">
        <v>5.7</v>
      </c>
      <c r="F548" s="1" t="s">
        <v>18</v>
      </c>
      <c r="G548" s="1" t="s">
        <v>20</v>
      </c>
      <c r="H548" s="1" t="s">
        <v>19</v>
      </c>
      <c r="I548" s="1" t="s">
        <v>20</v>
      </c>
      <c r="J548" s="2">
        <v>79.599999999999994</v>
      </c>
      <c r="K548" s="3">
        <v>71</v>
      </c>
      <c r="L548" s="1" t="s">
        <v>32</v>
      </c>
    </row>
    <row r="549" spans="1:12" x14ac:dyDescent="0.35">
      <c r="A549">
        <v>548</v>
      </c>
      <c r="B549" s="1" t="s">
        <v>23</v>
      </c>
      <c r="C549" s="2">
        <v>0.5</v>
      </c>
      <c r="D549" s="3">
        <v>83.9</v>
      </c>
      <c r="E549" s="2">
        <v>7.9</v>
      </c>
      <c r="F549" s="1" t="s">
        <v>18</v>
      </c>
      <c r="G549" s="1" t="s">
        <v>19</v>
      </c>
      <c r="H549" s="1" t="s">
        <v>20</v>
      </c>
      <c r="I549" s="1" t="s">
        <v>20</v>
      </c>
      <c r="J549" s="2">
        <v>94.7</v>
      </c>
      <c r="K549" s="3">
        <v>89</v>
      </c>
      <c r="L549" s="1" t="s">
        <v>28</v>
      </c>
    </row>
    <row r="550" spans="1:12" x14ac:dyDescent="0.35">
      <c r="A550">
        <v>549</v>
      </c>
      <c r="B550" s="1" t="s">
        <v>23</v>
      </c>
      <c r="C550" s="2">
        <v>4.2</v>
      </c>
      <c r="D550" s="3">
        <v>100</v>
      </c>
      <c r="E550" s="2">
        <v>7.9</v>
      </c>
      <c r="F550" s="1" t="s">
        <v>24</v>
      </c>
      <c r="G550" s="1" t="s">
        <v>19</v>
      </c>
      <c r="H550" s="1" t="s">
        <v>19</v>
      </c>
      <c r="I550" s="1" t="s">
        <v>20</v>
      </c>
      <c r="J550" s="2">
        <v>76.7</v>
      </c>
      <c r="K550" s="3">
        <v>100</v>
      </c>
      <c r="L550" s="1" t="s">
        <v>21</v>
      </c>
    </row>
    <row r="551" spans="1:12" x14ac:dyDescent="0.35">
      <c r="A551">
        <v>550</v>
      </c>
      <c r="B551" s="1" t="s">
        <v>17</v>
      </c>
      <c r="C551" s="2">
        <v>2.7</v>
      </c>
      <c r="D551" s="3">
        <v>70</v>
      </c>
      <c r="E551" s="2">
        <v>8.6</v>
      </c>
      <c r="F551" s="1" t="s">
        <v>24</v>
      </c>
      <c r="G551" s="1" t="s">
        <v>19</v>
      </c>
      <c r="H551" s="1" t="s">
        <v>20</v>
      </c>
      <c r="I551" s="1" t="s">
        <v>20</v>
      </c>
      <c r="J551" s="2">
        <v>68.099999999999994</v>
      </c>
      <c r="K551" s="3">
        <v>85</v>
      </c>
      <c r="L551" s="1" t="s">
        <v>28</v>
      </c>
    </row>
    <row r="552" spans="1:12" x14ac:dyDescent="0.35">
      <c r="A552">
        <v>551</v>
      </c>
      <c r="B552" s="1" t="s">
        <v>17</v>
      </c>
      <c r="C552" s="2">
        <v>2</v>
      </c>
      <c r="D552" s="3">
        <v>87.5</v>
      </c>
      <c r="E552" s="2">
        <v>6.1</v>
      </c>
      <c r="F552" s="1" t="s">
        <v>27</v>
      </c>
      <c r="G552" s="1" t="s">
        <v>19</v>
      </c>
      <c r="H552" s="1" t="s">
        <v>20</v>
      </c>
      <c r="I552" s="1" t="s">
        <v>20</v>
      </c>
      <c r="J552" s="2">
        <v>74.099999999999994</v>
      </c>
      <c r="K552" s="3">
        <v>75</v>
      </c>
      <c r="L552" s="1" t="s">
        <v>32</v>
      </c>
    </row>
    <row r="553" spans="1:12" x14ac:dyDescent="0.35">
      <c r="A553">
        <v>552</v>
      </c>
      <c r="B553" s="1" t="s">
        <v>23</v>
      </c>
      <c r="C553" s="2">
        <v>4.5999999999999996</v>
      </c>
      <c r="D553" s="3">
        <v>89.7</v>
      </c>
      <c r="E553" s="2">
        <v>6.5</v>
      </c>
      <c r="F553" s="1" t="s">
        <v>27</v>
      </c>
      <c r="G553" s="1" t="s">
        <v>19</v>
      </c>
      <c r="H553" s="1" t="s">
        <v>19</v>
      </c>
      <c r="I553" s="1" t="s">
        <v>20</v>
      </c>
      <c r="J553" s="2">
        <v>84.9</v>
      </c>
      <c r="K553" s="3">
        <v>100</v>
      </c>
      <c r="L553" s="1" t="s">
        <v>21</v>
      </c>
    </row>
    <row r="554" spans="1:12" x14ac:dyDescent="0.35">
      <c r="A554">
        <v>553</v>
      </c>
      <c r="B554" s="1" t="s">
        <v>17</v>
      </c>
      <c r="C554" s="2">
        <v>3.9</v>
      </c>
      <c r="D554" s="3">
        <v>95.9</v>
      </c>
      <c r="E554" s="2">
        <v>4.8</v>
      </c>
      <c r="F554" s="1" t="s">
        <v>18</v>
      </c>
      <c r="G554" s="1" t="s">
        <v>19</v>
      </c>
      <c r="H554" s="1" t="s">
        <v>19</v>
      </c>
      <c r="I554" s="1" t="s">
        <v>19</v>
      </c>
      <c r="J554" s="2">
        <v>60.6</v>
      </c>
      <c r="K554" s="3">
        <v>79</v>
      </c>
      <c r="L554" s="1" t="s">
        <v>32</v>
      </c>
    </row>
    <row r="555" spans="1:12" x14ac:dyDescent="0.35">
      <c r="A555">
        <v>554</v>
      </c>
      <c r="B555" s="1" t="s">
        <v>23</v>
      </c>
      <c r="C555" s="2">
        <v>2.7</v>
      </c>
      <c r="D555" s="3">
        <v>86</v>
      </c>
      <c r="E555" s="2">
        <v>6.3</v>
      </c>
      <c r="F555" s="1" t="s">
        <v>24</v>
      </c>
      <c r="G555" s="1" t="s">
        <v>19</v>
      </c>
      <c r="H555" s="1" t="s">
        <v>19</v>
      </c>
      <c r="I555" s="1" t="s">
        <v>20</v>
      </c>
      <c r="J555" s="2">
        <v>62.2</v>
      </c>
      <c r="K555" s="3">
        <v>83</v>
      </c>
      <c r="L555" s="1" t="s">
        <v>28</v>
      </c>
    </row>
    <row r="556" spans="1:12" x14ac:dyDescent="0.35">
      <c r="A556">
        <v>555</v>
      </c>
      <c r="B556" s="1" t="s">
        <v>17</v>
      </c>
      <c r="C556" s="2">
        <v>1.6</v>
      </c>
      <c r="D556" s="3">
        <v>88.1</v>
      </c>
      <c r="E556" s="2">
        <v>8</v>
      </c>
      <c r="F556" s="1" t="s">
        <v>24</v>
      </c>
      <c r="G556" s="1" t="s">
        <v>20</v>
      </c>
      <c r="H556" s="1" t="s">
        <v>20</v>
      </c>
      <c r="I556" s="1" t="s">
        <v>20</v>
      </c>
      <c r="J556" s="2">
        <v>66.3</v>
      </c>
      <c r="K556" s="3">
        <v>63</v>
      </c>
      <c r="L556" s="1" t="s">
        <v>30</v>
      </c>
    </row>
    <row r="557" spans="1:12" x14ac:dyDescent="0.35">
      <c r="A557">
        <v>556</v>
      </c>
      <c r="B557" s="1" t="s">
        <v>23</v>
      </c>
      <c r="C557" s="2">
        <v>4.8</v>
      </c>
      <c r="D557" s="3">
        <v>81.099999999999994</v>
      </c>
      <c r="E557" s="2">
        <v>6.2</v>
      </c>
      <c r="F557" s="1" t="s">
        <v>18</v>
      </c>
      <c r="G557" s="1" t="s">
        <v>19</v>
      </c>
      <c r="H557" s="1" t="s">
        <v>19</v>
      </c>
      <c r="I557" s="1" t="s">
        <v>20</v>
      </c>
      <c r="J557" s="2">
        <v>44.7</v>
      </c>
      <c r="K557" s="3">
        <v>81</v>
      </c>
      <c r="L557" s="1" t="s">
        <v>28</v>
      </c>
    </row>
    <row r="558" spans="1:12" x14ac:dyDescent="0.35">
      <c r="A558">
        <v>557</v>
      </c>
      <c r="B558" s="1" t="s">
        <v>23</v>
      </c>
      <c r="C558" s="2">
        <v>4.5</v>
      </c>
      <c r="D558" s="3">
        <v>87.7</v>
      </c>
      <c r="E558" s="2">
        <v>7.6</v>
      </c>
      <c r="F558" s="1" t="s">
        <v>27</v>
      </c>
      <c r="G558" s="1" t="s">
        <v>19</v>
      </c>
      <c r="H558" s="1" t="s">
        <v>19</v>
      </c>
      <c r="I558" s="1" t="s">
        <v>20</v>
      </c>
      <c r="J558" s="2">
        <v>71.7</v>
      </c>
      <c r="K558" s="3">
        <v>81</v>
      </c>
      <c r="L558" s="1" t="s">
        <v>28</v>
      </c>
    </row>
    <row r="559" spans="1:12" x14ac:dyDescent="0.35">
      <c r="A559">
        <v>558</v>
      </c>
      <c r="B559" s="1" t="s">
        <v>23</v>
      </c>
      <c r="C559" s="2">
        <v>3.4</v>
      </c>
      <c r="D559" s="3">
        <v>81.599999999999994</v>
      </c>
      <c r="E559" s="2">
        <v>6.6</v>
      </c>
      <c r="F559" s="1" t="s">
        <v>24</v>
      </c>
      <c r="G559" s="1" t="s">
        <v>19</v>
      </c>
      <c r="H559" s="1" t="s">
        <v>19</v>
      </c>
      <c r="I559" s="1" t="s">
        <v>20</v>
      </c>
      <c r="J559" s="2">
        <v>47.4</v>
      </c>
      <c r="K559" s="3">
        <v>73</v>
      </c>
      <c r="L559" s="1" t="s">
        <v>32</v>
      </c>
    </row>
    <row r="560" spans="1:12" x14ac:dyDescent="0.35">
      <c r="A560">
        <v>559</v>
      </c>
      <c r="B560" s="1" t="s">
        <v>23</v>
      </c>
      <c r="C560" s="2">
        <v>6.3</v>
      </c>
      <c r="D560" s="3">
        <v>91.2</v>
      </c>
      <c r="E560" s="2">
        <v>7.2</v>
      </c>
      <c r="F560" s="1" t="s">
        <v>33</v>
      </c>
      <c r="G560" s="1" t="s">
        <v>19</v>
      </c>
      <c r="H560" s="1" t="s">
        <v>20</v>
      </c>
      <c r="I560" s="1" t="s">
        <v>19</v>
      </c>
      <c r="J560" s="2">
        <v>70.599999999999994</v>
      </c>
      <c r="K560" s="3">
        <v>100</v>
      </c>
      <c r="L560" s="1" t="s">
        <v>21</v>
      </c>
    </row>
    <row r="561" spans="1:12" x14ac:dyDescent="0.35">
      <c r="A561">
        <v>560</v>
      </c>
      <c r="B561" s="1" t="s">
        <v>23</v>
      </c>
      <c r="C561" s="2">
        <v>1.9</v>
      </c>
      <c r="D561" s="3">
        <v>81.3</v>
      </c>
      <c r="E561" s="2">
        <v>5.4</v>
      </c>
      <c r="F561" s="1" t="s">
        <v>24</v>
      </c>
      <c r="G561" s="1" t="s">
        <v>19</v>
      </c>
      <c r="H561" s="1" t="s">
        <v>19</v>
      </c>
      <c r="I561" s="1" t="s">
        <v>19</v>
      </c>
      <c r="J561" s="2">
        <v>80.400000000000006</v>
      </c>
      <c r="K561" s="3">
        <v>74</v>
      </c>
      <c r="L561" s="1" t="s">
        <v>32</v>
      </c>
    </row>
    <row r="562" spans="1:12" x14ac:dyDescent="0.35">
      <c r="A562">
        <v>561</v>
      </c>
      <c r="B562" s="1" t="s">
        <v>23</v>
      </c>
      <c r="C562" s="2">
        <v>1.2</v>
      </c>
      <c r="D562" s="3">
        <v>88.8</v>
      </c>
      <c r="E562" s="2">
        <v>6.9</v>
      </c>
      <c r="F562" s="1" t="s">
        <v>27</v>
      </c>
      <c r="G562" s="1" t="s">
        <v>19</v>
      </c>
      <c r="H562" s="1" t="s">
        <v>19</v>
      </c>
      <c r="I562" s="1" t="s">
        <v>20</v>
      </c>
      <c r="J562" s="2">
        <v>64.3</v>
      </c>
      <c r="K562" s="3">
        <v>68</v>
      </c>
      <c r="L562" s="1" t="s">
        <v>30</v>
      </c>
    </row>
    <row r="563" spans="1:12" x14ac:dyDescent="0.35">
      <c r="A563">
        <v>562</v>
      </c>
      <c r="B563" s="1" t="s">
        <v>17</v>
      </c>
      <c r="C563" s="2">
        <v>2.5</v>
      </c>
      <c r="D563" s="3">
        <v>84.7</v>
      </c>
      <c r="E563" s="2">
        <v>3.2</v>
      </c>
      <c r="F563" s="1" t="s">
        <v>18</v>
      </c>
      <c r="G563" s="1" t="s">
        <v>20</v>
      </c>
      <c r="H563" s="1" t="s">
        <v>20</v>
      </c>
      <c r="I563" s="1" t="s">
        <v>20</v>
      </c>
      <c r="J563" s="2">
        <v>90.1</v>
      </c>
      <c r="K563" s="3">
        <v>84</v>
      </c>
      <c r="L563" s="1" t="s">
        <v>28</v>
      </c>
    </row>
    <row r="564" spans="1:12" x14ac:dyDescent="0.35">
      <c r="A564">
        <v>563</v>
      </c>
      <c r="B564" s="1" t="s">
        <v>17</v>
      </c>
      <c r="C564" s="2">
        <v>3.4</v>
      </c>
      <c r="D564" s="3">
        <v>96.3</v>
      </c>
      <c r="E564" s="2">
        <v>6.6</v>
      </c>
      <c r="F564" s="1" t="s">
        <v>33</v>
      </c>
      <c r="G564" s="1" t="s">
        <v>20</v>
      </c>
      <c r="H564" s="1" t="s">
        <v>20</v>
      </c>
      <c r="I564" s="1" t="s">
        <v>20</v>
      </c>
      <c r="J564" s="2">
        <v>52.5</v>
      </c>
      <c r="K564" s="3">
        <v>75</v>
      </c>
      <c r="L564" s="1" t="s">
        <v>32</v>
      </c>
    </row>
    <row r="565" spans="1:12" x14ac:dyDescent="0.35">
      <c r="A565">
        <v>564</v>
      </c>
      <c r="B565" s="1" t="s">
        <v>17</v>
      </c>
      <c r="C565" s="2">
        <v>3.9</v>
      </c>
      <c r="D565" s="3">
        <v>84.5</v>
      </c>
      <c r="E565" s="2">
        <v>4.8</v>
      </c>
      <c r="F565" s="1" t="s">
        <v>24</v>
      </c>
      <c r="G565" s="1" t="s">
        <v>20</v>
      </c>
      <c r="H565" s="1" t="s">
        <v>20</v>
      </c>
      <c r="I565" s="1" t="s">
        <v>19</v>
      </c>
      <c r="J565" s="2">
        <v>84.3</v>
      </c>
      <c r="K565" s="3">
        <v>79</v>
      </c>
      <c r="L565" s="1" t="s">
        <v>32</v>
      </c>
    </row>
    <row r="566" spans="1:12" x14ac:dyDescent="0.35">
      <c r="A566">
        <v>565</v>
      </c>
      <c r="B566" s="1" t="s">
        <v>23</v>
      </c>
      <c r="C566" s="2">
        <v>3.1</v>
      </c>
      <c r="D566" s="3">
        <v>67.3</v>
      </c>
      <c r="E566" s="2">
        <v>8.1999999999999993</v>
      </c>
      <c r="F566" s="1" t="s">
        <v>18</v>
      </c>
      <c r="G566" s="1" t="s">
        <v>19</v>
      </c>
      <c r="H566" s="1" t="s">
        <v>19</v>
      </c>
      <c r="I566" s="1" t="s">
        <v>20</v>
      </c>
      <c r="J566" s="2">
        <v>78.099999999999994</v>
      </c>
      <c r="K566" s="3">
        <v>83</v>
      </c>
      <c r="L566" s="1" t="s">
        <v>28</v>
      </c>
    </row>
    <row r="567" spans="1:12" x14ac:dyDescent="0.35">
      <c r="A567">
        <v>566</v>
      </c>
      <c r="B567" s="1" t="s">
        <v>23</v>
      </c>
      <c r="C567" s="2">
        <v>4</v>
      </c>
      <c r="D567" s="3">
        <v>97.6</v>
      </c>
      <c r="E567" s="2">
        <v>7.7</v>
      </c>
      <c r="F567" s="1" t="s">
        <v>24</v>
      </c>
      <c r="G567" s="1" t="s">
        <v>19</v>
      </c>
      <c r="H567" s="1" t="s">
        <v>19</v>
      </c>
      <c r="I567" s="1" t="s">
        <v>20</v>
      </c>
      <c r="J567" s="2">
        <v>49.4</v>
      </c>
      <c r="K567" s="3">
        <v>100</v>
      </c>
      <c r="L567" s="1" t="s">
        <v>21</v>
      </c>
    </row>
    <row r="568" spans="1:12" x14ac:dyDescent="0.35">
      <c r="A568">
        <v>567</v>
      </c>
      <c r="B568" s="1" t="s">
        <v>23</v>
      </c>
      <c r="C568" s="2">
        <v>1.6</v>
      </c>
      <c r="D568" s="3">
        <v>75.900000000000006</v>
      </c>
      <c r="E568" s="2">
        <v>7.4</v>
      </c>
      <c r="F568" s="1" t="s">
        <v>24</v>
      </c>
      <c r="G568" s="1" t="s">
        <v>19</v>
      </c>
      <c r="H568" s="1" t="s">
        <v>20</v>
      </c>
      <c r="I568" s="1" t="s">
        <v>20</v>
      </c>
      <c r="J568" s="2">
        <v>100</v>
      </c>
      <c r="K568" s="3">
        <v>93</v>
      </c>
      <c r="L568" s="1" t="s">
        <v>21</v>
      </c>
    </row>
    <row r="569" spans="1:12" x14ac:dyDescent="0.35">
      <c r="A569">
        <v>568</v>
      </c>
      <c r="B569" s="1" t="s">
        <v>23</v>
      </c>
      <c r="C569" s="2">
        <v>5.7</v>
      </c>
      <c r="D569" s="3">
        <v>78.5</v>
      </c>
      <c r="E569" s="2">
        <v>8.6</v>
      </c>
      <c r="F569" s="1" t="s">
        <v>27</v>
      </c>
      <c r="G569" s="1" t="s">
        <v>19</v>
      </c>
      <c r="H569" s="1" t="s">
        <v>19</v>
      </c>
      <c r="I569" s="1" t="s">
        <v>19</v>
      </c>
      <c r="J569" s="2">
        <v>69.2</v>
      </c>
      <c r="K569" s="3">
        <v>99</v>
      </c>
      <c r="L569" s="1" t="s">
        <v>21</v>
      </c>
    </row>
    <row r="570" spans="1:12" x14ac:dyDescent="0.35">
      <c r="A570">
        <v>569</v>
      </c>
      <c r="B570" s="1" t="s">
        <v>17</v>
      </c>
      <c r="C570" s="2">
        <v>3.4</v>
      </c>
      <c r="D570" s="3">
        <v>79</v>
      </c>
      <c r="E570" s="2">
        <v>5.7</v>
      </c>
      <c r="F570" s="1" t="s">
        <v>27</v>
      </c>
      <c r="G570" s="1" t="s">
        <v>19</v>
      </c>
      <c r="H570" s="1" t="s">
        <v>20</v>
      </c>
      <c r="I570" s="1" t="s">
        <v>19</v>
      </c>
      <c r="J570" s="2">
        <v>59.5</v>
      </c>
      <c r="K570" s="3">
        <v>76</v>
      </c>
      <c r="L570" s="1" t="s">
        <v>32</v>
      </c>
    </row>
    <row r="571" spans="1:12" x14ac:dyDescent="0.35">
      <c r="A571">
        <v>570</v>
      </c>
      <c r="B571" s="1" t="s">
        <v>17</v>
      </c>
      <c r="C571" s="2">
        <v>5.2</v>
      </c>
      <c r="D571" s="3">
        <v>98.7</v>
      </c>
      <c r="E571" s="2">
        <v>8.9</v>
      </c>
      <c r="F571" s="1" t="s">
        <v>34</v>
      </c>
      <c r="G571" s="1" t="s">
        <v>19</v>
      </c>
      <c r="H571" s="1" t="s">
        <v>20</v>
      </c>
      <c r="I571" s="1" t="s">
        <v>19</v>
      </c>
      <c r="J571" s="2">
        <v>53.1</v>
      </c>
      <c r="K571" s="3">
        <v>91</v>
      </c>
      <c r="L571" s="1" t="s">
        <v>21</v>
      </c>
    </row>
    <row r="572" spans="1:12" x14ac:dyDescent="0.35">
      <c r="A572">
        <v>571</v>
      </c>
      <c r="B572" s="1" t="s">
        <v>23</v>
      </c>
      <c r="C572" s="2">
        <v>4</v>
      </c>
      <c r="D572" s="3">
        <v>63.6</v>
      </c>
      <c r="E572" s="2">
        <v>7.9</v>
      </c>
      <c r="F572" s="1" t="s">
        <v>18</v>
      </c>
      <c r="G572" s="1" t="s">
        <v>19</v>
      </c>
      <c r="H572" s="1" t="s">
        <v>19</v>
      </c>
      <c r="I572" s="1" t="s">
        <v>19</v>
      </c>
      <c r="J572" s="2">
        <v>67.400000000000006</v>
      </c>
      <c r="K572" s="3">
        <v>63</v>
      </c>
      <c r="L572" s="1" t="s">
        <v>30</v>
      </c>
    </row>
    <row r="573" spans="1:12" x14ac:dyDescent="0.35">
      <c r="A573">
        <v>572</v>
      </c>
      <c r="B573" s="1" t="s">
        <v>17</v>
      </c>
      <c r="C573" s="2">
        <v>4.2</v>
      </c>
      <c r="D573" s="3">
        <v>100</v>
      </c>
      <c r="E573" s="2">
        <v>6.5</v>
      </c>
      <c r="F573" s="1" t="s">
        <v>33</v>
      </c>
      <c r="G573" s="1" t="s">
        <v>19</v>
      </c>
      <c r="H573" s="1" t="s">
        <v>20</v>
      </c>
      <c r="I573" s="1" t="s">
        <v>19</v>
      </c>
      <c r="J573" s="2">
        <v>68.5</v>
      </c>
      <c r="K573" s="3">
        <v>85</v>
      </c>
      <c r="L573" s="1" t="s">
        <v>28</v>
      </c>
    </row>
    <row r="574" spans="1:12" x14ac:dyDescent="0.35">
      <c r="A574">
        <v>573</v>
      </c>
      <c r="B574" s="1" t="s">
        <v>17</v>
      </c>
      <c r="C574" s="2">
        <v>4.4000000000000004</v>
      </c>
      <c r="D574" s="3">
        <v>95.6</v>
      </c>
      <c r="E574" s="2">
        <v>8.1999999999999993</v>
      </c>
      <c r="F574" s="1" t="s">
        <v>24</v>
      </c>
      <c r="G574" s="1" t="s">
        <v>19</v>
      </c>
      <c r="H574" s="1" t="s">
        <v>20</v>
      </c>
      <c r="I574" s="1" t="s">
        <v>19</v>
      </c>
      <c r="J574" s="2">
        <v>71.2</v>
      </c>
      <c r="K574" s="3">
        <v>89</v>
      </c>
      <c r="L574" s="1" t="s">
        <v>28</v>
      </c>
    </row>
    <row r="575" spans="1:12" x14ac:dyDescent="0.35">
      <c r="A575">
        <v>574</v>
      </c>
      <c r="B575" s="1" t="s">
        <v>23</v>
      </c>
      <c r="C575" s="2">
        <v>4.2</v>
      </c>
      <c r="D575" s="3">
        <v>87.2</v>
      </c>
      <c r="E575" s="2">
        <v>5.5</v>
      </c>
      <c r="F575" s="1" t="s">
        <v>24</v>
      </c>
      <c r="G575" s="1" t="s">
        <v>19</v>
      </c>
      <c r="H575" s="1" t="s">
        <v>19</v>
      </c>
      <c r="I575" s="1" t="s">
        <v>20</v>
      </c>
      <c r="J575" s="2">
        <v>66.400000000000006</v>
      </c>
      <c r="K575" s="3">
        <v>75</v>
      </c>
      <c r="L575" s="1" t="s">
        <v>32</v>
      </c>
    </row>
    <row r="576" spans="1:12" x14ac:dyDescent="0.35">
      <c r="A576">
        <v>575</v>
      </c>
      <c r="B576" s="1" t="s">
        <v>17</v>
      </c>
      <c r="C576" s="2">
        <v>4.5</v>
      </c>
      <c r="D576" s="3">
        <v>84.5</v>
      </c>
      <c r="E576" s="2">
        <v>5.8</v>
      </c>
      <c r="F576" s="1" t="s">
        <v>24</v>
      </c>
      <c r="G576" s="1" t="s">
        <v>19</v>
      </c>
      <c r="H576" s="1" t="s">
        <v>19</v>
      </c>
      <c r="I576" s="1" t="s">
        <v>20</v>
      </c>
      <c r="J576" s="2">
        <v>77.599999999999994</v>
      </c>
      <c r="K576" s="3">
        <v>85</v>
      </c>
      <c r="L576" s="1" t="s">
        <v>28</v>
      </c>
    </row>
    <row r="577" spans="1:12" x14ac:dyDescent="0.35">
      <c r="A577">
        <v>576</v>
      </c>
      <c r="B577" s="1" t="s">
        <v>23</v>
      </c>
      <c r="C577" s="2">
        <v>5.5</v>
      </c>
      <c r="D577" s="3">
        <v>87.9</v>
      </c>
      <c r="E577" s="2">
        <v>6.1</v>
      </c>
      <c r="F577" s="1" t="s">
        <v>18</v>
      </c>
      <c r="G577" s="1" t="s">
        <v>19</v>
      </c>
      <c r="H577" s="1" t="s">
        <v>19</v>
      </c>
      <c r="I577" s="1" t="s">
        <v>20</v>
      </c>
      <c r="J577" s="2">
        <v>65.3</v>
      </c>
      <c r="K577" s="3">
        <v>81</v>
      </c>
      <c r="L577" s="1" t="s">
        <v>28</v>
      </c>
    </row>
    <row r="578" spans="1:12" x14ac:dyDescent="0.35">
      <c r="A578">
        <v>577</v>
      </c>
      <c r="B578" s="1" t="s">
        <v>17</v>
      </c>
      <c r="C578" s="2">
        <v>3.8</v>
      </c>
      <c r="D578" s="3">
        <v>90.2</v>
      </c>
      <c r="E578" s="2">
        <v>6.2</v>
      </c>
      <c r="F578" s="1" t="s">
        <v>18</v>
      </c>
      <c r="G578" s="1" t="s">
        <v>19</v>
      </c>
      <c r="H578" s="1" t="s">
        <v>19</v>
      </c>
      <c r="I578" s="1" t="s">
        <v>19</v>
      </c>
      <c r="J578" s="2">
        <v>46.8</v>
      </c>
      <c r="K578" s="3">
        <v>76</v>
      </c>
      <c r="L578" s="1" t="s">
        <v>32</v>
      </c>
    </row>
    <row r="579" spans="1:12" x14ac:dyDescent="0.35">
      <c r="A579">
        <v>578</v>
      </c>
      <c r="B579" s="1" t="s">
        <v>23</v>
      </c>
      <c r="C579" s="2">
        <v>4.5999999999999996</v>
      </c>
      <c r="D579" s="3">
        <v>91.5</v>
      </c>
      <c r="E579" s="2">
        <v>5.5</v>
      </c>
      <c r="F579" s="1" t="s">
        <v>24</v>
      </c>
      <c r="G579" s="1" t="s">
        <v>19</v>
      </c>
      <c r="H579" s="1" t="s">
        <v>19</v>
      </c>
      <c r="I579" s="1" t="s">
        <v>20</v>
      </c>
      <c r="J579" s="2">
        <v>68.2</v>
      </c>
      <c r="K579" s="3">
        <v>96</v>
      </c>
      <c r="L579" s="1" t="s">
        <v>21</v>
      </c>
    </row>
    <row r="580" spans="1:12" x14ac:dyDescent="0.35">
      <c r="A580">
        <v>579</v>
      </c>
      <c r="B580" s="1" t="s">
        <v>23</v>
      </c>
      <c r="C580" s="2">
        <v>3.4</v>
      </c>
      <c r="D580" s="3">
        <v>90.6</v>
      </c>
      <c r="E580" s="2">
        <v>8.3000000000000007</v>
      </c>
      <c r="F580" s="1" t="s">
        <v>18</v>
      </c>
      <c r="G580" s="1" t="s">
        <v>19</v>
      </c>
      <c r="H580" s="1" t="s">
        <v>20</v>
      </c>
      <c r="I580" s="1" t="s">
        <v>20</v>
      </c>
      <c r="J580" s="2">
        <v>41.6</v>
      </c>
      <c r="K580" s="3">
        <v>83</v>
      </c>
      <c r="L580" s="1" t="s">
        <v>28</v>
      </c>
    </row>
    <row r="581" spans="1:12" x14ac:dyDescent="0.35">
      <c r="A581">
        <v>580</v>
      </c>
      <c r="B581" s="1" t="s">
        <v>23</v>
      </c>
      <c r="C581" s="2">
        <v>5.7</v>
      </c>
      <c r="D581" s="3">
        <v>85.9</v>
      </c>
      <c r="E581" s="2">
        <v>6.5</v>
      </c>
      <c r="F581" s="1" t="s">
        <v>33</v>
      </c>
      <c r="G581" s="1" t="s">
        <v>19</v>
      </c>
      <c r="H581" s="1" t="s">
        <v>20</v>
      </c>
      <c r="I581" s="1" t="s">
        <v>19</v>
      </c>
      <c r="J581" s="2">
        <v>74.2</v>
      </c>
      <c r="K581" s="3">
        <v>96</v>
      </c>
      <c r="L581" s="1" t="s">
        <v>21</v>
      </c>
    </row>
    <row r="582" spans="1:12" x14ac:dyDescent="0.35">
      <c r="A582">
        <v>581</v>
      </c>
      <c r="B582" s="1" t="s">
        <v>23</v>
      </c>
      <c r="C582" s="2">
        <v>2.5</v>
      </c>
      <c r="D582" s="3">
        <v>83</v>
      </c>
      <c r="E582" s="2">
        <v>7.2</v>
      </c>
      <c r="F582" s="1" t="s">
        <v>18</v>
      </c>
      <c r="G582" s="1" t="s">
        <v>19</v>
      </c>
      <c r="H582" s="1" t="s">
        <v>19</v>
      </c>
      <c r="I582" s="1" t="s">
        <v>20</v>
      </c>
      <c r="J582" s="2">
        <v>58.2</v>
      </c>
      <c r="K582" s="3">
        <v>70</v>
      </c>
      <c r="L582" s="1" t="s">
        <v>32</v>
      </c>
    </row>
    <row r="583" spans="1:12" x14ac:dyDescent="0.35">
      <c r="A583">
        <v>582</v>
      </c>
      <c r="B583" s="1" t="s">
        <v>17</v>
      </c>
      <c r="C583" s="2">
        <v>6.2</v>
      </c>
      <c r="D583" s="3">
        <v>83.5</v>
      </c>
      <c r="E583" s="2">
        <v>6.1</v>
      </c>
      <c r="F583" s="1" t="s">
        <v>24</v>
      </c>
      <c r="G583" s="1" t="s">
        <v>19</v>
      </c>
      <c r="H583" s="1" t="s">
        <v>19</v>
      </c>
      <c r="I583" s="1" t="s">
        <v>19</v>
      </c>
      <c r="J583" s="2">
        <v>72</v>
      </c>
      <c r="K583" s="3">
        <v>83</v>
      </c>
      <c r="L583" s="1" t="s">
        <v>28</v>
      </c>
    </row>
    <row r="584" spans="1:12" x14ac:dyDescent="0.35">
      <c r="A584">
        <v>583</v>
      </c>
      <c r="B584" s="1" t="s">
        <v>23</v>
      </c>
      <c r="C584" s="2">
        <v>3.4</v>
      </c>
      <c r="D584" s="3">
        <v>83.1</v>
      </c>
      <c r="E584" s="2">
        <v>4.5999999999999996</v>
      </c>
      <c r="F584" s="1" t="s">
        <v>24</v>
      </c>
      <c r="G584" s="1" t="s">
        <v>19</v>
      </c>
      <c r="H584" s="1" t="s">
        <v>20</v>
      </c>
      <c r="I584" s="1" t="s">
        <v>20</v>
      </c>
      <c r="J584" s="2">
        <v>85.8</v>
      </c>
      <c r="K584" s="3">
        <v>77</v>
      </c>
      <c r="L584" s="1" t="s">
        <v>32</v>
      </c>
    </row>
    <row r="585" spans="1:12" x14ac:dyDescent="0.35">
      <c r="A585">
        <v>584</v>
      </c>
      <c r="B585" s="1" t="s">
        <v>23</v>
      </c>
      <c r="C585" s="2">
        <v>1.4</v>
      </c>
      <c r="D585" s="3">
        <v>96.3</v>
      </c>
      <c r="E585" s="2">
        <v>7.1</v>
      </c>
      <c r="F585" s="1" t="s">
        <v>24</v>
      </c>
      <c r="G585" s="1" t="s">
        <v>19</v>
      </c>
      <c r="H585" s="1" t="s">
        <v>19</v>
      </c>
      <c r="I585" s="1" t="s">
        <v>20</v>
      </c>
      <c r="J585" s="2">
        <v>58.6</v>
      </c>
      <c r="K585" s="3">
        <v>68</v>
      </c>
      <c r="L585" s="1" t="s">
        <v>30</v>
      </c>
    </row>
    <row r="586" spans="1:12" x14ac:dyDescent="0.35">
      <c r="A586">
        <v>585</v>
      </c>
      <c r="B586" s="1" t="s">
        <v>23</v>
      </c>
      <c r="C586" s="2">
        <v>3.7</v>
      </c>
      <c r="D586" s="3">
        <v>90.9</v>
      </c>
      <c r="E586" s="2">
        <v>4.5</v>
      </c>
      <c r="F586" s="1" t="s">
        <v>24</v>
      </c>
      <c r="G586" s="1" t="s">
        <v>19</v>
      </c>
      <c r="H586" s="1" t="s">
        <v>20</v>
      </c>
      <c r="I586" s="1" t="s">
        <v>20</v>
      </c>
      <c r="J586" s="2">
        <v>82.7</v>
      </c>
      <c r="K586" s="3">
        <v>85</v>
      </c>
      <c r="L586" s="1" t="s">
        <v>28</v>
      </c>
    </row>
    <row r="587" spans="1:12" x14ac:dyDescent="0.35">
      <c r="A587">
        <v>586</v>
      </c>
      <c r="B587" s="1" t="s">
        <v>17</v>
      </c>
      <c r="C587" s="2">
        <v>2.5</v>
      </c>
      <c r="D587" s="3">
        <v>55.6</v>
      </c>
      <c r="E587" s="2">
        <v>6.7</v>
      </c>
      <c r="F587" s="1" t="s">
        <v>18</v>
      </c>
      <c r="G587" s="1" t="s">
        <v>19</v>
      </c>
      <c r="H587" s="1" t="s">
        <v>19</v>
      </c>
      <c r="I587" s="1" t="s">
        <v>20</v>
      </c>
      <c r="J587" s="2">
        <v>64.8</v>
      </c>
      <c r="K587" s="3">
        <v>68</v>
      </c>
      <c r="L587" s="1" t="s">
        <v>30</v>
      </c>
    </row>
    <row r="588" spans="1:12" x14ac:dyDescent="0.35">
      <c r="A588">
        <v>587</v>
      </c>
      <c r="B588" s="1" t="s">
        <v>23</v>
      </c>
      <c r="C588" s="2">
        <v>4.8</v>
      </c>
      <c r="D588" s="3">
        <v>91.6</v>
      </c>
      <c r="E588" s="2">
        <v>5.2</v>
      </c>
      <c r="F588" s="1" t="s">
        <v>18</v>
      </c>
      <c r="G588" s="1" t="s">
        <v>20</v>
      </c>
      <c r="H588" s="1" t="s">
        <v>19</v>
      </c>
      <c r="I588" s="1" t="s">
        <v>20</v>
      </c>
      <c r="J588" s="2">
        <v>91</v>
      </c>
      <c r="K588" s="3">
        <v>89</v>
      </c>
      <c r="L588" s="1" t="s">
        <v>28</v>
      </c>
    </row>
    <row r="589" spans="1:12" x14ac:dyDescent="0.35">
      <c r="A589">
        <v>588</v>
      </c>
      <c r="B589" s="1" t="s">
        <v>17</v>
      </c>
      <c r="C589" s="2">
        <v>2.5</v>
      </c>
      <c r="D589" s="3">
        <v>86.9</v>
      </c>
      <c r="E589" s="2">
        <v>9.1999999999999993</v>
      </c>
      <c r="F589" s="1" t="s">
        <v>33</v>
      </c>
      <c r="G589" s="1" t="s">
        <v>19</v>
      </c>
      <c r="H589" s="1" t="s">
        <v>19</v>
      </c>
      <c r="I589" s="1" t="s">
        <v>20</v>
      </c>
      <c r="J589" s="2">
        <v>65.599999999999994</v>
      </c>
      <c r="K589" s="3">
        <v>85</v>
      </c>
      <c r="L589" s="1" t="s">
        <v>28</v>
      </c>
    </row>
    <row r="590" spans="1:12" x14ac:dyDescent="0.35">
      <c r="A590">
        <v>589</v>
      </c>
      <c r="B590" s="1" t="s">
        <v>23</v>
      </c>
      <c r="C590" s="2">
        <v>2.8</v>
      </c>
      <c r="D590" s="3">
        <v>84.8</v>
      </c>
      <c r="E590" s="2">
        <v>7.9</v>
      </c>
      <c r="F590" s="1" t="s">
        <v>18</v>
      </c>
      <c r="G590" s="1" t="s">
        <v>19</v>
      </c>
      <c r="H590" s="1" t="s">
        <v>20</v>
      </c>
      <c r="I590" s="1" t="s">
        <v>20</v>
      </c>
      <c r="J590" s="2">
        <v>59.9</v>
      </c>
      <c r="K590" s="3">
        <v>77</v>
      </c>
      <c r="L590" s="1" t="s">
        <v>32</v>
      </c>
    </row>
    <row r="591" spans="1:12" x14ac:dyDescent="0.35">
      <c r="A591">
        <v>590</v>
      </c>
      <c r="B591" s="1" t="s">
        <v>17</v>
      </c>
      <c r="C591" s="2">
        <v>0.7</v>
      </c>
      <c r="D591" s="3">
        <v>81.099999999999994</v>
      </c>
      <c r="E591" s="2">
        <v>6.9</v>
      </c>
      <c r="F591" s="1" t="s">
        <v>33</v>
      </c>
      <c r="G591" s="1" t="s">
        <v>19</v>
      </c>
      <c r="H591" s="1" t="s">
        <v>19</v>
      </c>
      <c r="I591" s="1" t="s">
        <v>19</v>
      </c>
      <c r="J591" s="2">
        <v>78.2</v>
      </c>
      <c r="K591" s="3">
        <v>72</v>
      </c>
      <c r="L591" s="1" t="s">
        <v>32</v>
      </c>
    </row>
    <row r="592" spans="1:12" x14ac:dyDescent="0.35">
      <c r="A592">
        <v>591</v>
      </c>
      <c r="B592" s="1" t="s">
        <v>17</v>
      </c>
      <c r="C592" s="2">
        <v>2.8</v>
      </c>
      <c r="D592" s="3">
        <v>96.2</v>
      </c>
      <c r="E592" s="2">
        <v>8.3000000000000007</v>
      </c>
      <c r="F592" s="1" t="s">
        <v>24</v>
      </c>
      <c r="G592" s="1" t="s">
        <v>19</v>
      </c>
      <c r="H592" s="1" t="s">
        <v>20</v>
      </c>
      <c r="I592" s="1" t="s">
        <v>19</v>
      </c>
      <c r="J592" s="2">
        <v>64.8</v>
      </c>
      <c r="K592" s="3">
        <v>89</v>
      </c>
      <c r="L592" s="1" t="s">
        <v>28</v>
      </c>
    </row>
    <row r="593" spans="1:12" x14ac:dyDescent="0.35">
      <c r="A593">
        <v>592</v>
      </c>
      <c r="B593" s="1" t="s">
        <v>23</v>
      </c>
      <c r="C593" s="2">
        <v>0.5</v>
      </c>
      <c r="D593" s="3">
        <v>94.5</v>
      </c>
      <c r="E593" s="2">
        <v>5.8</v>
      </c>
      <c r="F593" s="1" t="s">
        <v>18</v>
      </c>
      <c r="G593" s="1" t="s">
        <v>19</v>
      </c>
      <c r="H593" s="1" t="s">
        <v>19</v>
      </c>
      <c r="I593" s="1" t="s">
        <v>20</v>
      </c>
      <c r="J593" s="2">
        <v>59.9</v>
      </c>
      <c r="K593" s="3">
        <v>63</v>
      </c>
      <c r="L593" s="1" t="s">
        <v>30</v>
      </c>
    </row>
    <row r="594" spans="1:12" x14ac:dyDescent="0.35">
      <c r="A594">
        <v>593</v>
      </c>
      <c r="B594" s="1" t="s">
        <v>17</v>
      </c>
      <c r="C594" s="2">
        <v>1.1000000000000001</v>
      </c>
      <c r="D594" s="3">
        <v>77.3</v>
      </c>
      <c r="E594" s="2">
        <v>7.5</v>
      </c>
      <c r="F594" s="1" t="s">
        <v>33</v>
      </c>
      <c r="G594" s="1" t="s">
        <v>19</v>
      </c>
      <c r="H594" s="1" t="s">
        <v>19</v>
      </c>
      <c r="I594" s="1" t="s">
        <v>20</v>
      </c>
      <c r="J594" s="2">
        <v>64.3</v>
      </c>
      <c r="K594" s="3">
        <v>73</v>
      </c>
      <c r="L594" s="1" t="s">
        <v>32</v>
      </c>
    </row>
    <row r="595" spans="1:12" x14ac:dyDescent="0.35">
      <c r="A595">
        <v>594</v>
      </c>
      <c r="B595" s="1" t="s">
        <v>23</v>
      </c>
      <c r="C595" s="2">
        <v>4.5999999999999996</v>
      </c>
      <c r="D595" s="3">
        <v>89.1</v>
      </c>
      <c r="E595" s="2">
        <v>7</v>
      </c>
      <c r="F595" s="1" t="s">
        <v>24</v>
      </c>
      <c r="G595" s="1" t="s">
        <v>20</v>
      </c>
      <c r="H595" s="1" t="s">
        <v>19</v>
      </c>
      <c r="I595" s="1" t="s">
        <v>20</v>
      </c>
      <c r="J595" s="2">
        <v>69.5</v>
      </c>
      <c r="K595" s="3">
        <v>87</v>
      </c>
      <c r="L595" s="1" t="s">
        <v>28</v>
      </c>
    </row>
    <row r="596" spans="1:12" x14ac:dyDescent="0.35">
      <c r="A596">
        <v>595</v>
      </c>
      <c r="B596" s="1" t="s">
        <v>23</v>
      </c>
      <c r="C596" s="2">
        <v>4.7</v>
      </c>
      <c r="D596" s="3">
        <v>75.3</v>
      </c>
      <c r="E596" s="2">
        <v>7.1</v>
      </c>
      <c r="F596" s="1" t="s">
        <v>24</v>
      </c>
      <c r="G596" s="1" t="s">
        <v>19</v>
      </c>
      <c r="H596" s="1" t="s">
        <v>20</v>
      </c>
      <c r="I596" s="1" t="s">
        <v>19</v>
      </c>
      <c r="J596" s="2">
        <v>86.1</v>
      </c>
      <c r="K596" s="3">
        <v>89</v>
      </c>
      <c r="L596" s="1" t="s">
        <v>28</v>
      </c>
    </row>
    <row r="597" spans="1:12" x14ac:dyDescent="0.35">
      <c r="A597">
        <v>596</v>
      </c>
      <c r="B597" s="1" t="s">
        <v>23</v>
      </c>
      <c r="C597" s="2">
        <v>4.0999999999999996</v>
      </c>
      <c r="D597" s="3">
        <v>71.2</v>
      </c>
      <c r="E597" s="2">
        <v>8.3000000000000007</v>
      </c>
      <c r="F597" s="1" t="s">
        <v>34</v>
      </c>
      <c r="G597" s="1" t="s">
        <v>19</v>
      </c>
      <c r="H597" s="1" t="s">
        <v>20</v>
      </c>
      <c r="I597" s="1" t="s">
        <v>20</v>
      </c>
      <c r="J597" s="2">
        <v>46.8</v>
      </c>
      <c r="K597" s="3">
        <v>80</v>
      </c>
      <c r="L597" s="1" t="s">
        <v>28</v>
      </c>
    </row>
    <row r="598" spans="1:12" x14ac:dyDescent="0.35">
      <c r="A598">
        <v>597</v>
      </c>
      <c r="B598" s="1" t="s">
        <v>17</v>
      </c>
      <c r="C598" s="2">
        <v>2</v>
      </c>
      <c r="D598" s="3">
        <v>78.7</v>
      </c>
      <c r="E598" s="2">
        <v>7.7</v>
      </c>
      <c r="F598" s="1" t="s">
        <v>24</v>
      </c>
      <c r="G598" s="1" t="s">
        <v>19</v>
      </c>
      <c r="H598" s="1" t="s">
        <v>19</v>
      </c>
      <c r="I598" s="1" t="s">
        <v>19</v>
      </c>
      <c r="J598" s="2">
        <v>70.3</v>
      </c>
      <c r="K598" s="3">
        <v>80</v>
      </c>
      <c r="L598" s="1" t="s">
        <v>28</v>
      </c>
    </row>
    <row r="599" spans="1:12" x14ac:dyDescent="0.35">
      <c r="A599">
        <v>598</v>
      </c>
      <c r="B599" s="1" t="s">
        <v>17</v>
      </c>
      <c r="C599" s="2">
        <v>3.4</v>
      </c>
      <c r="D599" s="3">
        <v>93.6</v>
      </c>
      <c r="E599" s="2">
        <v>7.1</v>
      </c>
      <c r="F599" s="1" t="s">
        <v>33</v>
      </c>
      <c r="G599" s="1" t="s">
        <v>20</v>
      </c>
      <c r="H599" s="1" t="s">
        <v>19</v>
      </c>
      <c r="I599" s="1" t="s">
        <v>20</v>
      </c>
      <c r="J599" s="2">
        <v>77.5</v>
      </c>
      <c r="K599" s="3">
        <v>81</v>
      </c>
      <c r="L599" s="1" t="s">
        <v>28</v>
      </c>
    </row>
    <row r="600" spans="1:12" x14ac:dyDescent="0.35">
      <c r="A600">
        <v>599</v>
      </c>
      <c r="B600" s="1" t="s">
        <v>23</v>
      </c>
      <c r="C600" s="2">
        <v>3.5</v>
      </c>
      <c r="D600" s="3">
        <v>94.5</v>
      </c>
      <c r="E600" s="2">
        <v>4.8</v>
      </c>
      <c r="F600" s="1" t="s">
        <v>24</v>
      </c>
      <c r="G600" s="1" t="s">
        <v>19</v>
      </c>
      <c r="H600" s="1" t="s">
        <v>19</v>
      </c>
      <c r="I600" s="1" t="s">
        <v>20</v>
      </c>
      <c r="J600" s="2">
        <v>72.3</v>
      </c>
      <c r="K600" s="3">
        <v>86</v>
      </c>
      <c r="L600" s="1" t="s">
        <v>28</v>
      </c>
    </row>
    <row r="601" spans="1:12" x14ac:dyDescent="0.35">
      <c r="A601">
        <v>600</v>
      </c>
      <c r="B601" s="1" t="s">
        <v>23</v>
      </c>
      <c r="C601" s="2">
        <v>1.8</v>
      </c>
      <c r="D601" s="3">
        <v>90.1</v>
      </c>
      <c r="E601" s="2">
        <v>5.6</v>
      </c>
      <c r="F601" s="1" t="s">
        <v>33</v>
      </c>
      <c r="G601" s="1" t="s">
        <v>19</v>
      </c>
      <c r="H601" s="1" t="s">
        <v>19</v>
      </c>
      <c r="I601" s="1" t="s">
        <v>20</v>
      </c>
      <c r="J601" s="2">
        <v>85.7</v>
      </c>
      <c r="K601" s="3">
        <v>86</v>
      </c>
      <c r="L601" s="1" t="s">
        <v>28</v>
      </c>
    </row>
    <row r="602" spans="1:12" x14ac:dyDescent="0.35">
      <c r="A602">
        <v>601</v>
      </c>
      <c r="B602" s="1" t="s">
        <v>17</v>
      </c>
      <c r="C602" s="2">
        <v>5.8</v>
      </c>
      <c r="D602" s="3">
        <v>92.3</v>
      </c>
      <c r="E602" s="2">
        <v>6.7</v>
      </c>
      <c r="F602" s="1" t="s">
        <v>24</v>
      </c>
      <c r="G602" s="1" t="s">
        <v>19</v>
      </c>
      <c r="H602" s="1" t="s">
        <v>19</v>
      </c>
      <c r="I602" s="1" t="s">
        <v>19</v>
      </c>
      <c r="J602" s="2">
        <v>69.099999999999994</v>
      </c>
      <c r="K602" s="3">
        <v>93</v>
      </c>
      <c r="L602" s="1" t="s">
        <v>21</v>
      </c>
    </row>
    <row r="603" spans="1:12" x14ac:dyDescent="0.35">
      <c r="A603">
        <v>602</v>
      </c>
      <c r="B603" s="1" t="s">
        <v>23</v>
      </c>
      <c r="C603" s="2">
        <v>4.8</v>
      </c>
      <c r="D603" s="3">
        <v>90.2</v>
      </c>
      <c r="E603" s="2">
        <v>6.9</v>
      </c>
      <c r="F603" s="1" t="s">
        <v>24</v>
      </c>
      <c r="G603" s="1" t="s">
        <v>19</v>
      </c>
      <c r="H603" s="1" t="s">
        <v>20</v>
      </c>
      <c r="I603" s="1" t="s">
        <v>20</v>
      </c>
      <c r="J603" s="2">
        <v>67.8</v>
      </c>
      <c r="K603" s="3">
        <v>95</v>
      </c>
      <c r="L603" s="1" t="s">
        <v>21</v>
      </c>
    </row>
    <row r="604" spans="1:12" x14ac:dyDescent="0.35">
      <c r="A604">
        <v>603</v>
      </c>
      <c r="B604" s="1" t="s">
        <v>23</v>
      </c>
      <c r="C604" s="2">
        <v>3.2</v>
      </c>
      <c r="D604" s="3">
        <v>78.599999999999994</v>
      </c>
      <c r="E604" s="2">
        <v>5.4</v>
      </c>
      <c r="F604" s="1" t="s">
        <v>18</v>
      </c>
      <c r="G604" s="1" t="s">
        <v>19</v>
      </c>
      <c r="H604" s="1" t="s">
        <v>20</v>
      </c>
      <c r="I604" s="1" t="s">
        <v>20</v>
      </c>
      <c r="J604" s="2">
        <v>77.099999999999994</v>
      </c>
      <c r="K604" s="3">
        <v>84</v>
      </c>
      <c r="L604" s="1" t="s">
        <v>28</v>
      </c>
    </row>
    <row r="605" spans="1:12" x14ac:dyDescent="0.35">
      <c r="A605">
        <v>604</v>
      </c>
      <c r="B605" s="1" t="s">
        <v>23</v>
      </c>
      <c r="C605" s="2">
        <v>3.5</v>
      </c>
      <c r="D605" s="3">
        <v>89.3</v>
      </c>
      <c r="E605" s="2">
        <v>9.6999999999999993</v>
      </c>
      <c r="F605" s="1" t="s">
        <v>24</v>
      </c>
      <c r="G605" s="1" t="s">
        <v>19</v>
      </c>
      <c r="H605" s="1" t="s">
        <v>19</v>
      </c>
      <c r="I605" s="1" t="s">
        <v>20</v>
      </c>
      <c r="J605" s="2">
        <v>71.2</v>
      </c>
      <c r="K605" s="3">
        <v>100</v>
      </c>
      <c r="L605" s="1" t="s">
        <v>21</v>
      </c>
    </row>
    <row r="606" spans="1:12" x14ac:dyDescent="0.35">
      <c r="A606">
        <v>605</v>
      </c>
      <c r="B606" s="1" t="s">
        <v>17</v>
      </c>
      <c r="C606" s="2">
        <v>3.8</v>
      </c>
      <c r="D606" s="3">
        <v>93</v>
      </c>
      <c r="E606" s="2">
        <v>8.6</v>
      </c>
      <c r="F606" s="1" t="s">
        <v>18</v>
      </c>
      <c r="G606" s="1" t="s">
        <v>19</v>
      </c>
      <c r="H606" s="1" t="s">
        <v>19</v>
      </c>
      <c r="I606" s="1" t="s">
        <v>20</v>
      </c>
      <c r="J606" s="2">
        <v>65.3</v>
      </c>
      <c r="K606" s="3">
        <v>81</v>
      </c>
      <c r="L606" s="1" t="s">
        <v>28</v>
      </c>
    </row>
    <row r="607" spans="1:12" x14ac:dyDescent="0.35">
      <c r="A607">
        <v>606</v>
      </c>
      <c r="B607" s="1" t="s">
        <v>17</v>
      </c>
      <c r="C607" s="2">
        <v>0.5</v>
      </c>
      <c r="D607" s="3">
        <v>92.5</v>
      </c>
      <c r="E607" s="2">
        <v>7.5</v>
      </c>
      <c r="F607" s="1" t="s">
        <v>24</v>
      </c>
      <c r="G607" s="1" t="s">
        <v>19</v>
      </c>
      <c r="H607" s="1" t="s">
        <v>20</v>
      </c>
      <c r="I607" s="1" t="s">
        <v>20</v>
      </c>
      <c r="J607" s="2">
        <v>76.2</v>
      </c>
      <c r="K607" s="3">
        <v>76</v>
      </c>
      <c r="L607" s="1" t="s">
        <v>32</v>
      </c>
    </row>
    <row r="608" spans="1:12" x14ac:dyDescent="0.35">
      <c r="A608">
        <v>607</v>
      </c>
      <c r="B608" s="1" t="s">
        <v>17</v>
      </c>
      <c r="C608" s="2">
        <v>3.1</v>
      </c>
      <c r="D608" s="3">
        <v>96.9</v>
      </c>
      <c r="E608" s="2">
        <v>6.9</v>
      </c>
      <c r="F608" s="1" t="s">
        <v>24</v>
      </c>
      <c r="G608" s="1" t="s">
        <v>20</v>
      </c>
      <c r="H608" s="1" t="s">
        <v>20</v>
      </c>
      <c r="I608" s="1" t="s">
        <v>20</v>
      </c>
      <c r="J608" s="2">
        <v>62.2</v>
      </c>
      <c r="K608" s="3">
        <v>74</v>
      </c>
      <c r="L608" s="1" t="s">
        <v>32</v>
      </c>
    </row>
    <row r="609" spans="1:12" x14ac:dyDescent="0.35">
      <c r="A609">
        <v>608</v>
      </c>
      <c r="B609" s="1" t="s">
        <v>23</v>
      </c>
      <c r="C609" s="2">
        <v>2.5</v>
      </c>
      <c r="D609" s="3">
        <v>92.1</v>
      </c>
      <c r="E609" s="2">
        <v>6.5</v>
      </c>
      <c r="F609" s="1" t="s">
        <v>24</v>
      </c>
      <c r="G609" s="1" t="s">
        <v>19</v>
      </c>
      <c r="H609" s="1" t="s">
        <v>19</v>
      </c>
      <c r="I609" s="1" t="s">
        <v>20</v>
      </c>
      <c r="J609" s="2">
        <v>62.7</v>
      </c>
      <c r="K609" s="3">
        <v>84</v>
      </c>
      <c r="L609" s="1" t="s">
        <v>28</v>
      </c>
    </row>
    <row r="610" spans="1:12" x14ac:dyDescent="0.35">
      <c r="A610">
        <v>609</v>
      </c>
      <c r="B610" s="1" t="s">
        <v>23</v>
      </c>
      <c r="C610" s="2">
        <v>2</v>
      </c>
      <c r="D610" s="3">
        <v>88.5</v>
      </c>
      <c r="E610" s="2">
        <v>5.7</v>
      </c>
      <c r="F610" s="1" t="s">
        <v>24</v>
      </c>
      <c r="G610" s="1" t="s">
        <v>20</v>
      </c>
      <c r="H610" s="1" t="s">
        <v>19</v>
      </c>
      <c r="I610" s="1" t="s">
        <v>19</v>
      </c>
      <c r="J610" s="2">
        <v>63.7</v>
      </c>
      <c r="K610" s="3">
        <v>59</v>
      </c>
      <c r="L610" s="1" t="s">
        <v>35</v>
      </c>
    </row>
    <row r="611" spans="1:12" x14ac:dyDescent="0.35">
      <c r="A611">
        <v>610</v>
      </c>
      <c r="B611" s="1" t="s">
        <v>23</v>
      </c>
      <c r="C611" s="2">
        <v>3.1</v>
      </c>
      <c r="D611" s="3">
        <v>95.7</v>
      </c>
      <c r="E611" s="2">
        <v>6.9</v>
      </c>
      <c r="F611" s="1" t="s">
        <v>27</v>
      </c>
      <c r="G611" s="1" t="s">
        <v>19</v>
      </c>
      <c r="H611" s="1" t="s">
        <v>19</v>
      </c>
      <c r="I611" s="1" t="s">
        <v>20</v>
      </c>
      <c r="J611" s="2">
        <v>86.2</v>
      </c>
      <c r="K611" s="3">
        <v>96</v>
      </c>
      <c r="L611" s="1" t="s">
        <v>21</v>
      </c>
    </row>
    <row r="612" spans="1:12" x14ac:dyDescent="0.35">
      <c r="A612">
        <v>611</v>
      </c>
      <c r="B612" s="1" t="s">
        <v>17</v>
      </c>
      <c r="C612" s="2">
        <v>6.2</v>
      </c>
      <c r="D612" s="3">
        <v>84.7</v>
      </c>
      <c r="E612" s="2">
        <v>7.1</v>
      </c>
      <c r="F612" s="1" t="s">
        <v>24</v>
      </c>
      <c r="G612" s="1" t="s">
        <v>19</v>
      </c>
      <c r="H612" s="1" t="s">
        <v>19</v>
      </c>
      <c r="I612" s="1" t="s">
        <v>20</v>
      </c>
      <c r="J612" s="2">
        <v>31.3</v>
      </c>
      <c r="K612" s="3">
        <v>79</v>
      </c>
      <c r="L612" s="1" t="s">
        <v>32</v>
      </c>
    </row>
    <row r="613" spans="1:12" x14ac:dyDescent="0.35">
      <c r="A613">
        <v>612</v>
      </c>
      <c r="B613" s="1" t="s">
        <v>23</v>
      </c>
      <c r="C613" s="2">
        <v>4.5</v>
      </c>
      <c r="D613" s="3">
        <v>76.2</v>
      </c>
      <c r="E613" s="2">
        <v>5.3</v>
      </c>
      <c r="F613" s="1" t="s">
        <v>18</v>
      </c>
      <c r="G613" s="1" t="s">
        <v>19</v>
      </c>
      <c r="H613" s="1" t="s">
        <v>19</v>
      </c>
      <c r="I613" s="1" t="s">
        <v>19</v>
      </c>
      <c r="J613" s="2">
        <v>74.7</v>
      </c>
      <c r="K613" s="3">
        <v>80</v>
      </c>
      <c r="L613" s="1" t="s">
        <v>32</v>
      </c>
    </row>
    <row r="614" spans="1:12" x14ac:dyDescent="0.35">
      <c r="A614">
        <v>613</v>
      </c>
      <c r="B614" s="1" t="s">
        <v>23</v>
      </c>
      <c r="C614" s="2">
        <v>2.6</v>
      </c>
      <c r="D614" s="3">
        <v>83.4</v>
      </c>
      <c r="E614" s="2">
        <v>7.2</v>
      </c>
      <c r="F614" s="1" t="s">
        <v>24</v>
      </c>
      <c r="G614" s="1" t="s">
        <v>19</v>
      </c>
      <c r="H614" s="1" t="s">
        <v>19</v>
      </c>
      <c r="I614" s="1" t="s">
        <v>19</v>
      </c>
      <c r="J614" s="2">
        <v>70.400000000000006</v>
      </c>
      <c r="K614" s="3">
        <v>70</v>
      </c>
      <c r="L614" s="1" t="s">
        <v>32</v>
      </c>
    </row>
    <row r="615" spans="1:12" x14ac:dyDescent="0.35">
      <c r="A615">
        <v>614</v>
      </c>
      <c r="B615" s="1" t="s">
        <v>23</v>
      </c>
      <c r="C615" s="2">
        <v>4.4000000000000004</v>
      </c>
      <c r="D615" s="3">
        <v>77.599999999999994</v>
      </c>
      <c r="E615" s="2">
        <v>6.6</v>
      </c>
      <c r="F615" s="1" t="s">
        <v>24</v>
      </c>
      <c r="G615" s="1" t="s">
        <v>19</v>
      </c>
      <c r="H615" s="1" t="s">
        <v>20</v>
      </c>
      <c r="I615" s="1" t="s">
        <v>20</v>
      </c>
      <c r="J615" s="2">
        <v>49.8</v>
      </c>
      <c r="K615" s="3">
        <v>75</v>
      </c>
      <c r="L615" s="1" t="s">
        <v>32</v>
      </c>
    </row>
    <row r="616" spans="1:12" x14ac:dyDescent="0.35">
      <c r="A616">
        <v>615</v>
      </c>
      <c r="B616" s="1" t="s">
        <v>23</v>
      </c>
      <c r="C616" s="2">
        <v>5.6</v>
      </c>
      <c r="D616" s="3">
        <v>78.2</v>
      </c>
      <c r="E616" s="2">
        <v>4.5</v>
      </c>
      <c r="F616" s="1" t="s">
        <v>27</v>
      </c>
      <c r="G616" s="1" t="s">
        <v>19</v>
      </c>
      <c r="H616" s="1" t="s">
        <v>19</v>
      </c>
      <c r="I616" s="1" t="s">
        <v>19</v>
      </c>
      <c r="J616" s="2">
        <v>73.7</v>
      </c>
      <c r="K616" s="3">
        <v>95</v>
      </c>
      <c r="L616" s="1" t="s">
        <v>21</v>
      </c>
    </row>
    <row r="617" spans="1:12" x14ac:dyDescent="0.35">
      <c r="A617">
        <v>616</v>
      </c>
      <c r="B617" s="1" t="s">
        <v>17</v>
      </c>
      <c r="C617" s="2">
        <v>4.9000000000000004</v>
      </c>
      <c r="D617" s="3">
        <v>83.6</v>
      </c>
      <c r="E617" s="2">
        <v>5.8</v>
      </c>
      <c r="F617" s="1" t="s">
        <v>24</v>
      </c>
      <c r="G617" s="1" t="s">
        <v>19</v>
      </c>
      <c r="H617" s="1" t="s">
        <v>19</v>
      </c>
      <c r="I617" s="1" t="s">
        <v>20</v>
      </c>
      <c r="J617" s="2">
        <v>75.7</v>
      </c>
      <c r="K617" s="3">
        <v>92</v>
      </c>
      <c r="L617" s="1" t="s">
        <v>21</v>
      </c>
    </row>
    <row r="618" spans="1:12" x14ac:dyDescent="0.35">
      <c r="A618">
        <v>617</v>
      </c>
      <c r="B618" s="1" t="s">
        <v>17</v>
      </c>
      <c r="C618" s="2">
        <v>3.6</v>
      </c>
      <c r="D618" s="3">
        <v>77.099999999999994</v>
      </c>
      <c r="E618" s="2">
        <v>6.3</v>
      </c>
      <c r="F618" s="1" t="s">
        <v>27</v>
      </c>
      <c r="G618" s="1" t="s">
        <v>19</v>
      </c>
      <c r="H618" s="1" t="s">
        <v>19</v>
      </c>
      <c r="I618" s="1" t="s">
        <v>19</v>
      </c>
      <c r="J618" s="2">
        <v>77.099999999999994</v>
      </c>
      <c r="K618" s="3">
        <v>86</v>
      </c>
      <c r="L618" s="1" t="s">
        <v>28</v>
      </c>
    </row>
    <row r="619" spans="1:12" x14ac:dyDescent="0.35">
      <c r="A619">
        <v>618</v>
      </c>
      <c r="B619" s="1" t="s">
        <v>23</v>
      </c>
      <c r="C619" s="2">
        <v>2.5</v>
      </c>
      <c r="D619" s="3">
        <v>81.900000000000006</v>
      </c>
      <c r="E619" s="2">
        <v>9.1</v>
      </c>
      <c r="F619" s="1" t="s">
        <v>24</v>
      </c>
      <c r="G619" s="1" t="s">
        <v>19</v>
      </c>
      <c r="H619" s="1" t="s">
        <v>20</v>
      </c>
      <c r="I619" s="1" t="s">
        <v>20</v>
      </c>
      <c r="J619" s="2">
        <v>38.200000000000003</v>
      </c>
      <c r="K619" s="3">
        <v>79</v>
      </c>
      <c r="L619" s="1" t="s">
        <v>32</v>
      </c>
    </row>
    <row r="620" spans="1:12" x14ac:dyDescent="0.35">
      <c r="A620">
        <v>619</v>
      </c>
      <c r="B620" s="1" t="s">
        <v>17</v>
      </c>
      <c r="C620" s="2">
        <v>4.5</v>
      </c>
      <c r="D620" s="3">
        <v>66.099999999999994</v>
      </c>
      <c r="E620" s="2">
        <v>7.5</v>
      </c>
      <c r="F620" s="1" t="s">
        <v>33</v>
      </c>
      <c r="G620" s="1" t="s">
        <v>19</v>
      </c>
      <c r="H620" s="1" t="s">
        <v>20</v>
      </c>
      <c r="I620" s="1" t="s">
        <v>20</v>
      </c>
      <c r="J620" s="2">
        <v>86.4</v>
      </c>
      <c r="K620" s="3">
        <v>92</v>
      </c>
      <c r="L620" s="1" t="s">
        <v>21</v>
      </c>
    </row>
    <row r="621" spans="1:12" x14ac:dyDescent="0.35">
      <c r="A621">
        <v>620</v>
      </c>
      <c r="B621" s="1" t="s">
        <v>17</v>
      </c>
      <c r="C621" s="2">
        <v>4.0999999999999996</v>
      </c>
      <c r="D621" s="3">
        <v>87.1</v>
      </c>
      <c r="E621" s="2">
        <v>5.2</v>
      </c>
      <c r="F621" s="1" t="s">
        <v>18</v>
      </c>
      <c r="G621" s="1" t="s">
        <v>19</v>
      </c>
      <c r="H621" s="1" t="s">
        <v>19</v>
      </c>
      <c r="I621" s="1" t="s">
        <v>20</v>
      </c>
      <c r="J621" s="2">
        <v>61.1</v>
      </c>
      <c r="K621" s="3">
        <v>80</v>
      </c>
      <c r="L621" s="1" t="s">
        <v>28</v>
      </c>
    </row>
    <row r="622" spans="1:12" x14ac:dyDescent="0.35">
      <c r="A622">
        <v>621</v>
      </c>
      <c r="B622" s="1" t="s">
        <v>23</v>
      </c>
      <c r="C622" s="2">
        <v>4.8</v>
      </c>
      <c r="D622" s="3">
        <v>85</v>
      </c>
      <c r="E622" s="2">
        <v>7.4</v>
      </c>
      <c r="F622" s="1" t="s">
        <v>34</v>
      </c>
      <c r="G622" s="1" t="s">
        <v>19</v>
      </c>
      <c r="H622" s="1" t="s">
        <v>19</v>
      </c>
      <c r="I622" s="1" t="s">
        <v>20</v>
      </c>
      <c r="J622" s="2">
        <v>78.2</v>
      </c>
      <c r="K622" s="3">
        <v>98</v>
      </c>
      <c r="L622" s="1" t="s">
        <v>21</v>
      </c>
    </row>
    <row r="623" spans="1:12" x14ac:dyDescent="0.35">
      <c r="A623">
        <v>622</v>
      </c>
      <c r="B623" s="1" t="s">
        <v>23</v>
      </c>
      <c r="C623" s="2">
        <v>4.5</v>
      </c>
      <c r="D623" s="3">
        <v>76.8</v>
      </c>
      <c r="E623" s="2">
        <v>4.9000000000000004</v>
      </c>
      <c r="F623" s="1" t="s">
        <v>18</v>
      </c>
      <c r="G623" s="1" t="s">
        <v>20</v>
      </c>
      <c r="H623" s="1" t="s">
        <v>20</v>
      </c>
      <c r="I623" s="1" t="s">
        <v>20</v>
      </c>
      <c r="J623" s="2">
        <v>78.900000000000006</v>
      </c>
      <c r="K623" s="3">
        <v>79</v>
      </c>
      <c r="L623" s="1" t="s">
        <v>32</v>
      </c>
    </row>
    <row r="624" spans="1:12" x14ac:dyDescent="0.35">
      <c r="A624">
        <v>623</v>
      </c>
      <c r="B624" s="1" t="s">
        <v>17</v>
      </c>
      <c r="C624" s="2">
        <v>5.0999999999999996</v>
      </c>
      <c r="D624" s="3">
        <v>91.6</v>
      </c>
      <c r="E624" s="2">
        <v>8.1</v>
      </c>
      <c r="F624" s="1" t="s">
        <v>18</v>
      </c>
      <c r="G624" s="1" t="s">
        <v>19</v>
      </c>
      <c r="H624" s="1" t="s">
        <v>19</v>
      </c>
      <c r="I624" s="1" t="s">
        <v>20</v>
      </c>
      <c r="J624" s="2">
        <v>59.5</v>
      </c>
      <c r="K624" s="3">
        <v>90</v>
      </c>
      <c r="L624" s="1" t="s">
        <v>28</v>
      </c>
    </row>
    <row r="625" spans="1:12" x14ac:dyDescent="0.35">
      <c r="A625">
        <v>624</v>
      </c>
      <c r="B625" s="1" t="s">
        <v>23</v>
      </c>
      <c r="C625" s="2">
        <v>2.7</v>
      </c>
      <c r="D625" s="3">
        <v>94.4</v>
      </c>
      <c r="E625" s="2">
        <v>6.2</v>
      </c>
      <c r="F625" s="1" t="s">
        <v>24</v>
      </c>
      <c r="G625" s="1" t="s">
        <v>19</v>
      </c>
      <c r="H625" s="1" t="s">
        <v>19</v>
      </c>
      <c r="I625" s="1" t="s">
        <v>19</v>
      </c>
      <c r="J625" s="2">
        <v>77.900000000000006</v>
      </c>
      <c r="K625" s="3">
        <v>76</v>
      </c>
      <c r="L625" s="1" t="s">
        <v>32</v>
      </c>
    </row>
    <row r="626" spans="1:12" x14ac:dyDescent="0.35">
      <c r="A626">
        <v>625</v>
      </c>
      <c r="B626" s="1" t="s">
        <v>17</v>
      </c>
      <c r="C626" s="2">
        <v>5.5</v>
      </c>
      <c r="D626" s="3">
        <v>68.900000000000006</v>
      </c>
      <c r="E626" s="2">
        <v>6.7</v>
      </c>
      <c r="F626" s="1" t="s">
        <v>24</v>
      </c>
      <c r="G626" s="1" t="s">
        <v>19</v>
      </c>
      <c r="H626" s="1" t="s">
        <v>19</v>
      </c>
      <c r="I626" s="1" t="s">
        <v>19</v>
      </c>
      <c r="J626" s="2">
        <v>65.400000000000006</v>
      </c>
      <c r="K626" s="3">
        <v>90</v>
      </c>
      <c r="L626" s="1" t="s">
        <v>28</v>
      </c>
    </row>
    <row r="627" spans="1:12" x14ac:dyDescent="0.35">
      <c r="A627">
        <v>626</v>
      </c>
      <c r="B627" s="1" t="s">
        <v>23</v>
      </c>
      <c r="C627" s="2">
        <v>3.8</v>
      </c>
      <c r="D627" s="3">
        <v>77.400000000000006</v>
      </c>
      <c r="E627" s="2">
        <v>8.4</v>
      </c>
      <c r="F627" s="1" t="s">
        <v>27</v>
      </c>
      <c r="G627" s="1" t="s">
        <v>19</v>
      </c>
      <c r="H627" s="1" t="s">
        <v>19</v>
      </c>
      <c r="I627" s="1" t="s">
        <v>19</v>
      </c>
      <c r="J627" s="2">
        <v>45.1</v>
      </c>
      <c r="K627" s="3">
        <v>71</v>
      </c>
      <c r="L627" s="1" t="s">
        <v>32</v>
      </c>
    </row>
    <row r="628" spans="1:12" x14ac:dyDescent="0.35">
      <c r="A628">
        <v>627</v>
      </c>
      <c r="B628" s="1" t="s">
        <v>17</v>
      </c>
      <c r="C628" s="2">
        <v>6.6</v>
      </c>
      <c r="D628" s="3">
        <v>77.3</v>
      </c>
      <c r="E628" s="2">
        <v>5.3</v>
      </c>
      <c r="F628" s="1" t="s">
        <v>24</v>
      </c>
      <c r="G628" s="1" t="s">
        <v>20</v>
      </c>
      <c r="H628" s="1" t="s">
        <v>19</v>
      </c>
      <c r="I628" s="1" t="s">
        <v>20</v>
      </c>
      <c r="J628" s="2">
        <v>84</v>
      </c>
      <c r="K628" s="3">
        <v>97</v>
      </c>
      <c r="L628" s="1" t="s">
        <v>21</v>
      </c>
    </row>
    <row r="629" spans="1:12" x14ac:dyDescent="0.35">
      <c r="A629">
        <v>628</v>
      </c>
      <c r="B629" s="1" t="s">
        <v>23</v>
      </c>
      <c r="C629" s="2">
        <v>2.5</v>
      </c>
      <c r="D629" s="3">
        <v>75.599999999999994</v>
      </c>
      <c r="E629" s="2">
        <v>5.0999999999999996</v>
      </c>
      <c r="F629" s="1" t="s">
        <v>18</v>
      </c>
      <c r="G629" s="1" t="s">
        <v>19</v>
      </c>
      <c r="H629" s="1" t="s">
        <v>20</v>
      </c>
      <c r="I629" s="1" t="s">
        <v>19</v>
      </c>
      <c r="J629" s="2">
        <v>60.7</v>
      </c>
      <c r="K629" s="3">
        <v>62</v>
      </c>
      <c r="L629" s="1" t="s">
        <v>30</v>
      </c>
    </row>
    <row r="630" spans="1:12" x14ac:dyDescent="0.35">
      <c r="A630">
        <v>629</v>
      </c>
      <c r="B630" s="1" t="s">
        <v>17</v>
      </c>
      <c r="C630" s="2">
        <v>6.1</v>
      </c>
      <c r="D630" s="3">
        <v>93.3</v>
      </c>
      <c r="E630" s="2">
        <v>6.1</v>
      </c>
      <c r="F630" s="1" t="s">
        <v>33</v>
      </c>
      <c r="G630" s="1" t="s">
        <v>19</v>
      </c>
      <c r="H630" s="1" t="s">
        <v>20</v>
      </c>
      <c r="I630" s="1" t="s">
        <v>19</v>
      </c>
      <c r="J630" s="2">
        <v>59.7</v>
      </c>
      <c r="K630" s="3">
        <v>94</v>
      </c>
      <c r="L630" s="1" t="s">
        <v>21</v>
      </c>
    </row>
    <row r="631" spans="1:12" x14ac:dyDescent="0.35">
      <c r="A631">
        <v>630</v>
      </c>
      <c r="B631" s="1" t="s">
        <v>17</v>
      </c>
      <c r="C631" s="2">
        <v>3.8</v>
      </c>
      <c r="D631" s="3">
        <v>83.1</v>
      </c>
      <c r="E631" s="2">
        <v>8</v>
      </c>
      <c r="F631" s="1" t="s">
        <v>24</v>
      </c>
      <c r="G631" s="1" t="s">
        <v>19</v>
      </c>
      <c r="H631" s="1" t="s">
        <v>19</v>
      </c>
      <c r="I631" s="1" t="s">
        <v>20</v>
      </c>
      <c r="J631" s="2">
        <v>65.2</v>
      </c>
      <c r="K631" s="3">
        <v>81</v>
      </c>
      <c r="L631" s="1" t="s">
        <v>28</v>
      </c>
    </row>
    <row r="632" spans="1:12" x14ac:dyDescent="0.35">
      <c r="A632">
        <v>631</v>
      </c>
      <c r="B632" s="1" t="s">
        <v>17</v>
      </c>
      <c r="C632" s="2">
        <v>2.5</v>
      </c>
      <c r="D632" s="3">
        <v>82.4</v>
      </c>
      <c r="E632" s="2">
        <v>5</v>
      </c>
      <c r="F632" s="1" t="s">
        <v>27</v>
      </c>
      <c r="G632" s="1" t="s">
        <v>19</v>
      </c>
      <c r="H632" s="1" t="s">
        <v>20</v>
      </c>
      <c r="I632" s="1" t="s">
        <v>20</v>
      </c>
      <c r="J632" s="2">
        <v>73.3</v>
      </c>
      <c r="K632" s="3">
        <v>78</v>
      </c>
      <c r="L632" s="1" t="s">
        <v>32</v>
      </c>
    </row>
    <row r="633" spans="1:12" x14ac:dyDescent="0.35">
      <c r="A633">
        <v>632</v>
      </c>
      <c r="B633" s="1" t="s">
        <v>23</v>
      </c>
      <c r="C633" s="2">
        <v>2.8</v>
      </c>
      <c r="D633" s="3">
        <v>65</v>
      </c>
      <c r="E633" s="2">
        <v>3.4</v>
      </c>
      <c r="F633" s="1" t="s">
        <v>33</v>
      </c>
      <c r="G633" s="1" t="s">
        <v>20</v>
      </c>
      <c r="H633" s="1" t="s">
        <v>19</v>
      </c>
      <c r="I633" s="1" t="s">
        <v>20</v>
      </c>
      <c r="J633" s="2">
        <v>69.3</v>
      </c>
      <c r="K633" s="3">
        <v>71</v>
      </c>
      <c r="L633" s="1" t="s">
        <v>32</v>
      </c>
    </row>
    <row r="634" spans="1:12" x14ac:dyDescent="0.35">
      <c r="A634">
        <v>633</v>
      </c>
      <c r="B634" s="1" t="s">
        <v>17</v>
      </c>
      <c r="C634" s="2">
        <v>3</v>
      </c>
      <c r="D634" s="3">
        <v>91.4</v>
      </c>
      <c r="E634" s="2">
        <v>6.3</v>
      </c>
      <c r="F634" s="1" t="s">
        <v>18</v>
      </c>
      <c r="G634" s="1" t="s">
        <v>19</v>
      </c>
      <c r="H634" s="1" t="s">
        <v>19</v>
      </c>
      <c r="I634" s="1" t="s">
        <v>19</v>
      </c>
      <c r="J634" s="2">
        <v>76.599999999999994</v>
      </c>
      <c r="K634" s="3">
        <v>89</v>
      </c>
      <c r="L634" s="1" t="s">
        <v>28</v>
      </c>
    </row>
    <row r="635" spans="1:12" x14ac:dyDescent="0.35">
      <c r="A635">
        <v>634</v>
      </c>
      <c r="B635" s="1" t="s">
        <v>17</v>
      </c>
      <c r="C635" s="2">
        <v>4.0999999999999996</v>
      </c>
      <c r="D635" s="3">
        <v>72.599999999999994</v>
      </c>
      <c r="E635" s="2">
        <v>7.5</v>
      </c>
      <c r="F635" s="1" t="s">
        <v>34</v>
      </c>
      <c r="G635" s="1" t="s">
        <v>19</v>
      </c>
      <c r="H635" s="1" t="s">
        <v>20</v>
      </c>
      <c r="I635" s="1" t="s">
        <v>19</v>
      </c>
      <c r="J635" s="2">
        <v>53.9</v>
      </c>
      <c r="K635" s="3">
        <v>74</v>
      </c>
      <c r="L635" s="1" t="s">
        <v>32</v>
      </c>
    </row>
    <row r="636" spans="1:12" x14ac:dyDescent="0.35">
      <c r="A636">
        <v>635</v>
      </c>
      <c r="B636" s="1" t="s">
        <v>23</v>
      </c>
      <c r="C636" s="2">
        <v>4.3</v>
      </c>
      <c r="D636" s="3">
        <v>85.6</v>
      </c>
      <c r="E636" s="2">
        <v>8.1999999999999993</v>
      </c>
      <c r="F636" s="1" t="s">
        <v>24</v>
      </c>
      <c r="G636" s="1" t="s">
        <v>19</v>
      </c>
      <c r="H636" s="1" t="s">
        <v>20</v>
      </c>
      <c r="I636" s="1" t="s">
        <v>20</v>
      </c>
      <c r="J636" s="2">
        <v>61.1</v>
      </c>
      <c r="K636" s="3">
        <v>76</v>
      </c>
      <c r="L636" s="1" t="s">
        <v>32</v>
      </c>
    </row>
    <row r="637" spans="1:12" x14ac:dyDescent="0.35">
      <c r="A637">
        <v>636</v>
      </c>
      <c r="B637" s="1" t="s">
        <v>23</v>
      </c>
      <c r="C637" s="2">
        <v>2.6</v>
      </c>
      <c r="D637" s="3">
        <v>87.8</v>
      </c>
      <c r="E637" s="2">
        <v>6.2</v>
      </c>
      <c r="F637" s="1" t="s">
        <v>24</v>
      </c>
      <c r="G637" s="1" t="s">
        <v>19</v>
      </c>
      <c r="H637" s="1" t="s">
        <v>19</v>
      </c>
      <c r="I637" s="1" t="s">
        <v>19</v>
      </c>
      <c r="J637" s="2">
        <v>68.599999999999994</v>
      </c>
      <c r="K637" s="3">
        <v>96</v>
      </c>
      <c r="L637" s="1" t="s">
        <v>21</v>
      </c>
    </row>
    <row r="638" spans="1:12" x14ac:dyDescent="0.35">
      <c r="A638">
        <v>637</v>
      </c>
      <c r="B638" s="1" t="s">
        <v>17</v>
      </c>
      <c r="C638" s="2">
        <v>3.5</v>
      </c>
      <c r="D638" s="3">
        <v>98.6</v>
      </c>
      <c r="E638" s="2">
        <v>6.3</v>
      </c>
      <c r="F638" s="1" t="s">
        <v>18</v>
      </c>
      <c r="G638" s="1" t="s">
        <v>19</v>
      </c>
      <c r="H638" s="1" t="s">
        <v>19</v>
      </c>
      <c r="I638" s="1" t="s">
        <v>20</v>
      </c>
      <c r="J638" s="2">
        <v>92.8</v>
      </c>
      <c r="K638" s="3">
        <v>100</v>
      </c>
      <c r="L638" s="1" t="s">
        <v>21</v>
      </c>
    </row>
    <row r="639" spans="1:12" x14ac:dyDescent="0.35">
      <c r="A639">
        <v>638</v>
      </c>
      <c r="B639" s="1" t="s">
        <v>17</v>
      </c>
      <c r="C639" s="2">
        <v>6.7</v>
      </c>
      <c r="D639" s="3">
        <v>71.900000000000006</v>
      </c>
      <c r="E639" s="2">
        <v>8.1999999999999993</v>
      </c>
      <c r="F639" s="1" t="s">
        <v>24</v>
      </c>
      <c r="G639" s="1" t="s">
        <v>19</v>
      </c>
      <c r="H639" s="1" t="s">
        <v>20</v>
      </c>
      <c r="I639" s="1" t="s">
        <v>20</v>
      </c>
      <c r="J639" s="2">
        <v>68.599999999999994</v>
      </c>
      <c r="K639" s="3">
        <v>100</v>
      </c>
      <c r="L639" s="1" t="s">
        <v>21</v>
      </c>
    </row>
    <row r="640" spans="1:12" x14ac:dyDescent="0.35">
      <c r="A640">
        <v>639</v>
      </c>
      <c r="B640" s="1" t="s">
        <v>23</v>
      </c>
      <c r="C640" s="2">
        <v>6.1</v>
      </c>
      <c r="D640" s="3">
        <v>54.8</v>
      </c>
      <c r="E640" s="2">
        <v>4.5999999999999996</v>
      </c>
      <c r="F640" s="1" t="s">
        <v>33</v>
      </c>
      <c r="G640" s="1" t="s">
        <v>19</v>
      </c>
      <c r="H640" s="1" t="s">
        <v>20</v>
      </c>
      <c r="I640" s="1" t="s">
        <v>20</v>
      </c>
      <c r="J640" s="2">
        <v>83</v>
      </c>
      <c r="K640" s="3">
        <v>84</v>
      </c>
      <c r="L640" s="1" t="s">
        <v>28</v>
      </c>
    </row>
    <row r="641" spans="1:12" x14ac:dyDescent="0.35">
      <c r="A641">
        <v>640</v>
      </c>
      <c r="B641" s="1" t="s">
        <v>23</v>
      </c>
      <c r="C641" s="2">
        <v>4.2</v>
      </c>
      <c r="D641" s="3">
        <v>86.8</v>
      </c>
      <c r="E641" s="2">
        <v>6.3</v>
      </c>
      <c r="F641" s="1" t="s">
        <v>27</v>
      </c>
      <c r="G641" s="1" t="s">
        <v>20</v>
      </c>
      <c r="H641" s="1" t="s">
        <v>20</v>
      </c>
      <c r="I641" s="1" t="s">
        <v>19</v>
      </c>
      <c r="J641" s="2">
        <v>70.5</v>
      </c>
      <c r="K641" s="3">
        <v>79</v>
      </c>
      <c r="L641" s="1" t="s">
        <v>32</v>
      </c>
    </row>
    <row r="642" spans="1:12" x14ac:dyDescent="0.35">
      <c r="A642">
        <v>641</v>
      </c>
      <c r="B642" s="1" t="s">
        <v>23</v>
      </c>
      <c r="C642" s="2">
        <v>3.6</v>
      </c>
      <c r="D642" s="3">
        <v>100</v>
      </c>
      <c r="E642" s="2">
        <v>7</v>
      </c>
      <c r="F642" s="1" t="s">
        <v>18</v>
      </c>
      <c r="G642" s="1" t="s">
        <v>19</v>
      </c>
      <c r="H642" s="1" t="s">
        <v>19</v>
      </c>
      <c r="I642" s="1" t="s">
        <v>20</v>
      </c>
      <c r="J642" s="2">
        <v>64.2</v>
      </c>
      <c r="K642" s="3">
        <v>86</v>
      </c>
      <c r="L642" s="1" t="s">
        <v>28</v>
      </c>
    </row>
    <row r="643" spans="1:12" x14ac:dyDescent="0.35">
      <c r="A643">
        <v>642</v>
      </c>
      <c r="B643" s="1" t="s">
        <v>23</v>
      </c>
      <c r="C643" s="2">
        <v>3.7</v>
      </c>
      <c r="D643" s="3">
        <v>97.4</v>
      </c>
      <c r="E643" s="2">
        <v>7.3</v>
      </c>
      <c r="F643" s="1" t="s">
        <v>24</v>
      </c>
      <c r="G643" s="1" t="s">
        <v>19</v>
      </c>
      <c r="H643" s="1" t="s">
        <v>19</v>
      </c>
      <c r="I643" s="1" t="s">
        <v>20</v>
      </c>
      <c r="J643" s="2">
        <v>67</v>
      </c>
      <c r="K643" s="3">
        <v>98</v>
      </c>
      <c r="L643" s="1" t="s">
        <v>21</v>
      </c>
    </row>
    <row r="644" spans="1:12" x14ac:dyDescent="0.35">
      <c r="A644">
        <v>643</v>
      </c>
      <c r="B644" s="1" t="s">
        <v>23</v>
      </c>
      <c r="C644" s="2">
        <v>4.4000000000000004</v>
      </c>
      <c r="D644" s="3">
        <v>87.1</v>
      </c>
      <c r="E644" s="2">
        <v>6.2</v>
      </c>
      <c r="F644" s="1" t="s">
        <v>27</v>
      </c>
      <c r="G644" s="1" t="s">
        <v>19</v>
      </c>
      <c r="H644" s="1" t="s">
        <v>19</v>
      </c>
      <c r="I644" s="1" t="s">
        <v>20</v>
      </c>
      <c r="J644" s="2">
        <v>68</v>
      </c>
      <c r="K644" s="3">
        <v>91</v>
      </c>
      <c r="L644" s="1" t="s">
        <v>21</v>
      </c>
    </row>
    <row r="645" spans="1:12" x14ac:dyDescent="0.35">
      <c r="A645">
        <v>644</v>
      </c>
      <c r="B645" s="1" t="s">
        <v>17</v>
      </c>
      <c r="C645" s="2">
        <v>2</v>
      </c>
      <c r="D645" s="3">
        <v>80.099999999999994</v>
      </c>
      <c r="E645" s="2">
        <v>6.8</v>
      </c>
      <c r="F645" s="1" t="s">
        <v>18</v>
      </c>
      <c r="G645" s="1" t="s">
        <v>20</v>
      </c>
      <c r="H645" s="1" t="s">
        <v>19</v>
      </c>
      <c r="I645" s="1" t="s">
        <v>20</v>
      </c>
      <c r="J645" s="2">
        <v>77.2</v>
      </c>
      <c r="K645" s="3">
        <v>70</v>
      </c>
      <c r="L645" s="1" t="s">
        <v>32</v>
      </c>
    </row>
    <row r="646" spans="1:12" x14ac:dyDescent="0.35">
      <c r="A646">
        <v>645</v>
      </c>
      <c r="B646" s="1" t="s">
        <v>23</v>
      </c>
      <c r="C646" s="2">
        <v>3.1</v>
      </c>
      <c r="D646" s="3">
        <v>93.1</v>
      </c>
      <c r="E646" s="2">
        <v>3.8</v>
      </c>
      <c r="F646" s="1" t="s">
        <v>18</v>
      </c>
      <c r="G646" s="1" t="s">
        <v>19</v>
      </c>
      <c r="H646" s="1" t="s">
        <v>20</v>
      </c>
      <c r="I646" s="1" t="s">
        <v>19</v>
      </c>
      <c r="J646" s="2">
        <v>86.5</v>
      </c>
      <c r="K646" s="3">
        <v>83</v>
      </c>
      <c r="L646" s="1" t="s">
        <v>28</v>
      </c>
    </row>
    <row r="647" spans="1:12" x14ac:dyDescent="0.35">
      <c r="A647">
        <v>646</v>
      </c>
      <c r="B647" s="1" t="s">
        <v>17</v>
      </c>
      <c r="C647" s="2">
        <v>1</v>
      </c>
      <c r="D647" s="3">
        <v>75.3</v>
      </c>
      <c r="E647" s="2">
        <v>6</v>
      </c>
      <c r="F647" s="1" t="s">
        <v>18</v>
      </c>
      <c r="G647" s="1" t="s">
        <v>19</v>
      </c>
      <c r="H647" s="1" t="s">
        <v>19</v>
      </c>
      <c r="I647" s="1" t="s">
        <v>19</v>
      </c>
      <c r="J647" s="2">
        <v>74.3</v>
      </c>
      <c r="K647" s="3">
        <v>76</v>
      </c>
      <c r="L647" s="1" t="s">
        <v>32</v>
      </c>
    </row>
    <row r="648" spans="1:12" x14ac:dyDescent="0.35">
      <c r="A648">
        <v>647</v>
      </c>
      <c r="B648" s="1" t="s">
        <v>17</v>
      </c>
      <c r="C648" s="2">
        <v>4.0999999999999996</v>
      </c>
      <c r="D648" s="3">
        <v>89.8</v>
      </c>
      <c r="E648" s="2">
        <v>7.3</v>
      </c>
      <c r="F648" s="1" t="s">
        <v>27</v>
      </c>
      <c r="G648" s="1" t="s">
        <v>19</v>
      </c>
      <c r="H648" s="1" t="s">
        <v>19</v>
      </c>
      <c r="I648" s="1" t="s">
        <v>20</v>
      </c>
      <c r="J648" s="2">
        <v>84.2</v>
      </c>
      <c r="K648" s="3">
        <v>100</v>
      </c>
      <c r="L648" s="1" t="s">
        <v>21</v>
      </c>
    </row>
    <row r="649" spans="1:12" x14ac:dyDescent="0.35">
      <c r="A649">
        <v>648</v>
      </c>
      <c r="B649" s="1" t="s">
        <v>17</v>
      </c>
      <c r="C649" s="2">
        <v>4.5</v>
      </c>
      <c r="D649" s="3">
        <v>90.1</v>
      </c>
      <c r="E649" s="2">
        <v>5.6</v>
      </c>
      <c r="F649" s="1" t="s">
        <v>18</v>
      </c>
      <c r="G649" s="1" t="s">
        <v>19</v>
      </c>
      <c r="H649" s="1" t="s">
        <v>20</v>
      </c>
      <c r="I649" s="1" t="s">
        <v>20</v>
      </c>
      <c r="J649" s="2">
        <v>58.4</v>
      </c>
      <c r="K649" s="3">
        <v>94</v>
      </c>
      <c r="L649" s="1" t="s">
        <v>21</v>
      </c>
    </row>
    <row r="650" spans="1:12" x14ac:dyDescent="0.35">
      <c r="A650">
        <v>649</v>
      </c>
      <c r="B650" s="1" t="s">
        <v>23</v>
      </c>
      <c r="C650" s="2">
        <v>2.8</v>
      </c>
      <c r="D650" s="3">
        <v>95.6</v>
      </c>
      <c r="E650" s="2">
        <v>6.9</v>
      </c>
      <c r="F650" s="1" t="s">
        <v>33</v>
      </c>
      <c r="G650" s="1" t="s">
        <v>19</v>
      </c>
      <c r="H650" s="1" t="s">
        <v>19</v>
      </c>
      <c r="I650" s="1" t="s">
        <v>20</v>
      </c>
      <c r="J650" s="2">
        <v>65</v>
      </c>
      <c r="K650" s="3">
        <v>89</v>
      </c>
      <c r="L650" s="1" t="s">
        <v>28</v>
      </c>
    </row>
    <row r="651" spans="1:12" x14ac:dyDescent="0.35">
      <c r="A651">
        <v>650</v>
      </c>
      <c r="B651" s="1" t="s">
        <v>17</v>
      </c>
      <c r="C651" s="2">
        <v>5.9</v>
      </c>
      <c r="D651" s="3">
        <v>100</v>
      </c>
      <c r="E651" s="2">
        <v>7.3</v>
      </c>
      <c r="F651" s="1" t="s">
        <v>33</v>
      </c>
      <c r="G651" s="1" t="s">
        <v>19</v>
      </c>
      <c r="H651" s="1" t="s">
        <v>19</v>
      </c>
      <c r="I651" s="1" t="s">
        <v>20</v>
      </c>
      <c r="J651" s="2">
        <v>61.3</v>
      </c>
      <c r="K651" s="3">
        <v>97</v>
      </c>
      <c r="L651" s="1" t="s">
        <v>21</v>
      </c>
    </row>
    <row r="652" spans="1:12" x14ac:dyDescent="0.35">
      <c r="A652">
        <v>651</v>
      </c>
      <c r="B652" s="1" t="s">
        <v>17</v>
      </c>
      <c r="C652" s="2">
        <v>1.7</v>
      </c>
      <c r="D652" s="3">
        <v>88.9</v>
      </c>
      <c r="E652" s="2">
        <v>6.4</v>
      </c>
      <c r="F652" s="1" t="s">
        <v>24</v>
      </c>
      <c r="G652" s="1" t="s">
        <v>19</v>
      </c>
      <c r="H652" s="1" t="s">
        <v>20</v>
      </c>
      <c r="I652" s="1" t="s">
        <v>20</v>
      </c>
      <c r="J652" s="2">
        <v>73.8</v>
      </c>
      <c r="K652" s="3">
        <v>60</v>
      </c>
      <c r="L652" s="1" t="s">
        <v>35</v>
      </c>
    </row>
    <row r="653" spans="1:12" x14ac:dyDescent="0.35">
      <c r="A653">
        <v>652</v>
      </c>
      <c r="B653" s="1" t="s">
        <v>23</v>
      </c>
      <c r="C653" s="2">
        <v>1.3</v>
      </c>
      <c r="D653" s="3">
        <v>79.900000000000006</v>
      </c>
      <c r="E653" s="2">
        <v>7</v>
      </c>
      <c r="F653" s="1" t="s">
        <v>18</v>
      </c>
      <c r="G653" s="1" t="s">
        <v>19</v>
      </c>
      <c r="H653" s="1" t="s">
        <v>20</v>
      </c>
      <c r="I653" s="1" t="s">
        <v>20</v>
      </c>
      <c r="J653" s="2">
        <v>65.7</v>
      </c>
      <c r="K653" s="3">
        <v>73</v>
      </c>
      <c r="L653" s="1" t="s">
        <v>32</v>
      </c>
    </row>
    <row r="654" spans="1:12" x14ac:dyDescent="0.35">
      <c r="A654">
        <v>653</v>
      </c>
      <c r="B654" s="1" t="s">
        <v>17</v>
      </c>
      <c r="C654" s="2">
        <v>3.8</v>
      </c>
      <c r="D654" s="3">
        <v>84.7</v>
      </c>
      <c r="E654" s="2">
        <v>5.6</v>
      </c>
      <c r="F654" s="1" t="s">
        <v>33</v>
      </c>
      <c r="G654" s="1" t="s">
        <v>19</v>
      </c>
      <c r="H654" s="1" t="s">
        <v>20</v>
      </c>
      <c r="I654" s="1" t="s">
        <v>20</v>
      </c>
      <c r="J654" s="2">
        <v>78.8</v>
      </c>
      <c r="K654" s="3">
        <v>88</v>
      </c>
      <c r="L654" s="1" t="s">
        <v>28</v>
      </c>
    </row>
    <row r="655" spans="1:12" x14ac:dyDescent="0.35">
      <c r="A655">
        <v>654</v>
      </c>
      <c r="B655" s="1" t="s">
        <v>17</v>
      </c>
      <c r="C655" s="2">
        <v>5.0999999999999996</v>
      </c>
      <c r="D655" s="3">
        <v>67.3</v>
      </c>
      <c r="E655" s="2">
        <v>6.6</v>
      </c>
      <c r="F655" s="1" t="s">
        <v>18</v>
      </c>
      <c r="G655" s="1" t="s">
        <v>20</v>
      </c>
      <c r="H655" s="1" t="s">
        <v>19</v>
      </c>
      <c r="I655" s="1" t="s">
        <v>19</v>
      </c>
      <c r="J655" s="2">
        <v>58.8</v>
      </c>
      <c r="K655" s="3">
        <v>75</v>
      </c>
      <c r="L655" s="1" t="s">
        <v>32</v>
      </c>
    </row>
    <row r="656" spans="1:12" x14ac:dyDescent="0.35">
      <c r="A656">
        <v>655</v>
      </c>
      <c r="B656" s="1" t="s">
        <v>23</v>
      </c>
      <c r="C656" s="2">
        <v>6</v>
      </c>
      <c r="D656" s="3">
        <v>78.099999999999994</v>
      </c>
      <c r="E656" s="2">
        <v>7.5</v>
      </c>
      <c r="F656" s="1" t="s">
        <v>33</v>
      </c>
      <c r="G656" s="1" t="s">
        <v>20</v>
      </c>
      <c r="H656" s="1" t="s">
        <v>20</v>
      </c>
      <c r="I656" s="1" t="s">
        <v>20</v>
      </c>
      <c r="J656" s="2">
        <v>70.5</v>
      </c>
      <c r="K656" s="3">
        <v>90</v>
      </c>
      <c r="L656" s="1" t="s">
        <v>28</v>
      </c>
    </row>
    <row r="657" spans="1:12" x14ac:dyDescent="0.35">
      <c r="A657">
        <v>656</v>
      </c>
      <c r="B657" s="1" t="s">
        <v>17</v>
      </c>
      <c r="C657" s="2">
        <v>2.8</v>
      </c>
      <c r="D657" s="3">
        <v>80.900000000000006</v>
      </c>
      <c r="E657" s="2">
        <v>7</v>
      </c>
      <c r="F657" s="1" t="s">
        <v>27</v>
      </c>
      <c r="G657" s="1" t="s">
        <v>19</v>
      </c>
      <c r="H657" s="1" t="s">
        <v>20</v>
      </c>
      <c r="I657" s="1" t="s">
        <v>19</v>
      </c>
      <c r="J657" s="2">
        <v>78.2</v>
      </c>
      <c r="K657" s="3">
        <v>73</v>
      </c>
      <c r="L657" s="1" t="s">
        <v>32</v>
      </c>
    </row>
    <row r="658" spans="1:12" x14ac:dyDescent="0.35">
      <c r="A658">
        <v>657</v>
      </c>
      <c r="B658" s="1" t="s">
        <v>17</v>
      </c>
      <c r="C658" s="2">
        <v>5.0999999999999996</v>
      </c>
      <c r="D658" s="3">
        <v>79.8</v>
      </c>
      <c r="E658" s="2">
        <v>6.1</v>
      </c>
      <c r="F658" s="1" t="s">
        <v>18</v>
      </c>
      <c r="G658" s="1" t="s">
        <v>19</v>
      </c>
      <c r="H658" s="1" t="s">
        <v>19</v>
      </c>
      <c r="I658" s="1" t="s">
        <v>20</v>
      </c>
      <c r="J658" s="2">
        <v>45.2</v>
      </c>
      <c r="K658" s="3">
        <v>84</v>
      </c>
      <c r="L658" s="1" t="s">
        <v>28</v>
      </c>
    </row>
    <row r="659" spans="1:12" x14ac:dyDescent="0.35">
      <c r="A659">
        <v>658</v>
      </c>
      <c r="B659" s="1" t="s">
        <v>17</v>
      </c>
      <c r="C659" s="2">
        <v>3.4</v>
      </c>
      <c r="D659" s="3">
        <v>86.5</v>
      </c>
      <c r="E659" s="2">
        <v>7.1</v>
      </c>
      <c r="F659" s="1" t="s">
        <v>33</v>
      </c>
      <c r="G659" s="1" t="s">
        <v>19</v>
      </c>
      <c r="H659" s="1" t="s">
        <v>19</v>
      </c>
      <c r="I659" s="1" t="s">
        <v>20</v>
      </c>
      <c r="J659" s="2">
        <v>95.5</v>
      </c>
      <c r="K659" s="3">
        <v>100</v>
      </c>
      <c r="L659" s="1" t="s">
        <v>21</v>
      </c>
    </row>
    <row r="660" spans="1:12" x14ac:dyDescent="0.35">
      <c r="A660">
        <v>659</v>
      </c>
      <c r="B660" s="1" t="s">
        <v>23</v>
      </c>
      <c r="C660" s="2">
        <v>3.2</v>
      </c>
      <c r="D660" s="3">
        <v>76.8</v>
      </c>
      <c r="E660" s="2">
        <v>7.7</v>
      </c>
      <c r="F660" s="1" t="s">
        <v>33</v>
      </c>
      <c r="G660" s="1" t="s">
        <v>19</v>
      </c>
      <c r="H660" s="1" t="s">
        <v>20</v>
      </c>
      <c r="I660" s="1" t="s">
        <v>20</v>
      </c>
      <c r="J660" s="2">
        <v>66.599999999999994</v>
      </c>
      <c r="K660" s="3">
        <v>84</v>
      </c>
      <c r="L660" s="1" t="s">
        <v>28</v>
      </c>
    </row>
    <row r="661" spans="1:12" x14ac:dyDescent="0.35">
      <c r="A661">
        <v>660</v>
      </c>
      <c r="B661" s="1" t="s">
        <v>23</v>
      </c>
      <c r="C661" s="2">
        <v>4.8</v>
      </c>
      <c r="D661" s="3">
        <v>96.2</v>
      </c>
      <c r="E661" s="2">
        <v>4.3</v>
      </c>
      <c r="F661" s="1" t="s">
        <v>33</v>
      </c>
      <c r="G661" s="1" t="s">
        <v>19</v>
      </c>
      <c r="H661" s="1" t="s">
        <v>19</v>
      </c>
      <c r="I661" s="1" t="s">
        <v>19</v>
      </c>
      <c r="J661" s="2">
        <v>45.7</v>
      </c>
      <c r="K661" s="3">
        <v>85</v>
      </c>
      <c r="L661" s="1" t="s">
        <v>28</v>
      </c>
    </row>
    <row r="662" spans="1:12" x14ac:dyDescent="0.35">
      <c r="A662">
        <v>661</v>
      </c>
      <c r="B662" s="1" t="s">
        <v>23</v>
      </c>
      <c r="C662" s="2">
        <v>4.5</v>
      </c>
      <c r="D662" s="3">
        <v>85</v>
      </c>
      <c r="E662" s="2">
        <v>8.1999999999999993</v>
      </c>
      <c r="F662" s="1" t="s">
        <v>18</v>
      </c>
      <c r="G662" s="1" t="s">
        <v>19</v>
      </c>
      <c r="H662" s="1" t="s">
        <v>20</v>
      </c>
      <c r="I662" s="1" t="s">
        <v>20</v>
      </c>
      <c r="J662" s="2">
        <v>71.900000000000006</v>
      </c>
      <c r="K662" s="3">
        <v>95</v>
      </c>
      <c r="L662" s="1" t="s">
        <v>21</v>
      </c>
    </row>
    <row r="663" spans="1:12" x14ac:dyDescent="0.35">
      <c r="A663">
        <v>662</v>
      </c>
      <c r="B663" s="1" t="s">
        <v>17</v>
      </c>
      <c r="C663" s="2">
        <v>1.1000000000000001</v>
      </c>
      <c r="D663" s="3">
        <v>84.9</v>
      </c>
      <c r="E663" s="2">
        <v>6.4</v>
      </c>
      <c r="F663" s="1" t="s">
        <v>24</v>
      </c>
      <c r="G663" s="1" t="s">
        <v>19</v>
      </c>
      <c r="H663" s="1" t="s">
        <v>19</v>
      </c>
      <c r="I663" s="1" t="s">
        <v>19</v>
      </c>
      <c r="J663" s="2">
        <v>70.400000000000006</v>
      </c>
      <c r="K663" s="3">
        <v>69</v>
      </c>
      <c r="L663" s="1" t="s">
        <v>30</v>
      </c>
    </row>
    <row r="664" spans="1:12" x14ac:dyDescent="0.35">
      <c r="A664">
        <v>663</v>
      </c>
      <c r="B664" s="1" t="s">
        <v>17</v>
      </c>
      <c r="C664" s="2">
        <v>5.7</v>
      </c>
      <c r="D664" s="3">
        <v>81.7</v>
      </c>
      <c r="E664" s="2">
        <v>7.3</v>
      </c>
      <c r="F664" s="1" t="s">
        <v>18</v>
      </c>
      <c r="G664" s="1" t="s">
        <v>19</v>
      </c>
      <c r="H664" s="1" t="s">
        <v>19</v>
      </c>
      <c r="I664" s="1" t="s">
        <v>20</v>
      </c>
      <c r="J664" s="2">
        <v>69</v>
      </c>
      <c r="K664" s="3">
        <v>94</v>
      </c>
      <c r="L664" s="1" t="s">
        <v>21</v>
      </c>
    </row>
    <row r="665" spans="1:12" x14ac:dyDescent="0.35">
      <c r="A665">
        <v>664</v>
      </c>
      <c r="B665" s="1" t="s">
        <v>23</v>
      </c>
      <c r="C665" s="2">
        <v>5.6</v>
      </c>
      <c r="D665" s="3">
        <v>86.6</v>
      </c>
      <c r="E665" s="2">
        <v>8.1999999999999993</v>
      </c>
      <c r="F665" s="1" t="s">
        <v>33</v>
      </c>
      <c r="G665" s="1" t="s">
        <v>19</v>
      </c>
      <c r="H665" s="1" t="s">
        <v>19</v>
      </c>
      <c r="I665" s="1" t="s">
        <v>19</v>
      </c>
      <c r="J665" s="2">
        <v>81.900000000000006</v>
      </c>
      <c r="K665" s="3">
        <v>100</v>
      </c>
      <c r="L665" s="1" t="s">
        <v>21</v>
      </c>
    </row>
    <row r="666" spans="1:12" x14ac:dyDescent="0.35">
      <c r="A666">
        <v>665</v>
      </c>
      <c r="B666" s="1" t="s">
        <v>17</v>
      </c>
      <c r="C666" s="2">
        <v>2.6</v>
      </c>
      <c r="D666" s="3">
        <v>93.3</v>
      </c>
      <c r="E666" s="2">
        <v>5.2</v>
      </c>
      <c r="F666" s="1" t="s">
        <v>18</v>
      </c>
      <c r="G666" s="1" t="s">
        <v>19</v>
      </c>
      <c r="H666" s="1" t="s">
        <v>20</v>
      </c>
      <c r="I666" s="1" t="s">
        <v>20</v>
      </c>
      <c r="J666" s="2">
        <v>79</v>
      </c>
      <c r="K666" s="3">
        <v>86</v>
      </c>
      <c r="L666" s="1" t="s">
        <v>28</v>
      </c>
    </row>
    <row r="667" spans="1:12" x14ac:dyDescent="0.35">
      <c r="A667">
        <v>666</v>
      </c>
      <c r="B667" s="1" t="s">
        <v>17</v>
      </c>
      <c r="C667" s="2">
        <v>4.0999999999999996</v>
      </c>
      <c r="D667" s="3">
        <v>76.3</v>
      </c>
      <c r="E667" s="2">
        <v>5.9</v>
      </c>
      <c r="F667" s="1" t="s">
        <v>33</v>
      </c>
      <c r="G667" s="1" t="s">
        <v>19</v>
      </c>
      <c r="H667" s="1" t="s">
        <v>19</v>
      </c>
      <c r="I667" s="1" t="s">
        <v>20</v>
      </c>
      <c r="J667" s="2">
        <v>73.599999999999994</v>
      </c>
      <c r="K667" s="3">
        <v>92</v>
      </c>
      <c r="L667" s="1" t="s">
        <v>21</v>
      </c>
    </row>
    <row r="668" spans="1:12" x14ac:dyDescent="0.35">
      <c r="A668">
        <v>667</v>
      </c>
      <c r="B668" s="1" t="s">
        <v>23</v>
      </c>
      <c r="C668" s="2">
        <v>4.2</v>
      </c>
      <c r="D668" s="3">
        <v>78.400000000000006</v>
      </c>
      <c r="E668" s="2">
        <v>6.5</v>
      </c>
      <c r="F668" s="1" t="s">
        <v>18</v>
      </c>
      <c r="G668" s="1" t="s">
        <v>19</v>
      </c>
      <c r="H668" s="1" t="s">
        <v>19</v>
      </c>
      <c r="I668" s="1" t="s">
        <v>20</v>
      </c>
      <c r="J668" s="2">
        <v>75.400000000000006</v>
      </c>
      <c r="K668" s="3">
        <v>92</v>
      </c>
      <c r="L668" s="1" t="s">
        <v>21</v>
      </c>
    </row>
    <row r="669" spans="1:12" x14ac:dyDescent="0.35">
      <c r="A669">
        <v>668</v>
      </c>
      <c r="B669" s="1" t="s">
        <v>23</v>
      </c>
      <c r="C669" s="2">
        <v>3.9</v>
      </c>
      <c r="D669" s="3">
        <v>82</v>
      </c>
      <c r="E669" s="2">
        <v>5.9</v>
      </c>
      <c r="F669" s="1" t="s">
        <v>18</v>
      </c>
      <c r="G669" s="1" t="s">
        <v>19</v>
      </c>
      <c r="H669" s="1" t="s">
        <v>20</v>
      </c>
      <c r="I669" s="1" t="s">
        <v>20</v>
      </c>
      <c r="J669" s="2">
        <v>68.7</v>
      </c>
      <c r="K669" s="3">
        <v>96</v>
      </c>
      <c r="L669" s="1" t="s">
        <v>21</v>
      </c>
    </row>
    <row r="670" spans="1:12" x14ac:dyDescent="0.35">
      <c r="A670">
        <v>669</v>
      </c>
      <c r="B670" s="1" t="s">
        <v>17</v>
      </c>
      <c r="C670" s="2">
        <v>2.7</v>
      </c>
      <c r="D670" s="3">
        <v>71.5</v>
      </c>
      <c r="E670" s="2">
        <v>8.9</v>
      </c>
      <c r="F670" s="1" t="s">
        <v>24</v>
      </c>
      <c r="G670" s="1" t="s">
        <v>19</v>
      </c>
      <c r="H670" s="1" t="s">
        <v>20</v>
      </c>
      <c r="I670" s="1" t="s">
        <v>19</v>
      </c>
      <c r="J670" s="2">
        <v>91.3</v>
      </c>
      <c r="K670" s="3">
        <v>98</v>
      </c>
      <c r="L670" s="1" t="s">
        <v>21</v>
      </c>
    </row>
    <row r="671" spans="1:12" x14ac:dyDescent="0.35">
      <c r="A671">
        <v>670</v>
      </c>
      <c r="B671" s="1" t="s">
        <v>17</v>
      </c>
      <c r="C671" s="2">
        <v>2.5</v>
      </c>
      <c r="D671" s="3">
        <v>76.8</v>
      </c>
      <c r="E671" s="2">
        <v>5.8</v>
      </c>
      <c r="F671" s="1" t="s">
        <v>33</v>
      </c>
      <c r="G671" s="1" t="s">
        <v>19</v>
      </c>
      <c r="H671" s="1" t="s">
        <v>20</v>
      </c>
      <c r="I671" s="1" t="s">
        <v>19</v>
      </c>
      <c r="J671" s="2">
        <v>52.2</v>
      </c>
      <c r="K671" s="3">
        <v>66</v>
      </c>
      <c r="L671" s="1" t="s">
        <v>30</v>
      </c>
    </row>
    <row r="672" spans="1:12" x14ac:dyDescent="0.35">
      <c r="A672">
        <v>671</v>
      </c>
      <c r="B672" s="1" t="s">
        <v>17</v>
      </c>
      <c r="C672" s="2">
        <v>3.5</v>
      </c>
      <c r="D672" s="3">
        <v>80.2</v>
      </c>
      <c r="E672" s="2">
        <v>6.1</v>
      </c>
      <c r="F672" s="1" t="s">
        <v>18</v>
      </c>
      <c r="G672" s="1" t="s">
        <v>19</v>
      </c>
      <c r="H672" s="1" t="s">
        <v>19</v>
      </c>
      <c r="I672" s="1" t="s">
        <v>20</v>
      </c>
      <c r="J672" s="2">
        <v>71.7</v>
      </c>
      <c r="K672" s="3">
        <v>61</v>
      </c>
      <c r="L672" s="1" t="s">
        <v>30</v>
      </c>
    </row>
    <row r="673" spans="1:12" x14ac:dyDescent="0.35">
      <c r="A673">
        <v>672</v>
      </c>
      <c r="B673" s="1" t="s">
        <v>23</v>
      </c>
      <c r="C673" s="2">
        <v>5.3</v>
      </c>
      <c r="D673" s="3">
        <v>93.7</v>
      </c>
      <c r="E673" s="2">
        <v>7</v>
      </c>
      <c r="F673" s="1" t="s">
        <v>24</v>
      </c>
      <c r="G673" s="1" t="s">
        <v>20</v>
      </c>
      <c r="H673" s="1" t="s">
        <v>19</v>
      </c>
      <c r="I673" s="1" t="s">
        <v>20</v>
      </c>
      <c r="J673" s="2">
        <v>70.8</v>
      </c>
      <c r="K673" s="3">
        <v>100</v>
      </c>
      <c r="L673" s="1" t="s">
        <v>21</v>
      </c>
    </row>
    <row r="674" spans="1:12" x14ac:dyDescent="0.35">
      <c r="A674">
        <v>673</v>
      </c>
      <c r="B674" s="1" t="s">
        <v>23</v>
      </c>
      <c r="C674" s="2">
        <v>4.3</v>
      </c>
      <c r="D674" s="3">
        <v>87.6</v>
      </c>
      <c r="E674" s="2">
        <v>5.4</v>
      </c>
      <c r="F674" s="1" t="s">
        <v>24</v>
      </c>
      <c r="G674" s="1" t="s">
        <v>19</v>
      </c>
      <c r="H674" s="1" t="s">
        <v>20</v>
      </c>
      <c r="I674" s="1" t="s">
        <v>19</v>
      </c>
      <c r="J674" s="2">
        <v>79.8</v>
      </c>
      <c r="K674" s="3">
        <v>85</v>
      </c>
      <c r="L674" s="1" t="s">
        <v>28</v>
      </c>
    </row>
    <row r="675" spans="1:12" x14ac:dyDescent="0.35">
      <c r="A675">
        <v>674</v>
      </c>
      <c r="B675" s="1" t="s">
        <v>23</v>
      </c>
      <c r="C675" s="2">
        <v>2.9</v>
      </c>
      <c r="D675" s="3">
        <v>86.9</v>
      </c>
      <c r="E675" s="2">
        <v>6.3</v>
      </c>
      <c r="F675" s="1" t="s">
        <v>33</v>
      </c>
      <c r="G675" s="1" t="s">
        <v>19</v>
      </c>
      <c r="H675" s="1" t="s">
        <v>20</v>
      </c>
      <c r="I675" s="1" t="s">
        <v>20</v>
      </c>
      <c r="J675" s="2">
        <v>59.9</v>
      </c>
      <c r="K675" s="3">
        <v>73</v>
      </c>
      <c r="L675" s="1" t="s">
        <v>32</v>
      </c>
    </row>
    <row r="676" spans="1:12" x14ac:dyDescent="0.35">
      <c r="A676">
        <v>675</v>
      </c>
      <c r="B676" s="1" t="s">
        <v>23</v>
      </c>
      <c r="C676" s="2">
        <v>4.7</v>
      </c>
      <c r="D676" s="3">
        <v>93.5</v>
      </c>
      <c r="E676" s="2">
        <v>7.2</v>
      </c>
      <c r="F676" s="1" t="s">
        <v>18</v>
      </c>
      <c r="G676" s="1" t="s">
        <v>19</v>
      </c>
      <c r="H676" s="1" t="s">
        <v>19</v>
      </c>
      <c r="I676" s="1" t="s">
        <v>20</v>
      </c>
      <c r="J676" s="2">
        <v>49.1</v>
      </c>
      <c r="K676" s="3">
        <v>84</v>
      </c>
      <c r="L676" s="1" t="s">
        <v>28</v>
      </c>
    </row>
    <row r="677" spans="1:12" x14ac:dyDescent="0.35">
      <c r="A677">
        <v>676</v>
      </c>
      <c r="B677" s="1" t="s">
        <v>17</v>
      </c>
      <c r="C677" s="2">
        <v>0.5</v>
      </c>
      <c r="D677" s="3">
        <v>83.6</v>
      </c>
      <c r="E677" s="2">
        <v>6.4</v>
      </c>
      <c r="F677" s="1" t="s">
        <v>24</v>
      </c>
      <c r="G677" s="1" t="s">
        <v>20</v>
      </c>
      <c r="H677" s="1" t="s">
        <v>19</v>
      </c>
      <c r="I677" s="1" t="s">
        <v>19</v>
      </c>
      <c r="J677" s="2">
        <v>71.900000000000006</v>
      </c>
      <c r="K677" s="3">
        <v>61</v>
      </c>
      <c r="L677" s="1" t="s">
        <v>30</v>
      </c>
    </row>
    <row r="678" spans="1:12" x14ac:dyDescent="0.35">
      <c r="A678">
        <v>677</v>
      </c>
      <c r="B678" s="1" t="s">
        <v>23</v>
      </c>
      <c r="C678" s="2">
        <v>5.2</v>
      </c>
      <c r="D678" s="3">
        <v>88.9</v>
      </c>
      <c r="E678" s="2">
        <v>6.7</v>
      </c>
      <c r="F678" s="1" t="s">
        <v>27</v>
      </c>
      <c r="G678" s="1" t="s">
        <v>20</v>
      </c>
      <c r="H678" s="1" t="s">
        <v>20</v>
      </c>
      <c r="I678" s="1" t="s">
        <v>19</v>
      </c>
      <c r="J678" s="2">
        <v>73.400000000000006</v>
      </c>
      <c r="K678" s="3">
        <v>91</v>
      </c>
      <c r="L678" s="1" t="s">
        <v>21</v>
      </c>
    </row>
    <row r="679" spans="1:12" x14ac:dyDescent="0.35">
      <c r="A679">
        <v>678</v>
      </c>
      <c r="B679" s="1" t="s">
        <v>23</v>
      </c>
      <c r="C679" s="2">
        <v>0.9</v>
      </c>
      <c r="D679" s="3">
        <v>84</v>
      </c>
      <c r="E679" s="2">
        <v>6.2</v>
      </c>
      <c r="F679" s="1" t="s">
        <v>33</v>
      </c>
      <c r="G679" s="1" t="s">
        <v>19</v>
      </c>
      <c r="H679" s="1" t="s">
        <v>19</v>
      </c>
      <c r="I679" s="1" t="s">
        <v>19</v>
      </c>
      <c r="J679" s="2">
        <v>87.9</v>
      </c>
      <c r="K679" s="3">
        <v>68</v>
      </c>
      <c r="L679" s="1" t="s">
        <v>30</v>
      </c>
    </row>
    <row r="680" spans="1:12" x14ac:dyDescent="0.35">
      <c r="A680">
        <v>679</v>
      </c>
      <c r="B680" s="1" t="s">
        <v>23</v>
      </c>
      <c r="C680" s="2">
        <v>3</v>
      </c>
      <c r="D680" s="3">
        <v>87.7</v>
      </c>
      <c r="E680" s="2">
        <v>5</v>
      </c>
      <c r="F680" s="1" t="s">
        <v>27</v>
      </c>
      <c r="G680" s="1" t="s">
        <v>20</v>
      </c>
      <c r="H680" s="1" t="s">
        <v>20</v>
      </c>
      <c r="I680" s="1" t="s">
        <v>20</v>
      </c>
      <c r="J680" s="2">
        <v>54.8</v>
      </c>
      <c r="K680" s="3">
        <v>64</v>
      </c>
      <c r="L680" s="1" t="s">
        <v>30</v>
      </c>
    </row>
    <row r="681" spans="1:12" x14ac:dyDescent="0.35">
      <c r="A681">
        <v>680</v>
      </c>
      <c r="B681" s="1" t="s">
        <v>23</v>
      </c>
      <c r="C681" s="2">
        <v>1.8</v>
      </c>
      <c r="D681" s="3">
        <v>79.2</v>
      </c>
      <c r="E681" s="2">
        <v>7.2</v>
      </c>
      <c r="F681" s="1" t="s">
        <v>18</v>
      </c>
      <c r="G681" s="1" t="s">
        <v>19</v>
      </c>
      <c r="H681" s="1" t="s">
        <v>19</v>
      </c>
      <c r="I681" s="1" t="s">
        <v>20</v>
      </c>
      <c r="J681" s="2">
        <v>83.9</v>
      </c>
      <c r="K681" s="3">
        <v>84</v>
      </c>
      <c r="L681" s="1" t="s">
        <v>28</v>
      </c>
    </row>
    <row r="682" spans="1:12" x14ac:dyDescent="0.35">
      <c r="A682">
        <v>681</v>
      </c>
      <c r="B682" s="1" t="s">
        <v>23</v>
      </c>
      <c r="C682" s="2">
        <v>1.6</v>
      </c>
      <c r="D682" s="3">
        <v>60.6</v>
      </c>
      <c r="E682" s="2">
        <v>8.9</v>
      </c>
      <c r="F682" s="1" t="s">
        <v>18</v>
      </c>
      <c r="G682" s="1" t="s">
        <v>19</v>
      </c>
      <c r="H682" s="1" t="s">
        <v>19</v>
      </c>
      <c r="I682" s="1" t="s">
        <v>20</v>
      </c>
      <c r="J682" s="2">
        <v>98.4</v>
      </c>
      <c r="K682" s="3">
        <v>86</v>
      </c>
      <c r="L682" s="1" t="s">
        <v>28</v>
      </c>
    </row>
    <row r="683" spans="1:12" x14ac:dyDescent="0.35">
      <c r="A683">
        <v>682</v>
      </c>
      <c r="B683" s="1" t="s">
        <v>17</v>
      </c>
      <c r="C683" s="2">
        <v>5.2</v>
      </c>
      <c r="D683" s="3">
        <v>83.7</v>
      </c>
      <c r="E683" s="2">
        <v>6.8</v>
      </c>
      <c r="F683" s="1" t="s">
        <v>34</v>
      </c>
      <c r="G683" s="1" t="s">
        <v>19</v>
      </c>
      <c r="H683" s="1" t="s">
        <v>20</v>
      </c>
      <c r="I683" s="1" t="s">
        <v>20</v>
      </c>
      <c r="J683" s="2">
        <v>65.5</v>
      </c>
      <c r="K683" s="3">
        <v>94</v>
      </c>
      <c r="L683" s="1" t="s">
        <v>21</v>
      </c>
    </row>
    <row r="684" spans="1:12" x14ac:dyDescent="0.35">
      <c r="A684">
        <v>683</v>
      </c>
      <c r="B684" s="1" t="s">
        <v>17</v>
      </c>
      <c r="C684" s="2">
        <v>2.8</v>
      </c>
      <c r="D684" s="3">
        <v>99.2</v>
      </c>
      <c r="E684" s="2">
        <v>7.1</v>
      </c>
      <c r="F684" s="1" t="s">
        <v>18</v>
      </c>
      <c r="G684" s="1" t="s">
        <v>19</v>
      </c>
      <c r="H684" s="1" t="s">
        <v>19</v>
      </c>
      <c r="I684" s="1" t="s">
        <v>19</v>
      </c>
      <c r="J684" s="2">
        <v>54.5</v>
      </c>
      <c r="K684" s="3">
        <v>74</v>
      </c>
      <c r="L684" s="1" t="s">
        <v>32</v>
      </c>
    </row>
    <row r="685" spans="1:12" x14ac:dyDescent="0.35">
      <c r="A685">
        <v>684</v>
      </c>
      <c r="B685" s="1" t="s">
        <v>23</v>
      </c>
      <c r="C685" s="2">
        <v>4</v>
      </c>
      <c r="D685" s="3">
        <v>94.3</v>
      </c>
      <c r="E685" s="2">
        <v>7.6</v>
      </c>
      <c r="F685" s="1" t="s">
        <v>33</v>
      </c>
      <c r="G685" s="1" t="s">
        <v>20</v>
      </c>
      <c r="H685" s="1" t="s">
        <v>19</v>
      </c>
      <c r="I685" s="1" t="s">
        <v>20</v>
      </c>
      <c r="J685" s="2">
        <v>65.099999999999994</v>
      </c>
      <c r="K685" s="3">
        <v>79</v>
      </c>
      <c r="L685" s="1" t="s">
        <v>32</v>
      </c>
    </row>
    <row r="686" spans="1:12" x14ac:dyDescent="0.35">
      <c r="A686">
        <v>685</v>
      </c>
      <c r="B686" s="1" t="s">
        <v>17</v>
      </c>
      <c r="C686" s="2">
        <v>3.4</v>
      </c>
      <c r="D686" s="3">
        <v>94.7</v>
      </c>
      <c r="E686" s="2">
        <v>5.3</v>
      </c>
      <c r="F686" s="1" t="s">
        <v>24</v>
      </c>
      <c r="G686" s="1" t="s">
        <v>19</v>
      </c>
      <c r="H686" s="1" t="s">
        <v>19</v>
      </c>
      <c r="I686" s="1" t="s">
        <v>20</v>
      </c>
      <c r="J686" s="2">
        <v>70.2</v>
      </c>
      <c r="K686" s="3">
        <v>84</v>
      </c>
      <c r="L686" s="1" t="s">
        <v>28</v>
      </c>
    </row>
    <row r="687" spans="1:12" x14ac:dyDescent="0.35">
      <c r="A687">
        <v>686</v>
      </c>
      <c r="B687" s="1" t="s">
        <v>23</v>
      </c>
      <c r="C687" s="2">
        <v>4.2</v>
      </c>
      <c r="D687" s="3">
        <v>97.4</v>
      </c>
      <c r="E687" s="2">
        <v>8.8000000000000007</v>
      </c>
      <c r="F687" s="1" t="s">
        <v>18</v>
      </c>
      <c r="G687" s="1" t="s">
        <v>20</v>
      </c>
      <c r="H687" s="1" t="s">
        <v>19</v>
      </c>
      <c r="I687" s="1" t="s">
        <v>19</v>
      </c>
      <c r="J687" s="2">
        <v>76.8</v>
      </c>
      <c r="K687" s="3">
        <v>92</v>
      </c>
      <c r="L687" s="1" t="s">
        <v>21</v>
      </c>
    </row>
    <row r="688" spans="1:12" x14ac:dyDescent="0.35">
      <c r="A688">
        <v>687</v>
      </c>
      <c r="B688" s="1" t="s">
        <v>23</v>
      </c>
      <c r="C688" s="2">
        <v>3.6</v>
      </c>
      <c r="D688" s="3">
        <v>85.9</v>
      </c>
      <c r="E688" s="2">
        <v>7</v>
      </c>
      <c r="F688" s="1" t="s">
        <v>24</v>
      </c>
      <c r="G688" s="1" t="s">
        <v>19</v>
      </c>
      <c r="H688" s="1" t="s">
        <v>20</v>
      </c>
      <c r="I688" s="1" t="s">
        <v>20</v>
      </c>
      <c r="J688" s="2">
        <v>62.9</v>
      </c>
      <c r="K688" s="3">
        <v>92</v>
      </c>
      <c r="L688" s="1" t="s">
        <v>21</v>
      </c>
    </row>
    <row r="689" spans="1:12" x14ac:dyDescent="0.35">
      <c r="A689">
        <v>688</v>
      </c>
      <c r="B689" s="1" t="s">
        <v>17</v>
      </c>
      <c r="C689" s="2">
        <v>1.6</v>
      </c>
      <c r="D689" s="3">
        <v>87</v>
      </c>
      <c r="E689" s="2">
        <v>8.8000000000000007</v>
      </c>
      <c r="F689" s="1" t="s">
        <v>24</v>
      </c>
      <c r="G689" s="1" t="s">
        <v>19</v>
      </c>
      <c r="H689" s="1" t="s">
        <v>20</v>
      </c>
      <c r="I689" s="1" t="s">
        <v>20</v>
      </c>
      <c r="J689" s="2">
        <v>88.7</v>
      </c>
      <c r="K689" s="3">
        <v>74</v>
      </c>
      <c r="L689" s="1" t="s">
        <v>32</v>
      </c>
    </row>
    <row r="690" spans="1:12" x14ac:dyDescent="0.35">
      <c r="A690">
        <v>689</v>
      </c>
      <c r="B690" s="1" t="s">
        <v>17</v>
      </c>
      <c r="C690" s="2">
        <v>5</v>
      </c>
      <c r="D690" s="3">
        <v>78.8</v>
      </c>
      <c r="E690" s="2">
        <v>5.9</v>
      </c>
      <c r="F690" s="1" t="s">
        <v>24</v>
      </c>
      <c r="G690" s="1" t="s">
        <v>19</v>
      </c>
      <c r="H690" s="1" t="s">
        <v>20</v>
      </c>
      <c r="I690" s="1" t="s">
        <v>20</v>
      </c>
      <c r="J690" s="2">
        <v>56.6</v>
      </c>
      <c r="K690" s="3">
        <v>82</v>
      </c>
      <c r="L690" s="1" t="s">
        <v>28</v>
      </c>
    </row>
    <row r="691" spans="1:12" x14ac:dyDescent="0.35">
      <c r="A691">
        <v>690</v>
      </c>
      <c r="B691" s="1" t="s">
        <v>23</v>
      </c>
      <c r="C691" s="2">
        <v>2.8</v>
      </c>
      <c r="D691" s="3">
        <v>81.8</v>
      </c>
      <c r="E691" s="2">
        <v>9</v>
      </c>
      <c r="F691" s="1" t="s">
        <v>24</v>
      </c>
      <c r="G691" s="1" t="s">
        <v>19</v>
      </c>
      <c r="H691" s="1" t="s">
        <v>19</v>
      </c>
      <c r="I691" s="1" t="s">
        <v>20</v>
      </c>
      <c r="J691" s="2">
        <v>49.1</v>
      </c>
      <c r="K691" s="3">
        <v>68</v>
      </c>
      <c r="L691" s="1" t="s">
        <v>30</v>
      </c>
    </row>
    <row r="692" spans="1:12" x14ac:dyDescent="0.35">
      <c r="A692">
        <v>691</v>
      </c>
      <c r="B692" s="1" t="s">
        <v>23</v>
      </c>
      <c r="C692" s="2">
        <v>1.2</v>
      </c>
      <c r="D692" s="3">
        <v>91.2</v>
      </c>
      <c r="E692" s="2">
        <v>7.7</v>
      </c>
      <c r="F692" s="1" t="s">
        <v>27</v>
      </c>
      <c r="G692" s="1" t="s">
        <v>19</v>
      </c>
      <c r="H692" s="1" t="s">
        <v>19</v>
      </c>
      <c r="I692" s="1" t="s">
        <v>19</v>
      </c>
      <c r="J692" s="2">
        <v>83.3</v>
      </c>
      <c r="K692" s="3">
        <v>71</v>
      </c>
      <c r="L692" s="1" t="s">
        <v>32</v>
      </c>
    </row>
    <row r="693" spans="1:12" x14ac:dyDescent="0.35">
      <c r="A693">
        <v>692</v>
      </c>
      <c r="B693" s="1" t="s">
        <v>23</v>
      </c>
      <c r="C693" s="2">
        <v>2.9</v>
      </c>
      <c r="D693" s="3">
        <v>97</v>
      </c>
      <c r="E693" s="2">
        <v>7.5</v>
      </c>
      <c r="F693" s="1" t="s">
        <v>24</v>
      </c>
      <c r="G693" s="1" t="s">
        <v>19</v>
      </c>
      <c r="H693" s="1" t="s">
        <v>19</v>
      </c>
      <c r="I693" s="1" t="s">
        <v>19</v>
      </c>
      <c r="J693" s="2">
        <v>42.7</v>
      </c>
      <c r="K693" s="3">
        <v>80</v>
      </c>
      <c r="L693" s="1" t="s">
        <v>32</v>
      </c>
    </row>
    <row r="694" spans="1:12" x14ac:dyDescent="0.35">
      <c r="A694">
        <v>693</v>
      </c>
      <c r="B694" s="1" t="s">
        <v>17</v>
      </c>
      <c r="C694" s="2">
        <v>5.8</v>
      </c>
      <c r="D694" s="3">
        <v>83.6</v>
      </c>
      <c r="E694" s="2">
        <v>7.1</v>
      </c>
      <c r="F694" s="1" t="s">
        <v>33</v>
      </c>
      <c r="G694" s="1" t="s">
        <v>20</v>
      </c>
      <c r="H694" s="1" t="s">
        <v>20</v>
      </c>
      <c r="I694" s="1" t="s">
        <v>20</v>
      </c>
      <c r="J694" s="2">
        <v>67.599999999999994</v>
      </c>
      <c r="K694" s="3">
        <v>92</v>
      </c>
      <c r="L694" s="1" t="s">
        <v>21</v>
      </c>
    </row>
    <row r="695" spans="1:12" x14ac:dyDescent="0.35">
      <c r="A695">
        <v>694</v>
      </c>
      <c r="B695" s="1" t="s">
        <v>23</v>
      </c>
      <c r="C695" s="2">
        <v>4.8</v>
      </c>
      <c r="D695" s="3">
        <v>80.5</v>
      </c>
      <c r="E695" s="2">
        <v>6.5</v>
      </c>
      <c r="F695" s="1" t="s">
        <v>33</v>
      </c>
      <c r="G695" s="1" t="s">
        <v>19</v>
      </c>
      <c r="H695" s="1" t="s">
        <v>20</v>
      </c>
      <c r="I695" s="1" t="s">
        <v>19</v>
      </c>
      <c r="J695" s="2">
        <v>100</v>
      </c>
      <c r="K695" s="3">
        <v>100</v>
      </c>
      <c r="L695" s="1" t="s">
        <v>21</v>
      </c>
    </row>
    <row r="696" spans="1:12" x14ac:dyDescent="0.35">
      <c r="A696">
        <v>695</v>
      </c>
      <c r="B696" s="1" t="s">
        <v>23</v>
      </c>
      <c r="C696" s="2">
        <v>3</v>
      </c>
      <c r="D696" s="3">
        <v>85</v>
      </c>
      <c r="E696" s="2">
        <v>8.1999999999999993</v>
      </c>
      <c r="F696" s="1" t="s">
        <v>18</v>
      </c>
      <c r="G696" s="1" t="s">
        <v>19</v>
      </c>
      <c r="H696" s="1" t="s">
        <v>20</v>
      </c>
      <c r="I696" s="1" t="s">
        <v>20</v>
      </c>
      <c r="J696" s="2">
        <v>69.900000000000006</v>
      </c>
      <c r="K696" s="3">
        <v>90</v>
      </c>
      <c r="L696" s="1" t="s">
        <v>28</v>
      </c>
    </row>
    <row r="697" spans="1:12" x14ac:dyDescent="0.35">
      <c r="A697">
        <v>696</v>
      </c>
      <c r="B697" s="1" t="s">
        <v>23</v>
      </c>
      <c r="C697" s="2">
        <v>3</v>
      </c>
      <c r="D697" s="3">
        <v>91</v>
      </c>
      <c r="E697" s="2">
        <v>7</v>
      </c>
      <c r="F697" s="1" t="s">
        <v>24</v>
      </c>
      <c r="G697" s="1" t="s">
        <v>19</v>
      </c>
      <c r="H697" s="1" t="s">
        <v>19</v>
      </c>
      <c r="I697" s="1" t="s">
        <v>20</v>
      </c>
      <c r="J697" s="2">
        <v>56.6</v>
      </c>
      <c r="K697" s="3">
        <v>78</v>
      </c>
      <c r="L697" s="1" t="s">
        <v>32</v>
      </c>
    </row>
    <row r="698" spans="1:12" x14ac:dyDescent="0.35">
      <c r="A698">
        <v>697</v>
      </c>
      <c r="B698" s="1" t="s">
        <v>17</v>
      </c>
      <c r="C698" s="2">
        <v>3</v>
      </c>
      <c r="D698" s="3">
        <v>70.599999999999994</v>
      </c>
      <c r="E698" s="2">
        <v>4.4000000000000004</v>
      </c>
      <c r="F698" s="1" t="s">
        <v>33</v>
      </c>
      <c r="G698" s="1" t="s">
        <v>19</v>
      </c>
      <c r="H698" s="1" t="s">
        <v>19</v>
      </c>
      <c r="I698" s="1" t="s">
        <v>20</v>
      </c>
      <c r="J698" s="2">
        <v>69.3</v>
      </c>
      <c r="K698" s="3">
        <v>73</v>
      </c>
      <c r="L698" s="1" t="s">
        <v>32</v>
      </c>
    </row>
    <row r="699" spans="1:12" x14ac:dyDescent="0.35">
      <c r="A699">
        <v>698</v>
      </c>
      <c r="B699" s="1" t="s">
        <v>23</v>
      </c>
      <c r="C699" s="2">
        <v>6.6</v>
      </c>
      <c r="D699" s="3">
        <v>62</v>
      </c>
      <c r="E699" s="2">
        <v>5.5</v>
      </c>
      <c r="F699" s="1" t="s">
        <v>18</v>
      </c>
      <c r="G699" s="1" t="s">
        <v>20</v>
      </c>
      <c r="H699" s="1" t="s">
        <v>19</v>
      </c>
      <c r="I699" s="1" t="s">
        <v>20</v>
      </c>
      <c r="J699" s="2">
        <v>69.400000000000006</v>
      </c>
      <c r="K699" s="3">
        <v>98</v>
      </c>
      <c r="L699" s="1" t="s">
        <v>21</v>
      </c>
    </row>
    <row r="700" spans="1:12" x14ac:dyDescent="0.35">
      <c r="A700">
        <v>699</v>
      </c>
      <c r="B700" s="1" t="s">
        <v>23</v>
      </c>
      <c r="C700" s="2">
        <v>4.0999999999999996</v>
      </c>
      <c r="D700" s="3">
        <v>79.5</v>
      </c>
      <c r="E700" s="2">
        <v>6.6</v>
      </c>
      <c r="F700" s="1" t="s">
        <v>33</v>
      </c>
      <c r="G700" s="1" t="s">
        <v>19</v>
      </c>
      <c r="H700" s="1" t="s">
        <v>19</v>
      </c>
      <c r="I700" s="1" t="s">
        <v>20</v>
      </c>
      <c r="J700" s="2">
        <v>71.900000000000006</v>
      </c>
      <c r="K700" s="3">
        <v>86</v>
      </c>
      <c r="L700" s="1" t="s">
        <v>28</v>
      </c>
    </row>
    <row r="701" spans="1:12" x14ac:dyDescent="0.35">
      <c r="A701">
        <v>700</v>
      </c>
      <c r="B701" s="1" t="s">
        <v>17</v>
      </c>
      <c r="C701" s="2">
        <v>4.0999999999999996</v>
      </c>
      <c r="D701" s="3">
        <v>72.8</v>
      </c>
      <c r="E701" s="2">
        <v>7.2</v>
      </c>
      <c r="F701" s="1" t="s">
        <v>33</v>
      </c>
      <c r="G701" s="1" t="s">
        <v>19</v>
      </c>
      <c r="H701" s="1" t="s">
        <v>19</v>
      </c>
      <c r="I701" s="1" t="s">
        <v>20</v>
      </c>
      <c r="J701" s="2">
        <v>77.900000000000006</v>
      </c>
      <c r="K701" s="3">
        <v>92</v>
      </c>
      <c r="L701" s="1" t="s">
        <v>21</v>
      </c>
    </row>
    <row r="702" spans="1:12" x14ac:dyDescent="0.35">
      <c r="A702">
        <v>701</v>
      </c>
      <c r="B702" s="1" t="s">
        <v>23</v>
      </c>
      <c r="C702" s="2">
        <v>5</v>
      </c>
      <c r="D702" s="3">
        <v>79.900000000000006</v>
      </c>
      <c r="E702" s="2">
        <v>6.7</v>
      </c>
      <c r="F702" s="1" t="s">
        <v>27</v>
      </c>
      <c r="G702" s="1" t="s">
        <v>19</v>
      </c>
      <c r="H702" s="1" t="s">
        <v>20</v>
      </c>
      <c r="I702" s="1" t="s">
        <v>20</v>
      </c>
      <c r="J702" s="2">
        <v>57.5</v>
      </c>
      <c r="K702" s="3">
        <v>85</v>
      </c>
      <c r="L702" s="1" t="s">
        <v>28</v>
      </c>
    </row>
    <row r="703" spans="1:12" x14ac:dyDescent="0.35">
      <c r="A703">
        <v>702</v>
      </c>
      <c r="B703" s="1" t="s">
        <v>23</v>
      </c>
      <c r="C703" s="2">
        <v>3.9</v>
      </c>
      <c r="D703" s="3">
        <v>83.5</v>
      </c>
      <c r="E703" s="2">
        <v>8.3000000000000007</v>
      </c>
      <c r="F703" s="1" t="s">
        <v>18</v>
      </c>
      <c r="G703" s="1" t="s">
        <v>19</v>
      </c>
      <c r="H703" s="1" t="s">
        <v>19</v>
      </c>
      <c r="I703" s="1" t="s">
        <v>19</v>
      </c>
      <c r="J703" s="2">
        <v>90.3</v>
      </c>
      <c r="K703" s="3">
        <v>83</v>
      </c>
      <c r="L703" s="1" t="s">
        <v>28</v>
      </c>
    </row>
    <row r="704" spans="1:12" x14ac:dyDescent="0.35">
      <c r="A704">
        <v>703</v>
      </c>
      <c r="B704" s="1" t="s">
        <v>17</v>
      </c>
      <c r="C704" s="2">
        <v>3.1</v>
      </c>
      <c r="D704" s="3">
        <v>80.5</v>
      </c>
      <c r="E704" s="2">
        <v>4.5</v>
      </c>
      <c r="F704" s="1" t="s">
        <v>24</v>
      </c>
      <c r="G704" s="1" t="s">
        <v>19</v>
      </c>
      <c r="H704" s="1" t="s">
        <v>19</v>
      </c>
      <c r="I704" s="1" t="s">
        <v>19</v>
      </c>
      <c r="J704" s="2">
        <v>72.900000000000006</v>
      </c>
      <c r="K704" s="3">
        <v>65</v>
      </c>
      <c r="L704" s="1" t="s">
        <v>30</v>
      </c>
    </row>
    <row r="705" spans="1:12" x14ac:dyDescent="0.35">
      <c r="A705">
        <v>704</v>
      </c>
      <c r="B705" s="1" t="s">
        <v>23</v>
      </c>
      <c r="C705" s="2">
        <v>3.2</v>
      </c>
      <c r="D705" s="3">
        <v>99.5</v>
      </c>
      <c r="E705" s="2">
        <v>7</v>
      </c>
      <c r="F705" s="1" t="s">
        <v>18</v>
      </c>
      <c r="G705" s="1" t="s">
        <v>19</v>
      </c>
      <c r="H705" s="1" t="s">
        <v>19</v>
      </c>
      <c r="I705" s="1" t="s">
        <v>20</v>
      </c>
      <c r="J705" s="2">
        <v>78.7</v>
      </c>
      <c r="K705" s="3">
        <v>90</v>
      </c>
      <c r="L705" s="1" t="s">
        <v>28</v>
      </c>
    </row>
    <row r="706" spans="1:12" x14ac:dyDescent="0.35">
      <c r="A706">
        <v>705</v>
      </c>
      <c r="B706" s="1" t="s">
        <v>17</v>
      </c>
      <c r="C706" s="2">
        <v>3.4</v>
      </c>
      <c r="D706" s="3">
        <v>88.3</v>
      </c>
      <c r="E706" s="2">
        <v>4.5999999999999996</v>
      </c>
      <c r="F706" s="1" t="s">
        <v>24</v>
      </c>
      <c r="G706" s="1" t="s">
        <v>19</v>
      </c>
      <c r="H706" s="1" t="s">
        <v>20</v>
      </c>
      <c r="I706" s="1" t="s">
        <v>19</v>
      </c>
      <c r="J706" s="2">
        <v>62.5</v>
      </c>
      <c r="K706" s="3">
        <v>83</v>
      </c>
      <c r="L706" s="1" t="s">
        <v>28</v>
      </c>
    </row>
    <row r="707" spans="1:12" x14ac:dyDescent="0.35">
      <c r="A707">
        <v>706</v>
      </c>
      <c r="B707" s="1" t="s">
        <v>17</v>
      </c>
      <c r="C707" s="2">
        <v>3.4</v>
      </c>
      <c r="D707" s="3">
        <v>88</v>
      </c>
      <c r="E707" s="2">
        <v>7.7</v>
      </c>
      <c r="F707" s="1" t="s">
        <v>34</v>
      </c>
      <c r="G707" s="1" t="s">
        <v>19</v>
      </c>
      <c r="H707" s="1" t="s">
        <v>20</v>
      </c>
      <c r="I707" s="1" t="s">
        <v>19</v>
      </c>
      <c r="J707" s="2">
        <v>85.4</v>
      </c>
      <c r="K707" s="3">
        <v>94</v>
      </c>
      <c r="L707" s="1" t="s">
        <v>21</v>
      </c>
    </row>
    <row r="708" spans="1:12" x14ac:dyDescent="0.35">
      <c r="A708">
        <v>707</v>
      </c>
      <c r="B708" s="1" t="s">
        <v>23</v>
      </c>
      <c r="C708" s="2">
        <v>4.5999999999999996</v>
      </c>
      <c r="D708" s="3">
        <v>91.2</v>
      </c>
      <c r="E708" s="2">
        <v>6.7</v>
      </c>
      <c r="F708" s="1" t="s">
        <v>24</v>
      </c>
      <c r="G708" s="1" t="s">
        <v>19</v>
      </c>
      <c r="H708" s="1" t="s">
        <v>20</v>
      </c>
      <c r="I708" s="1" t="s">
        <v>19</v>
      </c>
      <c r="J708" s="2">
        <v>66.900000000000006</v>
      </c>
      <c r="K708" s="3">
        <v>93</v>
      </c>
      <c r="L708" s="1" t="s">
        <v>21</v>
      </c>
    </row>
    <row r="709" spans="1:12" x14ac:dyDescent="0.35">
      <c r="A709">
        <v>708</v>
      </c>
      <c r="B709" s="1" t="s">
        <v>23</v>
      </c>
      <c r="C709" s="2">
        <v>3.6</v>
      </c>
      <c r="D709" s="3">
        <v>73.599999999999994</v>
      </c>
      <c r="E709" s="2">
        <v>7.3</v>
      </c>
      <c r="F709" s="1" t="s">
        <v>24</v>
      </c>
      <c r="G709" s="1" t="s">
        <v>19</v>
      </c>
      <c r="H709" s="1" t="s">
        <v>20</v>
      </c>
      <c r="I709" s="1" t="s">
        <v>20</v>
      </c>
      <c r="J709" s="2">
        <v>73.3</v>
      </c>
      <c r="K709" s="3">
        <v>77</v>
      </c>
      <c r="L709" s="1" t="s">
        <v>32</v>
      </c>
    </row>
    <row r="710" spans="1:12" x14ac:dyDescent="0.35">
      <c r="A710">
        <v>709</v>
      </c>
      <c r="B710" s="1" t="s">
        <v>23</v>
      </c>
      <c r="C710" s="2">
        <v>4.5999999999999996</v>
      </c>
      <c r="D710" s="3">
        <v>95.4</v>
      </c>
      <c r="E710" s="2">
        <v>5.8</v>
      </c>
      <c r="F710" s="1" t="s">
        <v>33</v>
      </c>
      <c r="G710" s="1" t="s">
        <v>19</v>
      </c>
      <c r="H710" s="1" t="s">
        <v>19</v>
      </c>
      <c r="I710" s="1" t="s">
        <v>20</v>
      </c>
      <c r="J710" s="2">
        <v>58.8</v>
      </c>
      <c r="K710" s="3">
        <v>98</v>
      </c>
      <c r="L710" s="1" t="s">
        <v>21</v>
      </c>
    </row>
    <row r="711" spans="1:12" x14ac:dyDescent="0.35">
      <c r="A711">
        <v>710</v>
      </c>
      <c r="B711" s="1" t="s">
        <v>23</v>
      </c>
      <c r="C711" s="2">
        <v>3.4</v>
      </c>
      <c r="D711" s="3">
        <v>84.2</v>
      </c>
      <c r="E711" s="2">
        <v>8.3000000000000007</v>
      </c>
      <c r="F711" s="1" t="s">
        <v>18</v>
      </c>
      <c r="G711" s="1" t="s">
        <v>19</v>
      </c>
      <c r="H711" s="1" t="s">
        <v>20</v>
      </c>
      <c r="I711" s="1" t="s">
        <v>19</v>
      </c>
      <c r="J711" s="2">
        <v>58</v>
      </c>
      <c r="K711" s="3">
        <v>72</v>
      </c>
      <c r="L711" s="1" t="s">
        <v>32</v>
      </c>
    </row>
    <row r="712" spans="1:12" x14ac:dyDescent="0.35">
      <c r="A712">
        <v>711</v>
      </c>
      <c r="B712" s="1" t="s">
        <v>17</v>
      </c>
      <c r="C712" s="2">
        <v>3.6</v>
      </c>
      <c r="D712" s="3">
        <v>91.7</v>
      </c>
      <c r="E712" s="2">
        <v>8.1</v>
      </c>
      <c r="F712" s="1" t="s">
        <v>18</v>
      </c>
      <c r="G712" s="1" t="s">
        <v>19</v>
      </c>
      <c r="H712" s="1" t="s">
        <v>19</v>
      </c>
      <c r="I712" s="1" t="s">
        <v>20</v>
      </c>
      <c r="J712" s="2">
        <v>78.3</v>
      </c>
      <c r="K712" s="3">
        <v>95</v>
      </c>
      <c r="L712" s="1" t="s">
        <v>21</v>
      </c>
    </row>
    <row r="713" spans="1:12" x14ac:dyDescent="0.35">
      <c r="A713">
        <v>712</v>
      </c>
      <c r="B713" s="1" t="s">
        <v>23</v>
      </c>
      <c r="C713" s="2">
        <v>0.5</v>
      </c>
      <c r="D713" s="3">
        <v>74.3</v>
      </c>
      <c r="E713" s="2">
        <v>7.5</v>
      </c>
      <c r="F713" s="1" t="s">
        <v>18</v>
      </c>
      <c r="G713" s="1" t="s">
        <v>19</v>
      </c>
      <c r="H713" s="1" t="s">
        <v>19</v>
      </c>
      <c r="I713" s="1" t="s">
        <v>20</v>
      </c>
      <c r="J713" s="2">
        <v>64.7</v>
      </c>
      <c r="K713" s="3">
        <v>67</v>
      </c>
      <c r="L713" s="1" t="s">
        <v>30</v>
      </c>
    </row>
    <row r="714" spans="1:12" x14ac:dyDescent="0.35">
      <c r="A714">
        <v>713</v>
      </c>
      <c r="B714" s="1" t="s">
        <v>17</v>
      </c>
      <c r="C714" s="2">
        <v>4.9000000000000004</v>
      </c>
      <c r="D714" s="3">
        <v>69.5</v>
      </c>
      <c r="E714" s="2">
        <v>6.6</v>
      </c>
      <c r="F714" s="1" t="s">
        <v>34</v>
      </c>
      <c r="G714" s="1" t="s">
        <v>20</v>
      </c>
      <c r="H714" s="1" t="s">
        <v>20</v>
      </c>
      <c r="I714" s="1" t="s">
        <v>19</v>
      </c>
      <c r="J714" s="2">
        <v>59.8</v>
      </c>
      <c r="K714" s="3">
        <v>72</v>
      </c>
      <c r="L714" s="1" t="s">
        <v>32</v>
      </c>
    </row>
    <row r="715" spans="1:12" x14ac:dyDescent="0.35">
      <c r="A715">
        <v>714</v>
      </c>
      <c r="B715" s="1" t="s">
        <v>23</v>
      </c>
      <c r="C715" s="2">
        <v>4</v>
      </c>
      <c r="D715" s="3">
        <v>93.2</v>
      </c>
      <c r="E715" s="2">
        <v>7.5</v>
      </c>
      <c r="F715" s="1" t="s">
        <v>24</v>
      </c>
      <c r="G715" s="1" t="s">
        <v>19</v>
      </c>
      <c r="H715" s="1" t="s">
        <v>20</v>
      </c>
      <c r="I715" s="1" t="s">
        <v>20</v>
      </c>
      <c r="J715" s="2">
        <v>62.3</v>
      </c>
      <c r="K715" s="3">
        <v>96</v>
      </c>
      <c r="L715" s="1" t="s">
        <v>21</v>
      </c>
    </row>
    <row r="716" spans="1:12" x14ac:dyDescent="0.35">
      <c r="A716">
        <v>715</v>
      </c>
      <c r="B716" s="1" t="s">
        <v>23</v>
      </c>
      <c r="C716" s="2">
        <v>5</v>
      </c>
      <c r="D716" s="3">
        <v>88.8</v>
      </c>
      <c r="E716" s="2">
        <v>6</v>
      </c>
      <c r="F716" s="1" t="s">
        <v>34</v>
      </c>
      <c r="G716" s="1" t="s">
        <v>19</v>
      </c>
      <c r="H716" s="1" t="s">
        <v>19</v>
      </c>
      <c r="I716" s="1" t="s">
        <v>20</v>
      </c>
      <c r="J716" s="2">
        <v>78.400000000000006</v>
      </c>
      <c r="K716" s="3">
        <v>92</v>
      </c>
      <c r="L716" s="1" t="s">
        <v>21</v>
      </c>
    </row>
    <row r="717" spans="1:12" x14ac:dyDescent="0.35">
      <c r="A717">
        <v>716</v>
      </c>
      <c r="B717" s="1" t="s">
        <v>23</v>
      </c>
      <c r="C717" s="2">
        <v>0.5</v>
      </c>
      <c r="D717" s="3">
        <v>76</v>
      </c>
      <c r="E717" s="2">
        <v>7.8</v>
      </c>
      <c r="F717" s="1" t="s">
        <v>24</v>
      </c>
      <c r="G717" s="1" t="s">
        <v>20</v>
      </c>
      <c r="H717" s="1" t="s">
        <v>19</v>
      </c>
      <c r="I717" s="1" t="s">
        <v>20</v>
      </c>
      <c r="J717" s="2">
        <v>62.5</v>
      </c>
      <c r="K717" s="3">
        <v>54</v>
      </c>
      <c r="L717" s="1" t="s">
        <v>35</v>
      </c>
    </row>
    <row r="718" spans="1:12" x14ac:dyDescent="0.35">
      <c r="A718">
        <v>717</v>
      </c>
      <c r="B718" s="1" t="s">
        <v>17</v>
      </c>
      <c r="C718" s="2">
        <v>6.6</v>
      </c>
      <c r="D718" s="3">
        <v>76.3</v>
      </c>
      <c r="E718" s="2">
        <v>8.8000000000000007</v>
      </c>
      <c r="F718" s="1" t="s">
        <v>33</v>
      </c>
      <c r="G718" s="1" t="s">
        <v>19</v>
      </c>
      <c r="H718" s="1" t="s">
        <v>19</v>
      </c>
      <c r="I718" s="1" t="s">
        <v>20</v>
      </c>
      <c r="J718" s="2">
        <v>68.599999999999994</v>
      </c>
      <c r="K718" s="3">
        <v>99</v>
      </c>
      <c r="L718" s="1" t="s">
        <v>21</v>
      </c>
    </row>
    <row r="719" spans="1:12" x14ac:dyDescent="0.35">
      <c r="A719">
        <v>718</v>
      </c>
      <c r="B719" s="1" t="s">
        <v>23</v>
      </c>
      <c r="C719" s="2">
        <v>3.3</v>
      </c>
      <c r="D719" s="3">
        <v>96.3</v>
      </c>
      <c r="E719" s="2">
        <v>8.1</v>
      </c>
      <c r="F719" s="1" t="s">
        <v>33</v>
      </c>
      <c r="G719" s="1" t="s">
        <v>19</v>
      </c>
      <c r="H719" s="1" t="s">
        <v>19</v>
      </c>
      <c r="I719" s="1" t="s">
        <v>19</v>
      </c>
      <c r="J719" s="2">
        <v>70.2</v>
      </c>
      <c r="K719" s="3">
        <v>85</v>
      </c>
      <c r="L719" s="1" t="s">
        <v>28</v>
      </c>
    </row>
    <row r="720" spans="1:12" x14ac:dyDescent="0.35">
      <c r="A720">
        <v>719</v>
      </c>
      <c r="B720" s="1" t="s">
        <v>23</v>
      </c>
      <c r="C720" s="2">
        <v>5.2</v>
      </c>
      <c r="D720" s="3">
        <v>73.099999999999994</v>
      </c>
      <c r="E720" s="2">
        <v>5.9</v>
      </c>
      <c r="F720" s="1" t="s">
        <v>24</v>
      </c>
      <c r="G720" s="1" t="s">
        <v>19</v>
      </c>
      <c r="H720" s="1" t="s">
        <v>19</v>
      </c>
      <c r="I720" s="1" t="s">
        <v>20</v>
      </c>
      <c r="J720" s="2">
        <v>47</v>
      </c>
      <c r="K720" s="3">
        <v>99</v>
      </c>
      <c r="L720" s="1" t="s">
        <v>21</v>
      </c>
    </row>
    <row r="721" spans="1:12" x14ac:dyDescent="0.35">
      <c r="A721">
        <v>720</v>
      </c>
      <c r="B721" s="1" t="s">
        <v>23</v>
      </c>
      <c r="C721" s="2">
        <v>1.9</v>
      </c>
      <c r="D721" s="3">
        <v>100</v>
      </c>
      <c r="E721" s="2">
        <v>7.2</v>
      </c>
      <c r="F721" s="1" t="s">
        <v>18</v>
      </c>
      <c r="G721" s="1" t="s">
        <v>19</v>
      </c>
      <c r="H721" s="1" t="s">
        <v>19</v>
      </c>
      <c r="I721" s="1" t="s">
        <v>19</v>
      </c>
      <c r="J721" s="2">
        <v>52.3</v>
      </c>
      <c r="K721" s="3">
        <v>78</v>
      </c>
      <c r="L721" s="1" t="s">
        <v>32</v>
      </c>
    </row>
    <row r="722" spans="1:12" x14ac:dyDescent="0.35">
      <c r="A722">
        <v>721</v>
      </c>
      <c r="B722" s="1" t="s">
        <v>23</v>
      </c>
      <c r="C722" s="2">
        <v>4.4000000000000004</v>
      </c>
      <c r="D722" s="3">
        <v>76</v>
      </c>
      <c r="E722" s="2">
        <v>5.2</v>
      </c>
      <c r="F722" s="1" t="s">
        <v>24</v>
      </c>
      <c r="G722" s="1" t="s">
        <v>19</v>
      </c>
      <c r="H722" s="1" t="s">
        <v>19</v>
      </c>
      <c r="I722" s="1" t="s">
        <v>20</v>
      </c>
      <c r="J722" s="2">
        <v>74</v>
      </c>
      <c r="K722" s="3">
        <v>84</v>
      </c>
      <c r="L722" s="1" t="s">
        <v>28</v>
      </c>
    </row>
    <row r="723" spans="1:12" x14ac:dyDescent="0.35">
      <c r="A723">
        <v>722</v>
      </c>
      <c r="B723" s="1" t="s">
        <v>17</v>
      </c>
      <c r="C723" s="2">
        <v>1.9</v>
      </c>
      <c r="D723" s="3">
        <v>91.4</v>
      </c>
      <c r="E723" s="2">
        <v>7.5</v>
      </c>
      <c r="F723" s="1" t="s">
        <v>33</v>
      </c>
      <c r="G723" s="1" t="s">
        <v>19</v>
      </c>
      <c r="H723" s="1" t="s">
        <v>20</v>
      </c>
      <c r="I723" s="1" t="s">
        <v>20</v>
      </c>
      <c r="J723" s="2">
        <v>61.2</v>
      </c>
      <c r="K723" s="3">
        <v>71</v>
      </c>
      <c r="L723" s="1" t="s">
        <v>32</v>
      </c>
    </row>
    <row r="724" spans="1:12" x14ac:dyDescent="0.35">
      <c r="A724">
        <v>723</v>
      </c>
      <c r="B724" s="1" t="s">
        <v>23</v>
      </c>
      <c r="C724" s="2">
        <v>2.6</v>
      </c>
      <c r="D724" s="3">
        <v>81.7</v>
      </c>
      <c r="E724" s="2">
        <v>7.3</v>
      </c>
      <c r="F724" s="1" t="s">
        <v>18</v>
      </c>
      <c r="G724" s="1" t="s">
        <v>20</v>
      </c>
      <c r="H724" s="1" t="s">
        <v>19</v>
      </c>
      <c r="I724" s="1" t="s">
        <v>20</v>
      </c>
      <c r="J724" s="2">
        <v>82.7</v>
      </c>
      <c r="K724" s="3">
        <v>70</v>
      </c>
      <c r="L724" s="1" t="s">
        <v>30</v>
      </c>
    </row>
    <row r="725" spans="1:12" x14ac:dyDescent="0.35">
      <c r="A725">
        <v>724</v>
      </c>
      <c r="B725" s="1" t="s">
        <v>17</v>
      </c>
      <c r="C725" s="2">
        <v>6.4</v>
      </c>
      <c r="D725" s="3">
        <v>91</v>
      </c>
      <c r="E725" s="2">
        <v>4.5999999999999996</v>
      </c>
      <c r="F725" s="1" t="s">
        <v>18</v>
      </c>
      <c r="G725" s="1" t="s">
        <v>19</v>
      </c>
      <c r="H725" s="1" t="s">
        <v>19</v>
      </c>
      <c r="I725" s="1" t="s">
        <v>19</v>
      </c>
      <c r="J725" s="2">
        <v>81.599999999999994</v>
      </c>
      <c r="K725" s="3">
        <v>94</v>
      </c>
      <c r="L725" s="1" t="s">
        <v>21</v>
      </c>
    </row>
    <row r="726" spans="1:12" x14ac:dyDescent="0.35">
      <c r="A726">
        <v>725</v>
      </c>
      <c r="B726" s="1" t="s">
        <v>17</v>
      </c>
      <c r="C726" s="2">
        <v>3.2</v>
      </c>
      <c r="D726" s="3">
        <v>79.599999999999994</v>
      </c>
      <c r="E726" s="2">
        <v>5.4</v>
      </c>
      <c r="F726" s="1" t="s">
        <v>24</v>
      </c>
      <c r="G726" s="1" t="s">
        <v>19</v>
      </c>
      <c r="H726" s="1" t="s">
        <v>19</v>
      </c>
      <c r="I726" s="1" t="s">
        <v>20</v>
      </c>
      <c r="J726" s="2">
        <v>78.599999999999994</v>
      </c>
      <c r="K726" s="3">
        <v>85</v>
      </c>
      <c r="L726" s="1" t="s">
        <v>28</v>
      </c>
    </row>
    <row r="727" spans="1:12" x14ac:dyDescent="0.35">
      <c r="A727">
        <v>726</v>
      </c>
      <c r="B727" s="1" t="s">
        <v>17</v>
      </c>
      <c r="C727" s="2">
        <v>3.8</v>
      </c>
      <c r="D727" s="3">
        <v>83.4</v>
      </c>
      <c r="E727" s="2">
        <v>6.5</v>
      </c>
      <c r="F727" s="1" t="s">
        <v>24</v>
      </c>
      <c r="G727" s="1" t="s">
        <v>19</v>
      </c>
      <c r="H727" s="1" t="s">
        <v>20</v>
      </c>
      <c r="I727" s="1" t="s">
        <v>20</v>
      </c>
      <c r="J727" s="2">
        <v>91.8</v>
      </c>
      <c r="K727" s="3">
        <v>100</v>
      </c>
      <c r="L727" s="1" t="s">
        <v>21</v>
      </c>
    </row>
    <row r="728" spans="1:12" x14ac:dyDescent="0.35">
      <c r="A728">
        <v>727</v>
      </c>
      <c r="B728" s="1" t="s">
        <v>17</v>
      </c>
      <c r="C728" s="2">
        <v>4.8</v>
      </c>
      <c r="D728" s="3">
        <v>85.4</v>
      </c>
      <c r="E728" s="2">
        <v>6.4</v>
      </c>
      <c r="F728" s="1" t="s">
        <v>24</v>
      </c>
      <c r="G728" s="1" t="s">
        <v>19</v>
      </c>
      <c r="H728" s="1" t="s">
        <v>19</v>
      </c>
      <c r="I728" s="1" t="s">
        <v>20</v>
      </c>
      <c r="J728" s="2">
        <v>69</v>
      </c>
      <c r="K728" s="3">
        <v>98</v>
      </c>
      <c r="L728" s="1" t="s">
        <v>21</v>
      </c>
    </row>
    <row r="729" spans="1:12" x14ac:dyDescent="0.35">
      <c r="A729">
        <v>728</v>
      </c>
      <c r="B729" s="1" t="s">
        <v>17</v>
      </c>
      <c r="C729" s="2">
        <v>4.2</v>
      </c>
      <c r="D729" s="3">
        <v>75</v>
      </c>
      <c r="E729" s="2">
        <v>5.3</v>
      </c>
      <c r="F729" s="1" t="s">
        <v>24</v>
      </c>
      <c r="G729" s="1" t="s">
        <v>19</v>
      </c>
      <c r="H729" s="1" t="s">
        <v>19</v>
      </c>
      <c r="I729" s="1" t="s">
        <v>20</v>
      </c>
      <c r="J729" s="2">
        <v>77.8</v>
      </c>
      <c r="K729" s="3">
        <v>88</v>
      </c>
      <c r="L729" s="1" t="s">
        <v>28</v>
      </c>
    </row>
    <row r="730" spans="1:12" x14ac:dyDescent="0.35">
      <c r="A730">
        <v>729</v>
      </c>
      <c r="B730" s="1" t="s">
        <v>17</v>
      </c>
      <c r="C730" s="2">
        <v>3.7</v>
      </c>
      <c r="D730" s="3">
        <v>92.4</v>
      </c>
      <c r="E730" s="2">
        <v>7.3</v>
      </c>
      <c r="F730" s="1" t="s">
        <v>18</v>
      </c>
      <c r="G730" s="1" t="s">
        <v>19</v>
      </c>
      <c r="H730" s="1" t="s">
        <v>19</v>
      </c>
      <c r="I730" s="1" t="s">
        <v>20</v>
      </c>
      <c r="J730" s="2">
        <v>63</v>
      </c>
      <c r="K730" s="3">
        <v>85</v>
      </c>
      <c r="L730" s="1" t="s">
        <v>28</v>
      </c>
    </row>
    <row r="731" spans="1:12" x14ac:dyDescent="0.35">
      <c r="A731">
        <v>730</v>
      </c>
      <c r="B731" s="1" t="s">
        <v>23</v>
      </c>
      <c r="C731" s="2">
        <v>4</v>
      </c>
      <c r="D731" s="3">
        <v>79.900000000000006</v>
      </c>
      <c r="E731" s="2">
        <v>7.1</v>
      </c>
      <c r="F731" s="1" t="s">
        <v>34</v>
      </c>
      <c r="G731" s="1" t="s">
        <v>19</v>
      </c>
      <c r="H731" s="1" t="s">
        <v>20</v>
      </c>
      <c r="I731" s="1" t="s">
        <v>20</v>
      </c>
      <c r="J731" s="2">
        <v>99.4</v>
      </c>
      <c r="K731" s="3">
        <v>99</v>
      </c>
      <c r="L731" s="1" t="s">
        <v>21</v>
      </c>
    </row>
    <row r="732" spans="1:12" x14ac:dyDescent="0.35">
      <c r="A732">
        <v>731</v>
      </c>
      <c r="B732" s="1" t="s">
        <v>17</v>
      </c>
      <c r="C732" s="2">
        <v>7.1</v>
      </c>
      <c r="D732" s="3">
        <v>82.7</v>
      </c>
      <c r="E732" s="2">
        <v>6.6</v>
      </c>
      <c r="F732" s="1" t="s">
        <v>33</v>
      </c>
      <c r="G732" s="1" t="s">
        <v>19</v>
      </c>
      <c r="H732" s="1" t="s">
        <v>20</v>
      </c>
      <c r="I732" s="1" t="s">
        <v>20</v>
      </c>
      <c r="J732" s="2">
        <v>93.8</v>
      </c>
      <c r="K732" s="3">
        <v>100</v>
      </c>
      <c r="L732" s="1" t="s">
        <v>21</v>
      </c>
    </row>
    <row r="733" spans="1:12" x14ac:dyDescent="0.35">
      <c r="A733">
        <v>732</v>
      </c>
      <c r="B733" s="1" t="s">
        <v>17</v>
      </c>
      <c r="C733" s="2">
        <v>3.4</v>
      </c>
      <c r="D733" s="3">
        <v>75.099999999999994</v>
      </c>
      <c r="E733" s="2">
        <v>5.9</v>
      </c>
      <c r="F733" s="1" t="s">
        <v>18</v>
      </c>
      <c r="G733" s="1" t="s">
        <v>20</v>
      </c>
      <c r="H733" s="1" t="s">
        <v>20</v>
      </c>
      <c r="I733" s="1" t="s">
        <v>20</v>
      </c>
      <c r="J733" s="2">
        <v>70.099999999999994</v>
      </c>
      <c r="K733" s="3">
        <v>85</v>
      </c>
      <c r="L733" s="1" t="s">
        <v>28</v>
      </c>
    </row>
    <row r="734" spans="1:12" x14ac:dyDescent="0.35">
      <c r="A734">
        <v>733</v>
      </c>
      <c r="B734" s="1" t="s">
        <v>17</v>
      </c>
      <c r="C734" s="2">
        <v>3.8</v>
      </c>
      <c r="D734" s="3">
        <v>59.4</v>
      </c>
      <c r="E734" s="2">
        <v>8.1</v>
      </c>
      <c r="F734" s="1" t="s">
        <v>27</v>
      </c>
      <c r="G734" s="1" t="s">
        <v>20</v>
      </c>
      <c r="H734" s="1" t="s">
        <v>20</v>
      </c>
      <c r="I734" s="1" t="s">
        <v>20</v>
      </c>
      <c r="J734" s="2">
        <v>74.599999999999994</v>
      </c>
      <c r="K734" s="3">
        <v>74</v>
      </c>
      <c r="L734" s="1" t="s">
        <v>32</v>
      </c>
    </row>
    <row r="735" spans="1:12" x14ac:dyDescent="0.35">
      <c r="A735">
        <v>734</v>
      </c>
      <c r="B735" s="1" t="s">
        <v>23</v>
      </c>
      <c r="C735" s="2">
        <v>5.0999999999999996</v>
      </c>
      <c r="D735" s="3">
        <v>83.1</v>
      </c>
      <c r="E735" s="2">
        <v>8.8000000000000007</v>
      </c>
      <c r="F735" s="1" t="s">
        <v>33</v>
      </c>
      <c r="G735" s="1" t="s">
        <v>19</v>
      </c>
      <c r="H735" s="1" t="s">
        <v>20</v>
      </c>
      <c r="I735" s="1" t="s">
        <v>20</v>
      </c>
      <c r="J735" s="2">
        <v>86.3</v>
      </c>
      <c r="K735" s="3">
        <v>100</v>
      </c>
      <c r="L735" s="1" t="s">
        <v>21</v>
      </c>
    </row>
    <row r="736" spans="1:12" x14ac:dyDescent="0.35">
      <c r="A736">
        <v>735</v>
      </c>
      <c r="B736" s="1" t="s">
        <v>23</v>
      </c>
      <c r="C736" s="2">
        <v>5.2</v>
      </c>
      <c r="D736" s="3">
        <v>100</v>
      </c>
      <c r="E736" s="2">
        <v>6.2</v>
      </c>
      <c r="F736" s="1" t="s">
        <v>27</v>
      </c>
      <c r="G736" s="1" t="s">
        <v>19</v>
      </c>
      <c r="H736" s="1" t="s">
        <v>20</v>
      </c>
      <c r="I736" s="1" t="s">
        <v>19</v>
      </c>
      <c r="J736" s="2">
        <v>68.2</v>
      </c>
      <c r="K736" s="3">
        <v>80</v>
      </c>
      <c r="L736" s="1" t="s">
        <v>32</v>
      </c>
    </row>
    <row r="737" spans="1:12" x14ac:dyDescent="0.35">
      <c r="A737">
        <v>736</v>
      </c>
      <c r="B737" s="1" t="s">
        <v>17</v>
      </c>
      <c r="C737" s="2">
        <v>5.3</v>
      </c>
      <c r="D737" s="3">
        <v>92.8</v>
      </c>
      <c r="E737" s="2">
        <v>6.1</v>
      </c>
      <c r="F737" s="1" t="s">
        <v>18</v>
      </c>
      <c r="G737" s="1" t="s">
        <v>19</v>
      </c>
      <c r="H737" s="1" t="s">
        <v>19</v>
      </c>
      <c r="I737" s="1" t="s">
        <v>20</v>
      </c>
      <c r="J737" s="2">
        <v>62.1</v>
      </c>
      <c r="K737" s="3">
        <v>91</v>
      </c>
      <c r="L737" s="1" t="s">
        <v>21</v>
      </c>
    </row>
    <row r="738" spans="1:12" x14ac:dyDescent="0.35">
      <c r="A738">
        <v>737</v>
      </c>
      <c r="B738" s="1" t="s">
        <v>23</v>
      </c>
      <c r="C738" s="2">
        <v>4.5</v>
      </c>
      <c r="D738" s="3">
        <v>84.8</v>
      </c>
      <c r="E738" s="2">
        <v>7.4</v>
      </c>
      <c r="F738" s="1" t="s">
        <v>24</v>
      </c>
      <c r="G738" s="1" t="s">
        <v>20</v>
      </c>
      <c r="H738" s="1" t="s">
        <v>19</v>
      </c>
      <c r="I738" s="1" t="s">
        <v>20</v>
      </c>
      <c r="J738" s="2">
        <v>80.5</v>
      </c>
      <c r="K738" s="3">
        <v>95</v>
      </c>
      <c r="L738" s="1" t="s">
        <v>21</v>
      </c>
    </row>
    <row r="739" spans="1:12" x14ac:dyDescent="0.35">
      <c r="A739">
        <v>738</v>
      </c>
      <c r="B739" s="1" t="s">
        <v>17</v>
      </c>
      <c r="C739" s="2">
        <v>1.8</v>
      </c>
      <c r="D739" s="3">
        <v>82.4</v>
      </c>
      <c r="E739" s="2">
        <v>6.4</v>
      </c>
      <c r="F739" s="1" t="s">
        <v>24</v>
      </c>
      <c r="G739" s="1" t="s">
        <v>19</v>
      </c>
      <c r="H739" s="1" t="s">
        <v>20</v>
      </c>
      <c r="I739" s="1" t="s">
        <v>19</v>
      </c>
      <c r="J739" s="2">
        <v>70.900000000000006</v>
      </c>
      <c r="K739" s="3">
        <v>67</v>
      </c>
      <c r="L739" s="1" t="s">
        <v>30</v>
      </c>
    </row>
    <row r="740" spans="1:12" x14ac:dyDescent="0.35">
      <c r="A740">
        <v>739</v>
      </c>
      <c r="B740" s="1" t="s">
        <v>17</v>
      </c>
      <c r="C740" s="2">
        <v>6</v>
      </c>
      <c r="D740" s="3">
        <v>85.2</v>
      </c>
      <c r="E740" s="2">
        <v>6.6</v>
      </c>
      <c r="F740" s="1" t="s">
        <v>33</v>
      </c>
      <c r="G740" s="1" t="s">
        <v>19</v>
      </c>
      <c r="H740" s="1" t="s">
        <v>19</v>
      </c>
      <c r="I740" s="1" t="s">
        <v>20</v>
      </c>
      <c r="J740" s="2">
        <v>72.2</v>
      </c>
      <c r="K740" s="3">
        <v>93</v>
      </c>
      <c r="L740" s="1" t="s">
        <v>21</v>
      </c>
    </row>
    <row r="741" spans="1:12" x14ac:dyDescent="0.35">
      <c r="A741">
        <v>740</v>
      </c>
      <c r="B741" s="1" t="s">
        <v>23</v>
      </c>
      <c r="C741" s="2">
        <v>1.8</v>
      </c>
      <c r="D741" s="3">
        <v>90.5</v>
      </c>
      <c r="E741" s="2">
        <v>7.7</v>
      </c>
      <c r="F741" s="1" t="s">
        <v>24</v>
      </c>
      <c r="G741" s="1" t="s">
        <v>19</v>
      </c>
      <c r="H741" s="1" t="s">
        <v>19</v>
      </c>
      <c r="I741" s="1" t="s">
        <v>20</v>
      </c>
      <c r="J741" s="2">
        <v>60</v>
      </c>
      <c r="K741" s="3">
        <v>82</v>
      </c>
      <c r="L741" s="1" t="s">
        <v>28</v>
      </c>
    </row>
    <row r="742" spans="1:12" x14ac:dyDescent="0.35">
      <c r="A742">
        <v>741</v>
      </c>
      <c r="B742" s="1" t="s">
        <v>17</v>
      </c>
      <c r="C742" s="2">
        <v>4</v>
      </c>
      <c r="D742" s="3">
        <v>73.2</v>
      </c>
      <c r="E742" s="2">
        <v>4.5</v>
      </c>
      <c r="F742" s="1" t="s">
        <v>24</v>
      </c>
      <c r="G742" s="1" t="s">
        <v>19</v>
      </c>
      <c r="H742" s="1" t="s">
        <v>20</v>
      </c>
      <c r="I742" s="1" t="s">
        <v>20</v>
      </c>
      <c r="J742" s="2">
        <v>49.4</v>
      </c>
      <c r="K742" s="3">
        <v>63</v>
      </c>
      <c r="L742" s="1" t="s">
        <v>30</v>
      </c>
    </row>
    <row r="743" spans="1:12" x14ac:dyDescent="0.35">
      <c r="A743">
        <v>742</v>
      </c>
      <c r="B743" s="1" t="s">
        <v>23</v>
      </c>
      <c r="C743" s="2">
        <v>2.4</v>
      </c>
      <c r="D743" s="3">
        <v>96.1</v>
      </c>
      <c r="E743" s="2">
        <v>8.4</v>
      </c>
      <c r="F743" s="1" t="s">
        <v>18</v>
      </c>
      <c r="G743" s="1" t="s">
        <v>19</v>
      </c>
      <c r="H743" s="1" t="s">
        <v>19</v>
      </c>
      <c r="I743" s="1" t="s">
        <v>20</v>
      </c>
      <c r="J743" s="2">
        <v>72.8</v>
      </c>
      <c r="K743" s="3">
        <v>94</v>
      </c>
      <c r="L743" s="1" t="s">
        <v>21</v>
      </c>
    </row>
    <row r="744" spans="1:12" x14ac:dyDescent="0.35">
      <c r="A744">
        <v>743</v>
      </c>
      <c r="B744" s="1" t="s">
        <v>23</v>
      </c>
      <c r="C744" s="2">
        <v>3.4</v>
      </c>
      <c r="D744" s="3">
        <v>92.2</v>
      </c>
      <c r="E744" s="2">
        <v>6.9</v>
      </c>
      <c r="F744" s="1" t="s">
        <v>18</v>
      </c>
      <c r="G744" s="1" t="s">
        <v>19</v>
      </c>
      <c r="H744" s="1" t="s">
        <v>20</v>
      </c>
      <c r="I744" s="1" t="s">
        <v>19</v>
      </c>
      <c r="J744" s="2">
        <v>80.900000000000006</v>
      </c>
      <c r="K744" s="3">
        <v>85</v>
      </c>
      <c r="L744" s="1" t="s">
        <v>28</v>
      </c>
    </row>
    <row r="745" spans="1:12" x14ac:dyDescent="0.35">
      <c r="A745">
        <v>744</v>
      </c>
      <c r="B745" s="1" t="s">
        <v>17</v>
      </c>
      <c r="C745" s="2">
        <v>4</v>
      </c>
      <c r="D745" s="3">
        <v>92.2</v>
      </c>
      <c r="E745" s="2">
        <v>6.3</v>
      </c>
      <c r="F745" s="1" t="s">
        <v>18</v>
      </c>
      <c r="G745" s="1" t="s">
        <v>19</v>
      </c>
      <c r="H745" s="1" t="s">
        <v>20</v>
      </c>
      <c r="I745" s="1" t="s">
        <v>19</v>
      </c>
      <c r="J745" s="2">
        <v>67.3</v>
      </c>
      <c r="K745" s="3">
        <v>82</v>
      </c>
      <c r="L745" s="1" t="s">
        <v>28</v>
      </c>
    </row>
    <row r="746" spans="1:12" x14ac:dyDescent="0.35">
      <c r="A746">
        <v>745</v>
      </c>
      <c r="B746" s="1" t="s">
        <v>17</v>
      </c>
      <c r="C746" s="2">
        <v>4</v>
      </c>
      <c r="D746" s="3">
        <v>89.4</v>
      </c>
      <c r="E746" s="2">
        <v>6.7</v>
      </c>
      <c r="F746" s="1" t="s">
        <v>24</v>
      </c>
      <c r="G746" s="1" t="s">
        <v>19</v>
      </c>
      <c r="H746" s="1" t="s">
        <v>19</v>
      </c>
      <c r="I746" s="1" t="s">
        <v>20</v>
      </c>
      <c r="J746" s="2">
        <v>87.2</v>
      </c>
      <c r="K746" s="3">
        <v>90</v>
      </c>
      <c r="L746" s="1" t="s">
        <v>28</v>
      </c>
    </row>
    <row r="747" spans="1:12" x14ac:dyDescent="0.35">
      <c r="A747">
        <v>746</v>
      </c>
      <c r="B747" s="1" t="s">
        <v>23</v>
      </c>
      <c r="C747" s="2">
        <v>4.0999999999999996</v>
      </c>
      <c r="D747" s="3">
        <v>85.2</v>
      </c>
      <c r="E747" s="2">
        <v>6.8</v>
      </c>
      <c r="F747" s="1" t="s">
        <v>18</v>
      </c>
      <c r="G747" s="1" t="s">
        <v>19</v>
      </c>
      <c r="H747" s="1" t="s">
        <v>20</v>
      </c>
      <c r="I747" s="1" t="s">
        <v>19</v>
      </c>
      <c r="J747" s="2">
        <v>61.6</v>
      </c>
      <c r="K747" s="3">
        <v>83</v>
      </c>
      <c r="L747" s="1" t="s">
        <v>28</v>
      </c>
    </row>
    <row r="748" spans="1:12" x14ac:dyDescent="0.35">
      <c r="A748">
        <v>747</v>
      </c>
      <c r="B748" s="1" t="s">
        <v>17</v>
      </c>
      <c r="C748" s="2">
        <v>5.9</v>
      </c>
      <c r="D748" s="3">
        <v>91.7</v>
      </c>
      <c r="E748" s="2">
        <v>4.7</v>
      </c>
      <c r="F748" s="1" t="s">
        <v>18</v>
      </c>
      <c r="G748" s="1" t="s">
        <v>19</v>
      </c>
      <c r="H748" s="1" t="s">
        <v>19</v>
      </c>
      <c r="I748" s="1" t="s">
        <v>19</v>
      </c>
      <c r="J748" s="2">
        <v>57.3</v>
      </c>
      <c r="K748" s="3">
        <v>100</v>
      </c>
      <c r="L748" s="1" t="s">
        <v>21</v>
      </c>
    </row>
    <row r="749" spans="1:12" x14ac:dyDescent="0.35">
      <c r="A749">
        <v>748</v>
      </c>
      <c r="B749" s="1" t="s">
        <v>17</v>
      </c>
      <c r="C749" s="2">
        <v>4.2</v>
      </c>
      <c r="D749" s="3">
        <v>90.9</v>
      </c>
      <c r="E749" s="2">
        <v>8.6</v>
      </c>
      <c r="F749" s="1" t="s">
        <v>27</v>
      </c>
      <c r="G749" s="1" t="s">
        <v>20</v>
      </c>
      <c r="H749" s="1" t="s">
        <v>19</v>
      </c>
      <c r="I749" s="1" t="s">
        <v>20</v>
      </c>
      <c r="J749" s="2">
        <v>69.2</v>
      </c>
      <c r="K749" s="3">
        <v>92</v>
      </c>
      <c r="L749" s="1" t="s">
        <v>21</v>
      </c>
    </row>
    <row r="750" spans="1:12" x14ac:dyDescent="0.35">
      <c r="A750">
        <v>749</v>
      </c>
      <c r="B750" s="1" t="s">
        <v>17</v>
      </c>
      <c r="C750" s="2">
        <v>3.1</v>
      </c>
      <c r="D750" s="3">
        <v>81.5</v>
      </c>
      <c r="E750" s="2">
        <v>6.8</v>
      </c>
      <c r="F750" s="1" t="s">
        <v>33</v>
      </c>
      <c r="G750" s="1" t="s">
        <v>19</v>
      </c>
      <c r="H750" s="1" t="s">
        <v>19</v>
      </c>
      <c r="I750" s="1" t="s">
        <v>20</v>
      </c>
      <c r="J750" s="2">
        <v>69</v>
      </c>
      <c r="K750" s="3">
        <v>77</v>
      </c>
      <c r="L750" s="1" t="s">
        <v>32</v>
      </c>
    </row>
    <row r="751" spans="1:12" x14ac:dyDescent="0.35">
      <c r="A751">
        <v>750</v>
      </c>
      <c r="B751" s="1" t="s">
        <v>23</v>
      </c>
      <c r="C751" s="2">
        <v>4.9000000000000004</v>
      </c>
      <c r="D751" s="3">
        <v>79.3</v>
      </c>
      <c r="E751" s="2">
        <v>7.3</v>
      </c>
      <c r="F751" s="1" t="s">
        <v>27</v>
      </c>
      <c r="G751" s="1" t="s">
        <v>20</v>
      </c>
      <c r="H751" s="1" t="s">
        <v>20</v>
      </c>
      <c r="I751" s="1" t="s">
        <v>20</v>
      </c>
      <c r="J751" s="2">
        <v>79.2</v>
      </c>
      <c r="K751" s="3">
        <v>95</v>
      </c>
      <c r="L751" s="1" t="s">
        <v>21</v>
      </c>
    </row>
    <row r="752" spans="1:12" x14ac:dyDescent="0.35">
      <c r="A752">
        <v>751</v>
      </c>
      <c r="B752" s="1" t="s">
        <v>23</v>
      </c>
      <c r="C752" s="2">
        <v>5.3</v>
      </c>
      <c r="D752" s="3">
        <v>86</v>
      </c>
      <c r="E752" s="2">
        <v>7.9</v>
      </c>
      <c r="F752" s="1" t="s">
        <v>33</v>
      </c>
      <c r="G752" s="1" t="s">
        <v>19</v>
      </c>
      <c r="H752" s="1" t="s">
        <v>20</v>
      </c>
      <c r="I752" s="1" t="s">
        <v>20</v>
      </c>
      <c r="J752" s="2">
        <v>60.7</v>
      </c>
      <c r="K752" s="3">
        <v>89</v>
      </c>
      <c r="L752" s="1" t="s">
        <v>28</v>
      </c>
    </row>
    <row r="753" spans="1:12" x14ac:dyDescent="0.35">
      <c r="A753">
        <v>752</v>
      </c>
      <c r="B753" s="1" t="s">
        <v>17</v>
      </c>
      <c r="C753" s="2">
        <v>1.7</v>
      </c>
      <c r="D753" s="3">
        <v>100</v>
      </c>
      <c r="E753" s="2">
        <v>5.6</v>
      </c>
      <c r="F753" s="1" t="s">
        <v>18</v>
      </c>
      <c r="G753" s="1" t="s">
        <v>19</v>
      </c>
      <c r="H753" s="1" t="s">
        <v>19</v>
      </c>
      <c r="I753" s="1" t="s">
        <v>19</v>
      </c>
      <c r="J753" s="2">
        <v>86.4</v>
      </c>
      <c r="K753" s="3">
        <v>93</v>
      </c>
      <c r="L753" s="1" t="s">
        <v>21</v>
      </c>
    </row>
    <row r="754" spans="1:12" x14ac:dyDescent="0.35">
      <c r="A754">
        <v>753</v>
      </c>
      <c r="B754" s="1" t="s">
        <v>23</v>
      </c>
      <c r="C754" s="2">
        <v>4.4000000000000004</v>
      </c>
      <c r="D754" s="3">
        <v>72.599999999999994</v>
      </c>
      <c r="E754" s="2">
        <v>7.4</v>
      </c>
      <c r="F754" s="1" t="s">
        <v>24</v>
      </c>
      <c r="G754" s="1" t="s">
        <v>19</v>
      </c>
      <c r="H754" s="1" t="s">
        <v>20</v>
      </c>
      <c r="I754" s="1" t="s">
        <v>19</v>
      </c>
      <c r="J754" s="2">
        <v>93.6</v>
      </c>
      <c r="K754" s="3">
        <v>96</v>
      </c>
      <c r="L754" s="1" t="s">
        <v>21</v>
      </c>
    </row>
    <row r="755" spans="1:12" x14ac:dyDescent="0.35">
      <c r="A755">
        <v>754</v>
      </c>
      <c r="B755" s="1" t="s">
        <v>23</v>
      </c>
      <c r="C755" s="2">
        <v>4.5999999999999996</v>
      </c>
      <c r="D755" s="3">
        <v>70.3</v>
      </c>
      <c r="E755" s="2">
        <v>6.5</v>
      </c>
      <c r="F755" s="1" t="s">
        <v>33</v>
      </c>
      <c r="G755" s="1" t="s">
        <v>19</v>
      </c>
      <c r="H755" s="1" t="s">
        <v>19</v>
      </c>
      <c r="I755" s="1" t="s">
        <v>20</v>
      </c>
      <c r="J755" s="2">
        <v>69.5</v>
      </c>
      <c r="K755" s="3">
        <v>67</v>
      </c>
      <c r="L755" s="1" t="s">
        <v>30</v>
      </c>
    </row>
    <row r="756" spans="1:12" x14ac:dyDescent="0.35">
      <c r="A756">
        <v>755</v>
      </c>
      <c r="B756" s="1" t="s">
        <v>23</v>
      </c>
      <c r="C756" s="2">
        <v>3.1</v>
      </c>
      <c r="D756" s="3">
        <v>86.6</v>
      </c>
      <c r="E756" s="2">
        <v>7.8</v>
      </c>
      <c r="F756" s="1" t="s">
        <v>18</v>
      </c>
      <c r="G756" s="1" t="s">
        <v>19</v>
      </c>
      <c r="H756" s="1" t="s">
        <v>20</v>
      </c>
      <c r="I756" s="1" t="s">
        <v>20</v>
      </c>
      <c r="J756" s="2">
        <v>85</v>
      </c>
      <c r="K756" s="3">
        <v>85</v>
      </c>
      <c r="L756" s="1" t="s">
        <v>28</v>
      </c>
    </row>
    <row r="757" spans="1:12" x14ac:dyDescent="0.35">
      <c r="A757">
        <v>756</v>
      </c>
      <c r="B757" s="1" t="s">
        <v>23</v>
      </c>
      <c r="C757" s="2">
        <v>5.6</v>
      </c>
      <c r="D757" s="3">
        <v>85.5</v>
      </c>
      <c r="E757" s="2">
        <v>4.2</v>
      </c>
      <c r="F757" s="1" t="s">
        <v>18</v>
      </c>
      <c r="G757" s="1" t="s">
        <v>19</v>
      </c>
      <c r="H757" s="1" t="s">
        <v>19</v>
      </c>
      <c r="I757" s="1" t="s">
        <v>19</v>
      </c>
      <c r="J757" s="2">
        <v>57.3</v>
      </c>
      <c r="K757" s="3">
        <v>90</v>
      </c>
      <c r="L757" s="1" t="s">
        <v>28</v>
      </c>
    </row>
    <row r="758" spans="1:12" x14ac:dyDescent="0.35">
      <c r="A758">
        <v>757</v>
      </c>
      <c r="B758" s="1" t="s">
        <v>23</v>
      </c>
      <c r="C758" s="2">
        <v>3.3</v>
      </c>
      <c r="D758" s="3">
        <v>86.7</v>
      </c>
      <c r="E758" s="2">
        <v>6.7</v>
      </c>
      <c r="F758" s="1" t="s">
        <v>18</v>
      </c>
      <c r="G758" s="1" t="s">
        <v>19</v>
      </c>
      <c r="H758" s="1" t="s">
        <v>20</v>
      </c>
      <c r="I758" s="1" t="s">
        <v>20</v>
      </c>
      <c r="J758" s="2">
        <v>82.9</v>
      </c>
      <c r="K758" s="3">
        <v>90</v>
      </c>
      <c r="L758" s="1" t="s">
        <v>21</v>
      </c>
    </row>
    <row r="759" spans="1:12" x14ac:dyDescent="0.35">
      <c r="A759">
        <v>758</v>
      </c>
      <c r="B759" s="1" t="s">
        <v>17</v>
      </c>
      <c r="C759" s="2">
        <v>3.7</v>
      </c>
      <c r="D759" s="3">
        <v>87.4</v>
      </c>
      <c r="E759" s="2">
        <v>6.1</v>
      </c>
      <c r="F759" s="1" t="s">
        <v>18</v>
      </c>
      <c r="G759" s="1" t="s">
        <v>19</v>
      </c>
      <c r="H759" s="1" t="s">
        <v>19</v>
      </c>
      <c r="I759" s="1" t="s">
        <v>19</v>
      </c>
      <c r="J759" s="2">
        <v>82.6</v>
      </c>
      <c r="K759" s="3">
        <v>83</v>
      </c>
      <c r="L759" s="1" t="s">
        <v>28</v>
      </c>
    </row>
    <row r="760" spans="1:12" x14ac:dyDescent="0.35">
      <c r="A760">
        <v>759</v>
      </c>
      <c r="B760" s="1" t="s">
        <v>17</v>
      </c>
      <c r="C760" s="2">
        <v>3.2</v>
      </c>
      <c r="D760" s="3">
        <v>82.8</v>
      </c>
      <c r="E760" s="2">
        <v>7.3</v>
      </c>
      <c r="F760" s="1" t="s">
        <v>24</v>
      </c>
      <c r="G760" s="1" t="s">
        <v>19</v>
      </c>
      <c r="H760" s="1" t="s">
        <v>19</v>
      </c>
      <c r="I760" s="1" t="s">
        <v>20</v>
      </c>
      <c r="J760" s="2">
        <v>80.400000000000006</v>
      </c>
      <c r="K760" s="3">
        <v>85</v>
      </c>
      <c r="L760" s="1" t="s">
        <v>28</v>
      </c>
    </row>
    <row r="761" spans="1:12" x14ac:dyDescent="0.35">
      <c r="A761">
        <v>760</v>
      </c>
      <c r="B761" s="1" t="s">
        <v>17</v>
      </c>
      <c r="C761" s="2">
        <v>3.5</v>
      </c>
      <c r="D761" s="3">
        <v>99.9</v>
      </c>
      <c r="E761" s="2">
        <v>7.4</v>
      </c>
      <c r="F761" s="1" t="s">
        <v>18</v>
      </c>
      <c r="G761" s="1" t="s">
        <v>20</v>
      </c>
      <c r="H761" s="1" t="s">
        <v>19</v>
      </c>
      <c r="I761" s="1" t="s">
        <v>19</v>
      </c>
      <c r="J761" s="2">
        <v>69.8</v>
      </c>
      <c r="K761" s="3">
        <v>72</v>
      </c>
      <c r="L761" s="1" t="s">
        <v>32</v>
      </c>
    </row>
    <row r="762" spans="1:12" x14ac:dyDescent="0.35">
      <c r="A762">
        <v>761</v>
      </c>
      <c r="B762" s="1" t="s">
        <v>23</v>
      </c>
      <c r="C762" s="2">
        <v>1.9</v>
      </c>
      <c r="D762" s="3">
        <v>69</v>
      </c>
      <c r="E762" s="2">
        <v>6</v>
      </c>
      <c r="F762" s="1" t="s">
        <v>24</v>
      </c>
      <c r="G762" s="1" t="s">
        <v>19</v>
      </c>
      <c r="H762" s="1" t="s">
        <v>20</v>
      </c>
      <c r="I762" s="1" t="s">
        <v>19</v>
      </c>
      <c r="J762" s="2">
        <v>34.5</v>
      </c>
      <c r="K762" s="3">
        <v>53</v>
      </c>
      <c r="L762" s="1" t="s">
        <v>35</v>
      </c>
    </row>
    <row r="763" spans="1:12" x14ac:dyDescent="0.35">
      <c r="A763">
        <v>762</v>
      </c>
      <c r="B763" s="1" t="s">
        <v>23</v>
      </c>
      <c r="C763" s="2">
        <v>1.3</v>
      </c>
      <c r="D763" s="3">
        <v>76.7</v>
      </c>
      <c r="E763" s="2">
        <v>5.9</v>
      </c>
      <c r="F763" s="1" t="s">
        <v>33</v>
      </c>
      <c r="G763" s="1" t="s">
        <v>20</v>
      </c>
      <c r="H763" s="1" t="s">
        <v>19</v>
      </c>
      <c r="I763" s="1" t="s">
        <v>19</v>
      </c>
      <c r="J763" s="2">
        <v>62.3</v>
      </c>
      <c r="K763" s="3">
        <v>74</v>
      </c>
      <c r="L763" s="1" t="s">
        <v>32</v>
      </c>
    </row>
    <row r="764" spans="1:12" x14ac:dyDescent="0.35">
      <c r="A764">
        <v>763</v>
      </c>
      <c r="B764" s="1" t="s">
        <v>17</v>
      </c>
      <c r="C764" s="2">
        <v>5.9</v>
      </c>
      <c r="D764" s="3">
        <v>84</v>
      </c>
      <c r="E764" s="2">
        <v>6.7</v>
      </c>
      <c r="F764" s="1" t="s">
        <v>24</v>
      </c>
      <c r="G764" s="1" t="s">
        <v>19</v>
      </c>
      <c r="H764" s="1" t="s">
        <v>20</v>
      </c>
      <c r="I764" s="1" t="s">
        <v>20</v>
      </c>
      <c r="J764" s="2">
        <v>62.5</v>
      </c>
      <c r="K764" s="3">
        <v>97</v>
      </c>
      <c r="L764" s="1" t="s">
        <v>21</v>
      </c>
    </row>
    <row r="765" spans="1:12" x14ac:dyDescent="0.35">
      <c r="A765">
        <v>764</v>
      </c>
      <c r="B765" s="1" t="s">
        <v>23</v>
      </c>
      <c r="C765" s="2">
        <v>2.2000000000000002</v>
      </c>
      <c r="D765" s="3">
        <v>68.599999999999994</v>
      </c>
      <c r="E765" s="2">
        <v>5.7</v>
      </c>
      <c r="F765" s="1" t="s">
        <v>24</v>
      </c>
      <c r="G765" s="1" t="s">
        <v>19</v>
      </c>
      <c r="H765" s="1" t="s">
        <v>19</v>
      </c>
      <c r="I765" s="1" t="s">
        <v>20</v>
      </c>
      <c r="J765" s="2">
        <v>58.3</v>
      </c>
      <c r="K765" s="3">
        <v>81</v>
      </c>
      <c r="L765" s="1" t="s">
        <v>28</v>
      </c>
    </row>
    <row r="766" spans="1:12" x14ac:dyDescent="0.35">
      <c r="A766">
        <v>765</v>
      </c>
      <c r="B766" s="1" t="s">
        <v>17</v>
      </c>
      <c r="C766" s="2">
        <v>2</v>
      </c>
      <c r="D766" s="3">
        <v>83.2</v>
      </c>
      <c r="E766" s="2">
        <v>7.8</v>
      </c>
      <c r="F766" s="1" t="s">
        <v>18</v>
      </c>
      <c r="G766" s="1" t="s">
        <v>19</v>
      </c>
      <c r="H766" s="1" t="s">
        <v>19</v>
      </c>
      <c r="I766" s="1" t="s">
        <v>20</v>
      </c>
      <c r="J766" s="2">
        <v>71.5</v>
      </c>
      <c r="K766" s="3">
        <v>85</v>
      </c>
      <c r="L766" s="1" t="s">
        <v>28</v>
      </c>
    </row>
    <row r="767" spans="1:12" x14ac:dyDescent="0.35">
      <c r="A767">
        <v>766</v>
      </c>
      <c r="B767" s="1" t="s">
        <v>17</v>
      </c>
      <c r="C767" s="2">
        <v>0.5</v>
      </c>
      <c r="D767" s="3">
        <v>100</v>
      </c>
      <c r="E767" s="2">
        <v>6.4</v>
      </c>
      <c r="F767" s="1" t="s">
        <v>33</v>
      </c>
      <c r="G767" s="1" t="s">
        <v>19</v>
      </c>
      <c r="H767" s="1" t="s">
        <v>19</v>
      </c>
      <c r="I767" s="1" t="s">
        <v>20</v>
      </c>
      <c r="J767" s="2">
        <v>65</v>
      </c>
      <c r="K767" s="3">
        <v>81</v>
      </c>
      <c r="L767" s="1" t="s">
        <v>28</v>
      </c>
    </row>
    <row r="768" spans="1:12" x14ac:dyDescent="0.35">
      <c r="A768">
        <v>767</v>
      </c>
      <c r="B768" s="1" t="s">
        <v>17</v>
      </c>
      <c r="C768" s="2">
        <v>2.5</v>
      </c>
      <c r="D768" s="3">
        <v>85.2</v>
      </c>
      <c r="E768" s="2">
        <v>3.3</v>
      </c>
      <c r="F768" s="1" t="s">
        <v>18</v>
      </c>
      <c r="G768" s="1" t="s">
        <v>19</v>
      </c>
      <c r="H768" s="1" t="s">
        <v>20</v>
      </c>
      <c r="I768" s="1" t="s">
        <v>20</v>
      </c>
      <c r="J768" s="2">
        <v>60.1</v>
      </c>
      <c r="K768" s="3">
        <v>84</v>
      </c>
      <c r="L768" s="1" t="s">
        <v>28</v>
      </c>
    </row>
    <row r="769" spans="1:12" x14ac:dyDescent="0.35">
      <c r="A769">
        <v>768</v>
      </c>
      <c r="B769" s="1" t="s">
        <v>23</v>
      </c>
      <c r="C769" s="2">
        <v>1.5</v>
      </c>
      <c r="D769" s="3">
        <v>87.3</v>
      </c>
      <c r="E769" s="2">
        <v>6.4</v>
      </c>
      <c r="F769" s="1" t="s">
        <v>24</v>
      </c>
      <c r="G769" s="1" t="s">
        <v>19</v>
      </c>
      <c r="H769" s="1" t="s">
        <v>19</v>
      </c>
      <c r="I769" s="1" t="s">
        <v>19</v>
      </c>
      <c r="J769" s="2">
        <v>57.3</v>
      </c>
      <c r="K769" s="3">
        <v>71</v>
      </c>
      <c r="L769" s="1" t="s">
        <v>32</v>
      </c>
    </row>
    <row r="770" spans="1:12" x14ac:dyDescent="0.35">
      <c r="A770">
        <v>769</v>
      </c>
      <c r="B770" s="1" t="s">
        <v>23</v>
      </c>
      <c r="C770" s="2">
        <v>6</v>
      </c>
      <c r="D770" s="3">
        <v>72.400000000000006</v>
      </c>
      <c r="E770" s="2">
        <v>5.6</v>
      </c>
      <c r="F770" s="1" t="s">
        <v>18</v>
      </c>
      <c r="G770" s="1" t="s">
        <v>19</v>
      </c>
      <c r="H770" s="1" t="s">
        <v>20</v>
      </c>
      <c r="I770" s="1" t="s">
        <v>20</v>
      </c>
      <c r="J770" s="2">
        <v>61.4</v>
      </c>
      <c r="K770" s="3">
        <v>86</v>
      </c>
      <c r="L770" s="1" t="s">
        <v>28</v>
      </c>
    </row>
    <row r="771" spans="1:12" x14ac:dyDescent="0.35">
      <c r="A771">
        <v>770</v>
      </c>
      <c r="B771" s="1" t="s">
        <v>17</v>
      </c>
      <c r="C771" s="2">
        <v>5</v>
      </c>
      <c r="D771" s="3">
        <v>78.8</v>
      </c>
      <c r="E771" s="2">
        <v>4.8</v>
      </c>
      <c r="F771" s="1" t="s">
        <v>24</v>
      </c>
      <c r="G771" s="1" t="s">
        <v>19</v>
      </c>
      <c r="H771" s="1" t="s">
        <v>20</v>
      </c>
      <c r="I771" s="1" t="s">
        <v>20</v>
      </c>
      <c r="J771" s="2">
        <v>83.5</v>
      </c>
      <c r="K771" s="3">
        <v>98</v>
      </c>
      <c r="L771" s="1" t="s">
        <v>21</v>
      </c>
    </row>
    <row r="772" spans="1:12" x14ac:dyDescent="0.35">
      <c r="A772">
        <v>771</v>
      </c>
      <c r="B772" s="1" t="s">
        <v>17</v>
      </c>
      <c r="C772" s="2">
        <v>2.5</v>
      </c>
      <c r="D772" s="3">
        <v>81.2</v>
      </c>
      <c r="E772" s="2">
        <v>5.3</v>
      </c>
      <c r="F772" s="1" t="s">
        <v>27</v>
      </c>
      <c r="G772" s="1" t="s">
        <v>19</v>
      </c>
      <c r="H772" s="1" t="s">
        <v>20</v>
      </c>
      <c r="I772" s="1" t="s">
        <v>20</v>
      </c>
      <c r="J772" s="2">
        <v>62.1</v>
      </c>
      <c r="K772" s="3">
        <v>83</v>
      </c>
      <c r="L772" s="1" t="s">
        <v>28</v>
      </c>
    </row>
    <row r="773" spans="1:12" x14ac:dyDescent="0.35">
      <c r="A773">
        <v>772</v>
      </c>
      <c r="B773" s="1" t="s">
        <v>17</v>
      </c>
      <c r="C773" s="2">
        <v>6.9</v>
      </c>
      <c r="D773" s="3">
        <v>81.8</v>
      </c>
      <c r="E773" s="2">
        <v>6.9</v>
      </c>
      <c r="F773" s="1" t="s">
        <v>27</v>
      </c>
      <c r="G773" s="1" t="s">
        <v>19</v>
      </c>
      <c r="H773" s="1" t="s">
        <v>19</v>
      </c>
      <c r="I773" s="1" t="s">
        <v>19</v>
      </c>
      <c r="J773" s="2">
        <v>63.8</v>
      </c>
      <c r="K773" s="3">
        <v>92</v>
      </c>
      <c r="L773" s="1" t="s">
        <v>21</v>
      </c>
    </row>
    <row r="774" spans="1:12" x14ac:dyDescent="0.35">
      <c r="A774">
        <v>773</v>
      </c>
      <c r="B774" s="1" t="s">
        <v>17</v>
      </c>
      <c r="C774" s="2">
        <v>5</v>
      </c>
      <c r="D774" s="3">
        <v>97.8</v>
      </c>
      <c r="E774" s="2">
        <v>8.4</v>
      </c>
      <c r="F774" s="1" t="s">
        <v>18</v>
      </c>
      <c r="G774" s="1" t="s">
        <v>19</v>
      </c>
      <c r="H774" s="1" t="s">
        <v>20</v>
      </c>
      <c r="I774" s="1" t="s">
        <v>20</v>
      </c>
      <c r="J774" s="2">
        <v>64.5</v>
      </c>
      <c r="K774" s="3">
        <v>91</v>
      </c>
      <c r="L774" s="1" t="s">
        <v>21</v>
      </c>
    </row>
    <row r="775" spans="1:12" x14ac:dyDescent="0.35">
      <c r="A775">
        <v>774</v>
      </c>
      <c r="B775" s="1" t="s">
        <v>23</v>
      </c>
      <c r="C775" s="2">
        <v>3</v>
      </c>
      <c r="D775" s="3">
        <v>90.6</v>
      </c>
      <c r="E775" s="2">
        <v>7.2</v>
      </c>
      <c r="F775" s="1" t="s">
        <v>24</v>
      </c>
      <c r="G775" s="1" t="s">
        <v>19</v>
      </c>
      <c r="H775" s="1" t="s">
        <v>20</v>
      </c>
      <c r="I775" s="1" t="s">
        <v>19</v>
      </c>
      <c r="J775" s="2">
        <v>74.099999999999994</v>
      </c>
      <c r="K775" s="3">
        <v>84</v>
      </c>
      <c r="L775" s="1" t="s">
        <v>28</v>
      </c>
    </row>
    <row r="776" spans="1:12" x14ac:dyDescent="0.35">
      <c r="A776">
        <v>775</v>
      </c>
      <c r="B776" s="1" t="s">
        <v>23</v>
      </c>
      <c r="C776" s="2">
        <v>0.5</v>
      </c>
      <c r="D776" s="3">
        <v>73.900000000000006</v>
      </c>
      <c r="E776" s="2">
        <v>6.1</v>
      </c>
      <c r="F776" s="1" t="s">
        <v>33</v>
      </c>
      <c r="G776" s="1" t="s">
        <v>19</v>
      </c>
      <c r="H776" s="1" t="s">
        <v>19</v>
      </c>
      <c r="I776" s="1" t="s">
        <v>20</v>
      </c>
      <c r="J776" s="2">
        <v>75.5</v>
      </c>
      <c r="K776" s="3">
        <v>75</v>
      </c>
      <c r="L776" s="1" t="s">
        <v>32</v>
      </c>
    </row>
    <row r="777" spans="1:12" x14ac:dyDescent="0.35">
      <c r="A777">
        <v>776</v>
      </c>
      <c r="B777" s="1" t="s">
        <v>17</v>
      </c>
      <c r="C777" s="2">
        <v>6.9</v>
      </c>
      <c r="D777" s="3">
        <v>87.5</v>
      </c>
      <c r="E777" s="2">
        <v>7.3</v>
      </c>
      <c r="F777" s="1" t="s">
        <v>24</v>
      </c>
      <c r="G777" s="1" t="s">
        <v>19</v>
      </c>
      <c r="H777" s="1" t="s">
        <v>20</v>
      </c>
      <c r="I777" s="1" t="s">
        <v>19</v>
      </c>
      <c r="J777" s="2">
        <v>33.5</v>
      </c>
      <c r="K777" s="3">
        <v>89</v>
      </c>
      <c r="L777" s="1" t="s">
        <v>28</v>
      </c>
    </row>
    <row r="778" spans="1:12" x14ac:dyDescent="0.35">
      <c r="A778">
        <v>777</v>
      </c>
      <c r="B778" s="1" t="s">
        <v>17</v>
      </c>
      <c r="C778" s="2">
        <v>1.4</v>
      </c>
      <c r="D778" s="3">
        <v>90</v>
      </c>
      <c r="E778" s="2">
        <v>6.2</v>
      </c>
      <c r="F778" s="1" t="s">
        <v>18</v>
      </c>
      <c r="G778" s="1" t="s">
        <v>19</v>
      </c>
      <c r="H778" s="1" t="s">
        <v>19</v>
      </c>
      <c r="I778" s="1" t="s">
        <v>20</v>
      </c>
      <c r="J778" s="2">
        <v>82.3</v>
      </c>
      <c r="K778" s="3">
        <v>74</v>
      </c>
      <c r="L778" s="1" t="s">
        <v>32</v>
      </c>
    </row>
    <row r="779" spans="1:12" x14ac:dyDescent="0.35">
      <c r="A779">
        <v>778</v>
      </c>
      <c r="B779" s="1" t="s">
        <v>23</v>
      </c>
      <c r="C779" s="2">
        <v>1</v>
      </c>
      <c r="D779" s="3">
        <v>96.4</v>
      </c>
      <c r="E779" s="2">
        <v>6</v>
      </c>
      <c r="F779" s="1" t="s">
        <v>24</v>
      </c>
      <c r="G779" s="1" t="s">
        <v>19</v>
      </c>
      <c r="H779" s="1" t="s">
        <v>19</v>
      </c>
      <c r="I779" s="1" t="s">
        <v>20</v>
      </c>
      <c r="J779" s="2">
        <v>87.2</v>
      </c>
      <c r="K779" s="3">
        <v>96</v>
      </c>
      <c r="L779" s="1" t="s">
        <v>21</v>
      </c>
    </row>
    <row r="780" spans="1:12" x14ac:dyDescent="0.35">
      <c r="A780">
        <v>779</v>
      </c>
      <c r="B780" s="1" t="s">
        <v>23</v>
      </c>
      <c r="C780" s="2">
        <v>5</v>
      </c>
      <c r="D780" s="3">
        <v>100</v>
      </c>
      <c r="E780" s="2">
        <v>5.4</v>
      </c>
      <c r="F780" s="1" t="s">
        <v>27</v>
      </c>
      <c r="G780" s="1" t="s">
        <v>19</v>
      </c>
      <c r="H780" s="1" t="s">
        <v>19</v>
      </c>
      <c r="I780" s="1" t="s">
        <v>20</v>
      </c>
      <c r="J780" s="2">
        <v>57.4</v>
      </c>
      <c r="K780" s="3">
        <v>87</v>
      </c>
      <c r="L780" s="1" t="s">
        <v>28</v>
      </c>
    </row>
    <row r="781" spans="1:12" x14ac:dyDescent="0.35">
      <c r="A781">
        <v>780</v>
      </c>
      <c r="B781" s="1" t="s">
        <v>17</v>
      </c>
      <c r="C781" s="2">
        <v>7.2</v>
      </c>
      <c r="D781" s="3">
        <v>74.8</v>
      </c>
      <c r="E781" s="2">
        <v>4.7</v>
      </c>
      <c r="F781" s="1" t="s">
        <v>24</v>
      </c>
      <c r="G781" s="1" t="s">
        <v>19</v>
      </c>
      <c r="H781" s="1" t="s">
        <v>19</v>
      </c>
      <c r="I781" s="1" t="s">
        <v>20</v>
      </c>
      <c r="J781" s="2">
        <v>58.3</v>
      </c>
      <c r="K781" s="3">
        <v>90</v>
      </c>
      <c r="L781" s="1" t="s">
        <v>28</v>
      </c>
    </row>
    <row r="782" spans="1:12" x14ac:dyDescent="0.35">
      <c r="A782">
        <v>781</v>
      </c>
      <c r="B782" s="1" t="s">
        <v>17</v>
      </c>
      <c r="C782" s="2">
        <v>5.6</v>
      </c>
      <c r="D782" s="3">
        <v>76.900000000000006</v>
      </c>
      <c r="E782" s="2">
        <v>6.3</v>
      </c>
      <c r="F782" s="1" t="s">
        <v>18</v>
      </c>
      <c r="G782" s="1" t="s">
        <v>20</v>
      </c>
      <c r="H782" s="1" t="s">
        <v>19</v>
      </c>
      <c r="I782" s="1" t="s">
        <v>20</v>
      </c>
      <c r="J782" s="2">
        <v>64.599999999999994</v>
      </c>
      <c r="K782" s="3">
        <v>79</v>
      </c>
      <c r="L782" s="1" t="s">
        <v>32</v>
      </c>
    </row>
    <row r="783" spans="1:12" x14ac:dyDescent="0.35">
      <c r="A783">
        <v>782</v>
      </c>
      <c r="B783" s="1" t="s">
        <v>17</v>
      </c>
      <c r="C783" s="2">
        <v>4.3</v>
      </c>
      <c r="D783" s="3">
        <v>72.400000000000006</v>
      </c>
      <c r="E783" s="2">
        <v>7</v>
      </c>
      <c r="F783" s="1" t="s">
        <v>33</v>
      </c>
      <c r="G783" s="1" t="s">
        <v>19</v>
      </c>
      <c r="H783" s="1" t="s">
        <v>19</v>
      </c>
      <c r="I783" s="1" t="s">
        <v>20</v>
      </c>
      <c r="J783" s="2">
        <v>60.9</v>
      </c>
      <c r="K783" s="3">
        <v>98</v>
      </c>
      <c r="L783" s="1" t="s">
        <v>21</v>
      </c>
    </row>
    <row r="784" spans="1:12" x14ac:dyDescent="0.35">
      <c r="A784">
        <v>783</v>
      </c>
      <c r="B784" s="1" t="s">
        <v>23</v>
      </c>
      <c r="C784" s="2">
        <v>4.4000000000000004</v>
      </c>
      <c r="D784" s="3">
        <v>82.7</v>
      </c>
      <c r="E784" s="2">
        <v>6.7</v>
      </c>
      <c r="F784" s="1" t="s">
        <v>18</v>
      </c>
      <c r="G784" s="1" t="s">
        <v>19</v>
      </c>
      <c r="H784" s="1" t="s">
        <v>20</v>
      </c>
      <c r="I784" s="1" t="s">
        <v>20</v>
      </c>
      <c r="J784" s="2">
        <v>72.7</v>
      </c>
      <c r="K784" s="3">
        <v>90</v>
      </c>
      <c r="L784" s="1" t="s">
        <v>21</v>
      </c>
    </row>
    <row r="785" spans="1:12" x14ac:dyDescent="0.35">
      <c r="A785">
        <v>784</v>
      </c>
      <c r="B785" s="1" t="s">
        <v>23</v>
      </c>
      <c r="C785" s="2">
        <v>4.8</v>
      </c>
      <c r="D785" s="3">
        <v>89.7</v>
      </c>
      <c r="E785" s="2">
        <v>6.3</v>
      </c>
      <c r="F785" s="1" t="s">
        <v>24</v>
      </c>
      <c r="G785" s="1" t="s">
        <v>19</v>
      </c>
      <c r="H785" s="1" t="s">
        <v>19</v>
      </c>
      <c r="I785" s="1" t="s">
        <v>20</v>
      </c>
      <c r="J785" s="2">
        <v>46.6</v>
      </c>
      <c r="K785" s="3">
        <v>78</v>
      </c>
      <c r="L785" s="1" t="s">
        <v>32</v>
      </c>
    </row>
    <row r="786" spans="1:12" x14ac:dyDescent="0.35">
      <c r="A786">
        <v>785</v>
      </c>
      <c r="B786" s="1" t="s">
        <v>23</v>
      </c>
      <c r="C786" s="2">
        <v>4.5999999999999996</v>
      </c>
      <c r="D786" s="3">
        <v>94.9</v>
      </c>
      <c r="E786" s="2">
        <v>5.7</v>
      </c>
      <c r="F786" s="1" t="s">
        <v>27</v>
      </c>
      <c r="G786" s="1" t="s">
        <v>19</v>
      </c>
      <c r="H786" s="1" t="s">
        <v>19</v>
      </c>
      <c r="I786" s="1" t="s">
        <v>20</v>
      </c>
      <c r="J786" s="2">
        <v>56.6</v>
      </c>
      <c r="K786" s="3">
        <v>93</v>
      </c>
      <c r="L786" s="1" t="s">
        <v>21</v>
      </c>
    </row>
    <row r="787" spans="1:12" x14ac:dyDescent="0.35">
      <c r="A787">
        <v>786</v>
      </c>
      <c r="B787" s="1" t="s">
        <v>17</v>
      </c>
      <c r="C787" s="2">
        <v>3.9</v>
      </c>
      <c r="D787" s="3">
        <v>84.2</v>
      </c>
      <c r="E787" s="2">
        <v>7.5</v>
      </c>
      <c r="F787" s="1" t="s">
        <v>18</v>
      </c>
      <c r="G787" s="1" t="s">
        <v>19</v>
      </c>
      <c r="H787" s="1" t="s">
        <v>19</v>
      </c>
      <c r="I787" s="1" t="s">
        <v>19</v>
      </c>
      <c r="J787" s="2">
        <v>88.5</v>
      </c>
      <c r="K787" s="3">
        <v>97</v>
      </c>
      <c r="L787" s="1" t="s">
        <v>21</v>
      </c>
    </row>
    <row r="788" spans="1:12" x14ac:dyDescent="0.35">
      <c r="A788">
        <v>787</v>
      </c>
      <c r="B788" s="1" t="s">
        <v>17</v>
      </c>
      <c r="C788" s="2">
        <v>3.7</v>
      </c>
      <c r="D788" s="3">
        <v>81.8</v>
      </c>
      <c r="E788" s="2">
        <v>5.2</v>
      </c>
      <c r="F788" s="1" t="s">
        <v>18</v>
      </c>
      <c r="G788" s="1" t="s">
        <v>19</v>
      </c>
      <c r="H788" s="1" t="s">
        <v>20</v>
      </c>
      <c r="I788" s="1" t="s">
        <v>20</v>
      </c>
      <c r="J788" s="2">
        <v>58.9</v>
      </c>
      <c r="K788" s="3">
        <v>77</v>
      </c>
      <c r="L788" s="1" t="s">
        <v>32</v>
      </c>
    </row>
    <row r="789" spans="1:12" x14ac:dyDescent="0.35">
      <c r="A789">
        <v>788</v>
      </c>
      <c r="B789" s="1" t="s">
        <v>23</v>
      </c>
      <c r="C789" s="2">
        <v>3.4</v>
      </c>
      <c r="D789" s="3">
        <v>86.5</v>
      </c>
      <c r="E789" s="2">
        <v>7.7</v>
      </c>
      <c r="F789" s="1" t="s">
        <v>24</v>
      </c>
      <c r="G789" s="1" t="s">
        <v>19</v>
      </c>
      <c r="H789" s="1" t="s">
        <v>20</v>
      </c>
      <c r="I789" s="1" t="s">
        <v>20</v>
      </c>
      <c r="J789" s="2">
        <v>84.9</v>
      </c>
      <c r="K789" s="3">
        <v>97</v>
      </c>
      <c r="L789" s="1" t="s">
        <v>21</v>
      </c>
    </row>
    <row r="790" spans="1:12" x14ac:dyDescent="0.35">
      <c r="A790">
        <v>789</v>
      </c>
      <c r="B790" s="1" t="s">
        <v>23</v>
      </c>
      <c r="C790" s="2">
        <v>2.4</v>
      </c>
      <c r="D790" s="3">
        <v>76.599999999999994</v>
      </c>
      <c r="E790" s="2">
        <v>5.6</v>
      </c>
      <c r="F790" s="1" t="s">
        <v>18</v>
      </c>
      <c r="G790" s="1" t="s">
        <v>19</v>
      </c>
      <c r="H790" s="1" t="s">
        <v>20</v>
      </c>
      <c r="I790" s="1" t="s">
        <v>20</v>
      </c>
      <c r="J790" s="2">
        <v>74.3</v>
      </c>
      <c r="K790" s="3">
        <v>72</v>
      </c>
      <c r="L790" s="1" t="s">
        <v>32</v>
      </c>
    </row>
    <row r="791" spans="1:12" x14ac:dyDescent="0.35">
      <c r="A791">
        <v>790</v>
      </c>
      <c r="B791" s="1" t="s">
        <v>17</v>
      </c>
      <c r="C791" s="2">
        <v>3.1</v>
      </c>
      <c r="D791" s="3">
        <v>100</v>
      </c>
      <c r="E791" s="2">
        <v>5.9</v>
      </c>
      <c r="F791" s="1" t="s">
        <v>18</v>
      </c>
      <c r="G791" s="1" t="s">
        <v>19</v>
      </c>
      <c r="H791" s="1" t="s">
        <v>20</v>
      </c>
      <c r="I791" s="1" t="s">
        <v>20</v>
      </c>
      <c r="J791" s="2">
        <v>48.3</v>
      </c>
      <c r="K791" s="3">
        <v>75</v>
      </c>
      <c r="L791" s="1" t="s">
        <v>32</v>
      </c>
    </row>
    <row r="792" spans="1:12" x14ac:dyDescent="0.35">
      <c r="A792">
        <v>791</v>
      </c>
      <c r="B792" s="1" t="s">
        <v>23</v>
      </c>
      <c r="C792" s="2">
        <v>1</v>
      </c>
      <c r="D792" s="3">
        <v>68.900000000000006</v>
      </c>
      <c r="E792" s="2">
        <v>5</v>
      </c>
      <c r="F792" s="1" t="s">
        <v>24</v>
      </c>
      <c r="G792" s="1" t="s">
        <v>19</v>
      </c>
      <c r="H792" s="1" t="s">
        <v>19</v>
      </c>
      <c r="I792" s="1" t="s">
        <v>20</v>
      </c>
      <c r="J792" s="2">
        <v>77.599999999999994</v>
      </c>
      <c r="K792" s="3">
        <v>58</v>
      </c>
      <c r="L792" s="1" t="s">
        <v>35</v>
      </c>
    </row>
    <row r="793" spans="1:12" x14ac:dyDescent="0.35">
      <c r="A793">
        <v>792</v>
      </c>
      <c r="B793" s="1" t="s">
        <v>23</v>
      </c>
      <c r="C793" s="2">
        <v>3.4</v>
      </c>
      <c r="D793" s="3">
        <v>86.8</v>
      </c>
      <c r="E793" s="2">
        <v>6.2</v>
      </c>
      <c r="F793" s="1" t="s">
        <v>24</v>
      </c>
      <c r="G793" s="1" t="s">
        <v>20</v>
      </c>
      <c r="H793" s="1" t="s">
        <v>20</v>
      </c>
      <c r="I793" s="1" t="s">
        <v>19</v>
      </c>
      <c r="J793" s="2">
        <v>68.599999999999994</v>
      </c>
      <c r="K793" s="3">
        <v>68</v>
      </c>
      <c r="L793" s="1" t="s">
        <v>30</v>
      </c>
    </row>
    <row r="794" spans="1:12" x14ac:dyDescent="0.35">
      <c r="A794">
        <v>793</v>
      </c>
      <c r="B794" s="1" t="s">
        <v>17</v>
      </c>
      <c r="C794" s="2">
        <v>2</v>
      </c>
      <c r="D794" s="3">
        <v>100</v>
      </c>
      <c r="E794" s="2">
        <v>8</v>
      </c>
      <c r="F794" s="1" t="s">
        <v>33</v>
      </c>
      <c r="G794" s="1" t="s">
        <v>19</v>
      </c>
      <c r="H794" s="1" t="s">
        <v>19</v>
      </c>
      <c r="I794" s="1" t="s">
        <v>19</v>
      </c>
      <c r="J794" s="2">
        <v>64.5</v>
      </c>
      <c r="K794" s="3">
        <v>91</v>
      </c>
      <c r="L794" s="1" t="s">
        <v>21</v>
      </c>
    </row>
    <row r="795" spans="1:12" x14ac:dyDescent="0.35">
      <c r="A795">
        <v>794</v>
      </c>
      <c r="B795" s="1" t="s">
        <v>23</v>
      </c>
      <c r="C795" s="2">
        <v>1.8</v>
      </c>
      <c r="D795" s="3">
        <v>85.1</v>
      </c>
      <c r="E795" s="2">
        <v>7.4</v>
      </c>
      <c r="F795" s="1" t="s">
        <v>24</v>
      </c>
      <c r="G795" s="1" t="s">
        <v>19</v>
      </c>
      <c r="H795" s="1" t="s">
        <v>19</v>
      </c>
      <c r="I795" s="1" t="s">
        <v>19</v>
      </c>
      <c r="J795" s="2">
        <v>72.900000000000006</v>
      </c>
      <c r="K795" s="3">
        <v>87</v>
      </c>
      <c r="L795" s="1" t="s">
        <v>28</v>
      </c>
    </row>
    <row r="796" spans="1:12" x14ac:dyDescent="0.35">
      <c r="A796">
        <v>795</v>
      </c>
      <c r="B796" s="1" t="s">
        <v>17</v>
      </c>
      <c r="C796" s="2">
        <v>3.8</v>
      </c>
      <c r="D796" s="3">
        <v>83.1</v>
      </c>
      <c r="E796" s="2">
        <v>8</v>
      </c>
      <c r="F796" s="1" t="s">
        <v>24</v>
      </c>
      <c r="G796" s="1" t="s">
        <v>19</v>
      </c>
      <c r="H796" s="1" t="s">
        <v>20</v>
      </c>
      <c r="I796" s="1" t="s">
        <v>20</v>
      </c>
      <c r="J796" s="2">
        <v>75.7</v>
      </c>
      <c r="K796" s="3">
        <v>90</v>
      </c>
      <c r="L796" s="1" t="s">
        <v>28</v>
      </c>
    </row>
    <row r="797" spans="1:12" x14ac:dyDescent="0.35">
      <c r="A797">
        <v>796</v>
      </c>
      <c r="B797" s="1" t="s">
        <v>17</v>
      </c>
      <c r="C797" s="2">
        <v>5.6</v>
      </c>
      <c r="D797" s="3">
        <v>81.400000000000006</v>
      </c>
      <c r="E797" s="2">
        <v>7.4</v>
      </c>
      <c r="F797" s="1" t="s">
        <v>18</v>
      </c>
      <c r="G797" s="1" t="s">
        <v>19</v>
      </c>
      <c r="H797" s="1" t="s">
        <v>19</v>
      </c>
      <c r="I797" s="1" t="s">
        <v>20</v>
      </c>
      <c r="J797" s="2">
        <v>78.5</v>
      </c>
      <c r="K797" s="3">
        <v>100</v>
      </c>
      <c r="L797" s="1" t="s">
        <v>21</v>
      </c>
    </row>
    <row r="798" spans="1:12" x14ac:dyDescent="0.35">
      <c r="A798">
        <v>797</v>
      </c>
      <c r="B798" s="1" t="s">
        <v>17</v>
      </c>
      <c r="C798" s="2">
        <v>4.9000000000000004</v>
      </c>
      <c r="D798" s="3">
        <v>83.2</v>
      </c>
      <c r="E798" s="2">
        <v>5.5</v>
      </c>
      <c r="F798" s="1" t="s">
        <v>33</v>
      </c>
      <c r="G798" s="1" t="s">
        <v>19</v>
      </c>
      <c r="H798" s="1" t="s">
        <v>20</v>
      </c>
      <c r="I798" s="1" t="s">
        <v>20</v>
      </c>
      <c r="J798" s="2">
        <v>84.1</v>
      </c>
      <c r="K798" s="3">
        <v>93</v>
      </c>
      <c r="L798" s="1" t="s">
        <v>21</v>
      </c>
    </row>
    <row r="799" spans="1:12" x14ac:dyDescent="0.35">
      <c r="A799">
        <v>798</v>
      </c>
      <c r="B799" s="1" t="s">
        <v>17</v>
      </c>
      <c r="C799" s="2">
        <v>1.1000000000000001</v>
      </c>
      <c r="D799" s="3">
        <v>98.7</v>
      </c>
      <c r="E799" s="2">
        <v>6.4</v>
      </c>
      <c r="F799" s="1" t="s">
        <v>24</v>
      </c>
      <c r="G799" s="1" t="s">
        <v>19</v>
      </c>
      <c r="H799" s="1" t="s">
        <v>20</v>
      </c>
      <c r="I799" s="1" t="s">
        <v>20</v>
      </c>
      <c r="J799" s="2">
        <v>74.900000000000006</v>
      </c>
      <c r="K799" s="3">
        <v>79</v>
      </c>
      <c r="L799" s="1" t="s">
        <v>32</v>
      </c>
    </row>
    <row r="800" spans="1:12" x14ac:dyDescent="0.35">
      <c r="A800">
        <v>799</v>
      </c>
      <c r="B800" s="1" t="s">
        <v>17</v>
      </c>
      <c r="C800" s="2">
        <v>2</v>
      </c>
      <c r="D800" s="3">
        <v>62.9</v>
      </c>
      <c r="E800" s="2">
        <v>5.9</v>
      </c>
      <c r="F800" s="1" t="s">
        <v>18</v>
      </c>
      <c r="G800" s="1" t="s">
        <v>19</v>
      </c>
      <c r="H800" s="1" t="s">
        <v>19</v>
      </c>
      <c r="I800" s="1" t="s">
        <v>19</v>
      </c>
      <c r="J800" s="2">
        <v>53.5</v>
      </c>
      <c r="K800" s="3">
        <v>61</v>
      </c>
      <c r="L800" s="1" t="s">
        <v>30</v>
      </c>
    </row>
    <row r="801" spans="1:12" x14ac:dyDescent="0.35">
      <c r="A801">
        <v>800</v>
      </c>
      <c r="B801" s="1" t="s">
        <v>17</v>
      </c>
      <c r="C801" s="2">
        <v>4.9000000000000004</v>
      </c>
      <c r="D801" s="3">
        <v>100</v>
      </c>
      <c r="E801" s="2">
        <v>8.4</v>
      </c>
      <c r="F801" s="1" t="s">
        <v>24</v>
      </c>
      <c r="G801" s="1" t="s">
        <v>19</v>
      </c>
      <c r="H801" s="1" t="s">
        <v>19</v>
      </c>
      <c r="I801" s="1" t="s">
        <v>20</v>
      </c>
      <c r="J801" s="2">
        <v>64.3</v>
      </c>
      <c r="K801" s="3">
        <v>96</v>
      </c>
      <c r="L801" s="1" t="s">
        <v>21</v>
      </c>
    </row>
    <row r="802" spans="1:12" x14ac:dyDescent="0.35">
      <c r="A802">
        <v>801</v>
      </c>
      <c r="B802" s="1" t="s">
        <v>17</v>
      </c>
      <c r="C802" s="2">
        <v>2</v>
      </c>
      <c r="D802" s="3">
        <v>70.8</v>
      </c>
      <c r="E802" s="2">
        <v>5.4</v>
      </c>
      <c r="F802" s="1" t="s">
        <v>24</v>
      </c>
      <c r="G802" s="1" t="s">
        <v>19</v>
      </c>
      <c r="H802" s="1" t="s">
        <v>19</v>
      </c>
      <c r="I802" s="1" t="s">
        <v>20</v>
      </c>
      <c r="J802" s="2">
        <v>100</v>
      </c>
      <c r="K802" s="3">
        <v>83</v>
      </c>
      <c r="L802" s="1" t="s">
        <v>28</v>
      </c>
    </row>
    <row r="803" spans="1:12" x14ac:dyDescent="0.35">
      <c r="A803">
        <v>802</v>
      </c>
      <c r="B803" s="1" t="s">
        <v>23</v>
      </c>
      <c r="C803" s="2">
        <v>3.2</v>
      </c>
      <c r="D803" s="3">
        <v>82.3</v>
      </c>
      <c r="E803" s="2">
        <v>7.9</v>
      </c>
      <c r="F803" s="1" t="s">
        <v>24</v>
      </c>
      <c r="G803" s="1" t="s">
        <v>19</v>
      </c>
      <c r="H803" s="1" t="s">
        <v>20</v>
      </c>
      <c r="I803" s="1" t="s">
        <v>20</v>
      </c>
      <c r="J803" s="2">
        <v>78.7</v>
      </c>
      <c r="K803" s="3">
        <v>94</v>
      </c>
      <c r="L803" s="1" t="s">
        <v>21</v>
      </c>
    </row>
    <row r="804" spans="1:12" x14ac:dyDescent="0.35">
      <c r="A804">
        <v>803</v>
      </c>
      <c r="B804" s="1" t="s">
        <v>17</v>
      </c>
      <c r="C804" s="2">
        <v>4.3</v>
      </c>
      <c r="D804" s="3">
        <v>80.7</v>
      </c>
      <c r="E804" s="2">
        <v>7.9</v>
      </c>
      <c r="F804" s="1" t="s">
        <v>33</v>
      </c>
      <c r="G804" s="1" t="s">
        <v>19</v>
      </c>
      <c r="H804" s="1" t="s">
        <v>20</v>
      </c>
      <c r="I804" s="1" t="s">
        <v>20</v>
      </c>
      <c r="J804" s="2">
        <v>98.4</v>
      </c>
      <c r="K804" s="3">
        <v>100</v>
      </c>
      <c r="L804" s="1" t="s">
        <v>21</v>
      </c>
    </row>
    <row r="805" spans="1:12" x14ac:dyDescent="0.35">
      <c r="A805">
        <v>804</v>
      </c>
      <c r="B805" s="1" t="s">
        <v>17</v>
      </c>
      <c r="C805" s="2">
        <v>2</v>
      </c>
      <c r="D805" s="3">
        <v>90.9</v>
      </c>
      <c r="E805" s="2">
        <v>9</v>
      </c>
      <c r="F805" s="1" t="s">
        <v>24</v>
      </c>
      <c r="G805" s="1" t="s">
        <v>19</v>
      </c>
      <c r="H805" s="1" t="s">
        <v>19</v>
      </c>
      <c r="I805" s="1" t="s">
        <v>20</v>
      </c>
      <c r="J805" s="2">
        <v>86.7</v>
      </c>
      <c r="K805" s="3">
        <v>95</v>
      </c>
      <c r="L805" s="1" t="s">
        <v>21</v>
      </c>
    </row>
    <row r="806" spans="1:12" x14ac:dyDescent="0.35">
      <c r="A806">
        <v>805</v>
      </c>
      <c r="B806" s="1" t="s">
        <v>23</v>
      </c>
      <c r="C806" s="2">
        <v>3.7</v>
      </c>
      <c r="D806" s="3">
        <v>69</v>
      </c>
      <c r="E806" s="2">
        <v>6.3</v>
      </c>
      <c r="F806" s="1" t="s">
        <v>24</v>
      </c>
      <c r="G806" s="1" t="s">
        <v>19</v>
      </c>
      <c r="H806" s="1" t="s">
        <v>19</v>
      </c>
      <c r="I806" s="1" t="s">
        <v>20</v>
      </c>
      <c r="J806" s="2">
        <v>72.900000000000006</v>
      </c>
      <c r="K806" s="3">
        <v>88</v>
      </c>
      <c r="L806" s="1" t="s">
        <v>28</v>
      </c>
    </row>
    <row r="807" spans="1:12" x14ac:dyDescent="0.35">
      <c r="A807">
        <v>806</v>
      </c>
      <c r="B807" s="1" t="s">
        <v>23</v>
      </c>
      <c r="C807" s="2">
        <v>1.5</v>
      </c>
      <c r="D807" s="3">
        <v>89.6</v>
      </c>
      <c r="E807" s="2">
        <v>7.7</v>
      </c>
      <c r="F807" s="1" t="s">
        <v>18</v>
      </c>
      <c r="G807" s="1" t="s">
        <v>19</v>
      </c>
      <c r="H807" s="1" t="s">
        <v>20</v>
      </c>
      <c r="I807" s="1" t="s">
        <v>20</v>
      </c>
      <c r="J807" s="2">
        <v>73.599999999999994</v>
      </c>
      <c r="K807" s="3">
        <v>82</v>
      </c>
      <c r="L807" s="1" t="s">
        <v>28</v>
      </c>
    </row>
    <row r="808" spans="1:12" x14ac:dyDescent="0.35">
      <c r="A808">
        <v>807</v>
      </c>
      <c r="B808" s="1" t="s">
        <v>23</v>
      </c>
      <c r="C808" s="2">
        <v>2.6</v>
      </c>
      <c r="D808" s="3">
        <v>100</v>
      </c>
      <c r="E808" s="2">
        <v>9.5</v>
      </c>
      <c r="F808" s="1" t="s">
        <v>33</v>
      </c>
      <c r="G808" s="1" t="s">
        <v>19</v>
      </c>
      <c r="H808" s="1" t="s">
        <v>20</v>
      </c>
      <c r="I808" s="1" t="s">
        <v>19</v>
      </c>
      <c r="J808" s="2">
        <v>69.599999999999994</v>
      </c>
      <c r="K808" s="3">
        <v>80</v>
      </c>
      <c r="L808" s="1" t="s">
        <v>28</v>
      </c>
    </row>
    <row r="809" spans="1:12" x14ac:dyDescent="0.35">
      <c r="A809">
        <v>808</v>
      </c>
      <c r="B809" s="1" t="s">
        <v>17</v>
      </c>
      <c r="C809" s="2">
        <v>4</v>
      </c>
      <c r="D809" s="3">
        <v>71.400000000000006</v>
      </c>
      <c r="E809" s="2">
        <v>6.1</v>
      </c>
      <c r="F809" s="1" t="s">
        <v>24</v>
      </c>
      <c r="G809" s="1" t="s">
        <v>20</v>
      </c>
      <c r="H809" s="1" t="s">
        <v>19</v>
      </c>
      <c r="I809" s="1" t="s">
        <v>19</v>
      </c>
      <c r="J809" s="2">
        <v>49.1</v>
      </c>
      <c r="K809" s="3">
        <v>58</v>
      </c>
      <c r="L809" s="1" t="s">
        <v>35</v>
      </c>
    </row>
    <row r="810" spans="1:12" x14ac:dyDescent="0.35">
      <c r="A810">
        <v>809</v>
      </c>
      <c r="B810" s="1" t="s">
        <v>23</v>
      </c>
      <c r="C810" s="2">
        <v>1.1000000000000001</v>
      </c>
      <c r="D810" s="3">
        <v>86.9</v>
      </c>
      <c r="E810" s="2">
        <v>5</v>
      </c>
      <c r="F810" s="1" t="s">
        <v>18</v>
      </c>
      <c r="G810" s="1" t="s">
        <v>19</v>
      </c>
      <c r="H810" s="1" t="s">
        <v>19</v>
      </c>
      <c r="I810" s="1" t="s">
        <v>20</v>
      </c>
      <c r="J810" s="2">
        <v>70.2</v>
      </c>
      <c r="K810" s="3">
        <v>74</v>
      </c>
      <c r="L810" s="1" t="s">
        <v>32</v>
      </c>
    </row>
    <row r="811" spans="1:12" x14ac:dyDescent="0.35">
      <c r="A811">
        <v>810</v>
      </c>
      <c r="B811" s="1" t="s">
        <v>17</v>
      </c>
      <c r="C811" s="2">
        <v>4.2</v>
      </c>
      <c r="D811" s="3">
        <v>78.400000000000006</v>
      </c>
      <c r="E811" s="2">
        <v>4.5</v>
      </c>
      <c r="F811" s="1" t="s">
        <v>24</v>
      </c>
      <c r="G811" s="1" t="s">
        <v>20</v>
      </c>
      <c r="H811" s="1" t="s">
        <v>20</v>
      </c>
      <c r="I811" s="1" t="s">
        <v>20</v>
      </c>
      <c r="J811" s="2">
        <v>84.5</v>
      </c>
      <c r="K811" s="3">
        <v>83</v>
      </c>
      <c r="L811" s="1" t="s">
        <v>28</v>
      </c>
    </row>
    <row r="812" spans="1:12" x14ac:dyDescent="0.35">
      <c r="A812">
        <v>811</v>
      </c>
      <c r="B812" s="1" t="s">
        <v>17</v>
      </c>
      <c r="C812" s="2">
        <v>3.5</v>
      </c>
      <c r="D812" s="3">
        <v>89.3</v>
      </c>
      <c r="E812" s="2">
        <v>7.7</v>
      </c>
      <c r="F812" s="1" t="s">
        <v>18</v>
      </c>
      <c r="G812" s="1" t="s">
        <v>19</v>
      </c>
      <c r="H812" s="1" t="s">
        <v>19</v>
      </c>
      <c r="I812" s="1" t="s">
        <v>20</v>
      </c>
      <c r="J812" s="2">
        <v>62.8</v>
      </c>
      <c r="K812" s="3">
        <v>86</v>
      </c>
      <c r="L812" s="1" t="s">
        <v>28</v>
      </c>
    </row>
    <row r="813" spans="1:12" x14ac:dyDescent="0.35">
      <c r="A813">
        <v>812</v>
      </c>
      <c r="B813" s="1" t="s">
        <v>17</v>
      </c>
      <c r="C813" s="2">
        <v>4.3</v>
      </c>
      <c r="D813" s="3">
        <v>85.2</v>
      </c>
      <c r="E813" s="2">
        <v>4.5</v>
      </c>
      <c r="F813" s="1" t="s">
        <v>18</v>
      </c>
      <c r="G813" s="1" t="s">
        <v>19</v>
      </c>
      <c r="H813" s="1" t="s">
        <v>19</v>
      </c>
      <c r="I813" s="1" t="s">
        <v>20</v>
      </c>
      <c r="J813" s="2">
        <v>74.900000000000006</v>
      </c>
      <c r="K813" s="3">
        <v>88</v>
      </c>
      <c r="L813" s="1" t="s">
        <v>28</v>
      </c>
    </row>
    <row r="814" spans="1:12" x14ac:dyDescent="0.35">
      <c r="A814">
        <v>813</v>
      </c>
      <c r="B814" s="1" t="s">
        <v>17</v>
      </c>
      <c r="C814" s="2">
        <v>3.8</v>
      </c>
      <c r="D814" s="3">
        <v>78.599999999999994</v>
      </c>
      <c r="E814" s="2">
        <v>6.4</v>
      </c>
      <c r="F814" s="1" t="s">
        <v>18</v>
      </c>
      <c r="G814" s="1" t="s">
        <v>19</v>
      </c>
      <c r="H814" s="1" t="s">
        <v>20</v>
      </c>
      <c r="I814" s="1" t="s">
        <v>20</v>
      </c>
      <c r="J814" s="2">
        <v>80.2</v>
      </c>
      <c r="K814" s="3">
        <v>100</v>
      </c>
      <c r="L814" s="1" t="s">
        <v>21</v>
      </c>
    </row>
    <row r="815" spans="1:12" x14ac:dyDescent="0.35">
      <c r="A815">
        <v>814</v>
      </c>
      <c r="B815" s="1" t="s">
        <v>23</v>
      </c>
      <c r="C815" s="2">
        <v>5.5</v>
      </c>
      <c r="D815" s="3">
        <v>89.9</v>
      </c>
      <c r="E815" s="2">
        <v>7.3</v>
      </c>
      <c r="F815" s="1" t="s">
        <v>24</v>
      </c>
      <c r="G815" s="1" t="s">
        <v>20</v>
      </c>
      <c r="H815" s="1" t="s">
        <v>20</v>
      </c>
      <c r="I815" s="1" t="s">
        <v>19</v>
      </c>
      <c r="J815" s="2">
        <v>59.1</v>
      </c>
      <c r="K815" s="3">
        <v>76</v>
      </c>
      <c r="L815" s="1" t="s">
        <v>32</v>
      </c>
    </row>
    <row r="816" spans="1:12" x14ac:dyDescent="0.35">
      <c r="A816">
        <v>815</v>
      </c>
      <c r="B816" s="1" t="s">
        <v>23</v>
      </c>
      <c r="C816" s="2">
        <v>3.7</v>
      </c>
      <c r="D816" s="3">
        <v>100</v>
      </c>
      <c r="E816" s="2">
        <v>7</v>
      </c>
      <c r="F816" s="1" t="s">
        <v>24</v>
      </c>
      <c r="G816" s="1" t="s">
        <v>19</v>
      </c>
      <c r="H816" s="1" t="s">
        <v>19</v>
      </c>
      <c r="I816" s="1" t="s">
        <v>20</v>
      </c>
      <c r="J816" s="2">
        <v>64.599999999999994</v>
      </c>
      <c r="K816" s="3">
        <v>78</v>
      </c>
      <c r="L816" s="1" t="s">
        <v>32</v>
      </c>
    </row>
    <row r="817" spans="1:12" x14ac:dyDescent="0.35">
      <c r="A817">
        <v>816</v>
      </c>
      <c r="B817" s="1" t="s">
        <v>17</v>
      </c>
      <c r="C817" s="2">
        <v>2.9</v>
      </c>
      <c r="D817" s="3">
        <v>83.1</v>
      </c>
      <c r="E817" s="2">
        <v>7.3</v>
      </c>
      <c r="F817" s="1" t="s">
        <v>24</v>
      </c>
      <c r="G817" s="1" t="s">
        <v>19</v>
      </c>
      <c r="H817" s="1" t="s">
        <v>19</v>
      </c>
      <c r="I817" s="1" t="s">
        <v>20</v>
      </c>
      <c r="J817" s="2">
        <v>57.8</v>
      </c>
      <c r="K817" s="3">
        <v>80</v>
      </c>
      <c r="L817" s="1" t="s">
        <v>28</v>
      </c>
    </row>
    <row r="818" spans="1:12" x14ac:dyDescent="0.35">
      <c r="A818">
        <v>817</v>
      </c>
      <c r="B818" s="1" t="s">
        <v>17</v>
      </c>
      <c r="C818" s="2">
        <v>3.7</v>
      </c>
      <c r="D818" s="3">
        <v>92.2</v>
      </c>
      <c r="E818" s="2">
        <v>7.1</v>
      </c>
      <c r="F818" s="1" t="s">
        <v>18</v>
      </c>
      <c r="G818" s="1" t="s">
        <v>19</v>
      </c>
      <c r="H818" s="1" t="s">
        <v>19</v>
      </c>
      <c r="I818" s="1" t="s">
        <v>19</v>
      </c>
      <c r="J818" s="2">
        <v>60.1</v>
      </c>
      <c r="K818" s="3">
        <v>80</v>
      </c>
      <c r="L818" s="1" t="s">
        <v>28</v>
      </c>
    </row>
    <row r="819" spans="1:12" x14ac:dyDescent="0.35">
      <c r="A819">
        <v>818</v>
      </c>
      <c r="B819" s="1" t="s">
        <v>17</v>
      </c>
      <c r="C819" s="2">
        <v>4.3</v>
      </c>
      <c r="D819" s="3">
        <v>72.099999999999994</v>
      </c>
      <c r="E819" s="2">
        <v>8.3000000000000007</v>
      </c>
      <c r="F819" s="1" t="s">
        <v>24</v>
      </c>
      <c r="G819" s="1" t="s">
        <v>19</v>
      </c>
      <c r="H819" s="1" t="s">
        <v>19</v>
      </c>
      <c r="I819" s="1" t="s">
        <v>20</v>
      </c>
      <c r="J819" s="2">
        <v>54.5</v>
      </c>
      <c r="K819" s="3">
        <v>82</v>
      </c>
      <c r="L819" s="1" t="s">
        <v>28</v>
      </c>
    </row>
    <row r="820" spans="1:12" x14ac:dyDescent="0.35">
      <c r="A820">
        <v>819</v>
      </c>
      <c r="B820" s="1" t="s">
        <v>23</v>
      </c>
      <c r="C820" s="2">
        <v>3.6</v>
      </c>
      <c r="D820" s="3">
        <v>75.400000000000006</v>
      </c>
      <c r="E820" s="2">
        <v>5.7</v>
      </c>
      <c r="F820" s="1" t="s">
        <v>33</v>
      </c>
      <c r="G820" s="1" t="s">
        <v>19</v>
      </c>
      <c r="H820" s="1" t="s">
        <v>20</v>
      </c>
      <c r="I820" s="1" t="s">
        <v>20</v>
      </c>
      <c r="J820" s="2">
        <v>59.2</v>
      </c>
      <c r="K820" s="3">
        <v>80</v>
      </c>
      <c r="L820" s="1" t="s">
        <v>32</v>
      </c>
    </row>
    <row r="821" spans="1:12" x14ac:dyDescent="0.35">
      <c r="A821">
        <v>820</v>
      </c>
      <c r="B821" s="1" t="s">
        <v>17</v>
      </c>
      <c r="C821" s="2">
        <v>3.6</v>
      </c>
      <c r="D821" s="3">
        <v>89.7</v>
      </c>
      <c r="E821" s="2">
        <v>6</v>
      </c>
      <c r="F821" s="1" t="s">
        <v>27</v>
      </c>
      <c r="G821" s="1" t="s">
        <v>20</v>
      </c>
      <c r="H821" s="1" t="s">
        <v>19</v>
      </c>
      <c r="I821" s="1" t="s">
        <v>20</v>
      </c>
      <c r="J821" s="2">
        <v>87</v>
      </c>
      <c r="K821" s="3">
        <v>96</v>
      </c>
      <c r="L821" s="1" t="s">
        <v>21</v>
      </c>
    </row>
    <row r="822" spans="1:12" x14ac:dyDescent="0.35">
      <c r="A822">
        <v>821</v>
      </c>
      <c r="B822" s="1" t="s">
        <v>17</v>
      </c>
      <c r="C822" s="2">
        <v>2.4</v>
      </c>
      <c r="D822" s="3">
        <v>99.8</v>
      </c>
      <c r="E822" s="2">
        <v>5.9</v>
      </c>
      <c r="F822" s="1" t="s">
        <v>27</v>
      </c>
      <c r="G822" s="1" t="s">
        <v>20</v>
      </c>
      <c r="H822" s="1" t="s">
        <v>20</v>
      </c>
      <c r="I822" s="1" t="s">
        <v>20</v>
      </c>
      <c r="J822" s="2">
        <v>59</v>
      </c>
      <c r="K822" s="3">
        <v>65</v>
      </c>
      <c r="L822" s="1" t="s">
        <v>30</v>
      </c>
    </row>
    <row r="823" spans="1:12" x14ac:dyDescent="0.35">
      <c r="A823">
        <v>822</v>
      </c>
      <c r="B823" s="1" t="s">
        <v>23</v>
      </c>
      <c r="C823" s="2">
        <v>2.5</v>
      </c>
      <c r="D823" s="3">
        <v>88.6</v>
      </c>
      <c r="E823" s="2">
        <v>7.8</v>
      </c>
      <c r="F823" s="1" t="s">
        <v>34</v>
      </c>
      <c r="G823" s="1" t="s">
        <v>19</v>
      </c>
      <c r="H823" s="1" t="s">
        <v>20</v>
      </c>
      <c r="I823" s="1" t="s">
        <v>20</v>
      </c>
      <c r="J823" s="2">
        <v>71.5</v>
      </c>
      <c r="K823" s="3">
        <v>80</v>
      </c>
      <c r="L823" s="1" t="s">
        <v>32</v>
      </c>
    </row>
    <row r="824" spans="1:12" x14ac:dyDescent="0.35">
      <c r="A824">
        <v>823</v>
      </c>
      <c r="B824" s="1" t="s">
        <v>23</v>
      </c>
      <c r="C824" s="2">
        <v>1.4</v>
      </c>
      <c r="D824" s="3">
        <v>81.900000000000006</v>
      </c>
      <c r="E824" s="2">
        <v>7.9</v>
      </c>
      <c r="F824" s="1" t="s">
        <v>18</v>
      </c>
      <c r="G824" s="1" t="s">
        <v>20</v>
      </c>
      <c r="H824" s="1" t="s">
        <v>19</v>
      </c>
      <c r="I824" s="1" t="s">
        <v>20</v>
      </c>
      <c r="J824" s="2">
        <v>64</v>
      </c>
      <c r="K824" s="3">
        <v>72</v>
      </c>
      <c r="L824" s="1" t="s">
        <v>32</v>
      </c>
    </row>
    <row r="825" spans="1:12" x14ac:dyDescent="0.35">
      <c r="A825">
        <v>824</v>
      </c>
      <c r="B825" s="1" t="s">
        <v>17</v>
      </c>
      <c r="C825" s="2">
        <v>6.1</v>
      </c>
      <c r="D825" s="3">
        <v>85</v>
      </c>
      <c r="E825" s="2">
        <v>7.3</v>
      </c>
      <c r="F825" s="1" t="s">
        <v>33</v>
      </c>
      <c r="G825" s="1" t="s">
        <v>19</v>
      </c>
      <c r="H825" s="1" t="s">
        <v>19</v>
      </c>
      <c r="I825" s="1" t="s">
        <v>20</v>
      </c>
      <c r="J825" s="2">
        <v>84.1</v>
      </c>
      <c r="K825" s="3">
        <v>100</v>
      </c>
      <c r="L825" s="1" t="s">
        <v>21</v>
      </c>
    </row>
    <row r="826" spans="1:12" x14ac:dyDescent="0.35">
      <c r="A826">
        <v>825</v>
      </c>
      <c r="B826" s="1" t="s">
        <v>23</v>
      </c>
      <c r="C826" s="2">
        <v>1.6</v>
      </c>
      <c r="D826" s="3">
        <v>72.5</v>
      </c>
      <c r="E826" s="2">
        <v>8.1999999999999993</v>
      </c>
      <c r="F826" s="1" t="s">
        <v>24</v>
      </c>
      <c r="G826" s="1" t="s">
        <v>19</v>
      </c>
      <c r="H826" s="1" t="s">
        <v>19</v>
      </c>
      <c r="I826" s="1" t="s">
        <v>20</v>
      </c>
      <c r="J826" s="2">
        <v>85.7</v>
      </c>
      <c r="K826" s="3">
        <v>94</v>
      </c>
      <c r="L826" s="1" t="s">
        <v>21</v>
      </c>
    </row>
    <row r="827" spans="1:12" x14ac:dyDescent="0.35">
      <c r="A827">
        <v>826</v>
      </c>
      <c r="B827" s="1" t="s">
        <v>23</v>
      </c>
      <c r="C827" s="2">
        <v>2.5</v>
      </c>
      <c r="D827" s="3">
        <v>91</v>
      </c>
      <c r="E827" s="2">
        <v>5.4</v>
      </c>
      <c r="F827" s="1" t="s">
        <v>18</v>
      </c>
      <c r="G827" s="1" t="s">
        <v>19</v>
      </c>
      <c r="H827" s="1" t="s">
        <v>20</v>
      </c>
      <c r="I827" s="1" t="s">
        <v>19</v>
      </c>
      <c r="J827" s="2">
        <v>80.400000000000006</v>
      </c>
      <c r="K827" s="3">
        <v>88</v>
      </c>
      <c r="L827" s="1" t="s">
        <v>28</v>
      </c>
    </row>
    <row r="828" spans="1:12" x14ac:dyDescent="0.35">
      <c r="A828">
        <v>827</v>
      </c>
      <c r="B828" s="1" t="s">
        <v>17</v>
      </c>
      <c r="C828" s="2">
        <v>2.4</v>
      </c>
      <c r="D828" s="3">
        <v>93.8</v>
      </c>
      <c r="E828" s="2">
        <v>8.8000000000000007</v>
      </c>
      <c r="F828" s="1" t="s">
        <v>18</v>
      </c>
      <c r="G828" s="1" t="s">
        <v>19</v>
      </c>
      <c r="H828" s="1" t="s">
        <v>20</v>
      </c>
      <c r="I828" s="1" t="s">
        <v>20</v>
      </c>
      <c r="J828" s="2">
        <v>73.7</v>
      </c>
      <c r="K828" s="3">
        <v>86</v>
      </c>
      <c r="L828" s="1" t="s">
        <v>28</v>
      </c>
    </row>
    <row r="829" spans="1:12" x14ac:dyDescent="0.35">
      <c r="A829">
        <v>828</v>
      </c>
      <c r="B829" s="1" t="s">
        <v>23</v>
      </c>
      <c r="C829" s="2">
        <v>4.8</v>
      </c>
      <c r="D829" s="3">
        <v>80.5</v>
      </c>
      <c r="E829" s="2">
        <v>8.6</v>
      </c>
      <c r="F829" s="1" t="s">
        <v>18</v>
      </c>
      <c r="G829" s="1" t="s">
        <v>20</v>
      </c>
      <c r="H829" s="1" t="s">
        <v>19</v>
      </c>
      <c r="I829" s="1" t="s">
        <v>19</v>
      </c>
      <c r="J829" s="2">
        <v>67.2</v>
      </c>
      <c r="K829" s="3">
        <v>78</v>
      </c>
      <c r="L829" s="1" t="s">
        <v>32</v>
      </c>
    </row>
    <row r="830" spans="1:12" x14ac:dyDescent="0.35">
      <c r="A830">
        <v>829</v>
      </c>
      <c r="B830" s="1" t="s">
        <v>17</v>
      </c>
      <c r="C830" s="2">
        <v>3.1</v>
      </c>
      <c r="D830" s="3">
        <v>80.3</v>
      </c>
      <c r="E830" s="2">
        <v>7.7</v>
      </c>
      <c r="F830" s="1" t="s">
        <v>33</v>
      </c>
      <c r="G830" s="1" t="s">
        <v>19</v>
      </c>
      <c r="H830" s="1" t="s">
        <v>20</v>
      </c>
      <c r="I830" s="1" t="s">
        <v>19</v>
      </c>
      <c r="J830" s="2">
        <v>55.7</v>
      </c>
      <c r="K830" s="3">
        <v>70</v>
      </c>
      <c r="L830" s="1" t="s">
        <v>32</v>
      </c>
    </row>
    <row r="831" spans="1:12" x14ac:dyDescent="0.35">
      <c r="A831">
        <v>830</v>
      </c>
      <c r="B831" s="1" t="s">
        <v>23</v>
      </c>
      <c r="C831" s="2">
        <v>5.4</v>
      </c>
      <c r="D831" s="3">
        <v>87.7</v>
      </c>
      <c r="E831" s="2">
        <v>8.9</v>
      </c>
      <c r="F831" s="1" t="s">
        <v>24</v>
      </c>
      <c r="G831" s="1" t="s">
        <v>19</v>
      </c>
      <c r="H831" s="1" t="s">
        <v>20</v>
      </c>
      <c r="I831" s="1" t="s">
        <v>20</v>
      </c>
      <c r="J831" s="2">
        <v>93.3</v>
      </c>
      <c r="K831" s="3">
        <v>100</v>
      </c>
      <c r="L831" s="1" t="s">
        <v>21</v>
      </c>
    </row>
    <row r="832" spans="1:12" x14ac:dyDescent="0.35">
      <c r="A832">
        <v>831</v>
      </c>
      <c r="B832" s="1" t="s">
        <v>17</v>
      </c>
      <c r="C832" s="2">
        <v>2.5</v>
      </c>
      <c r="D832" s="3">
        <v>80.599999999999994</v>
      </c>
      <c r="E832" s="2">
        <v>4.8</v>
      </c>
      <c r="F832" s="1" t="s">
        <v>24</v>
      </c>
      <c r="G832" s="1" t="s">
        <v>19</v>
      </c>
      <c r="H832" s="1" t="s">
        <v>20</v>
      </c>
      <c r="I832" s="1" t="s">
        <v>19</v>
      </c>
      <c r="J832" s="2">
        <v>60.9</v>
      </c>
      <c r="K832" s="3">
        <v>74</v>
      </c>
      <c r="L832" s="1" t="s">
        <v>32</v>
      </c>
    </row>
    <row r="833" spans="1:12" x14ac:dyDescent="0.35">
      <c r="A833">
        <v>832</v>
      </c>
      <c r="B833" s="1" t="s">
        <v>17</v>
      </c>
      <c r="C833" s="2">
        <v>3.9</v>
      </c>
      <c r="D833" s="3">
        <v>84.3</v>
      </c>
      <c r="E833" s="2">
        <v>6.2</v>
      </c>
      <c r="F833" s="1" t="s">
        <v>27</v>
      </c>
      <c r="G833" s="1" t="s">
        <v>19</v>
      </c>
      <c r="H833" s="1" t="s">
        <v>19</v>
      </c>
      <c r="I833" s="1" t="s">
        <v>20</v>
      </c>
      <c r="J833" s="2">
        <v>78</v>
      </c>
      <c r="K833" s="3">
        <v>91</v>
      </c>
      <c r="L833" s="1" t="s">
        <v>21</v>
      </c>
    </row>
    <row r="834" spans="1:12" x14ac:dyDescent="0.35">
      <c r="A834">
        <v>833</v>
      </c>
      <c r="B834" s="1" t="s">
        <v>17</v>
      </c>
      <c r="C834" s="2">
        <v>2.2000000000000002</v>
      </c>
      <c r="D834" s="3">
        <v>100</v>
      </c>
      <c r="E834" s="2">
        <v>5.9</v>
      </c>
      <c r="F834" s="1" t="s">
        <v>24</v>
      </c>
      <c r="G834" s="1" t="s">
        <v>19</v>
      </c>
      <c r="H834" s="1" t="s">
        <v>19</v>
      </c>
      <c r="I834" s="1" t="s">
        <v>19</v>
      </c>
      <c r="J834" s="2">
        <v>82.7</v>
      </c>
      <c r="K834" s="3">
        <v>78</v>
      </c>
      <c r="L834" s="1" t="s">
        <v>32</v>
      </c>
    </row>
    <row r="835" spans="1:12" x14ac:dyDescent="0.35">
      <c r="A835">
        <v>834</v>
      </c>
      <c r="B835" s="1" t="s">
        <v>23</v>
      </c>
      <c r="C835" s="2">
        <v>6.7</v>
      </c>
      <c r="D835" s="3">
        <v>82.5</v>
      </c>
      <c r="E835" s="2">
        <v>7.7</v>
      </c>
      <c r="F835" s="1" t="s">
        <v>18</v>
      </c>
      <c r="G835" s="1" t="s">
        <v>20</v>
      </c>
      <c r="H835" s="1" t="s">
        <v>20</v>
      </c>
      <c r="I835" s="1" t="s">
        <v>20</v>
      </c>
      <c r="J835" s="2">
        <v>63.3</v>
      </c>
      <c r="K835" s="3">
        <v>89</v>
      </c>
      <c r="L835" s="1" t="s">
        <v>28</v>
      </c>
    </row>
    <row r="836" spans="1:12" x14ac:dyDescent="0.35">
      <c r="A836">
        <v>835</v>
      </c>
      <c r="B836" s="1" t="s">
        <v>17</v>
      </c>
      <c r="C836" s="2">
        <v>1.7</v>
      </c>
      <c r="D836" s="3">
        <v>81.400000000000006</v>
      </c>
      <c r="E836" s="2">
        <v>5.5</v>
      </c>
      <c r="F836" s="1" t="s">
        <v>27</v>
      </c>
      <c r="G836" s="1" t="s">
        <v>19</v>
      </c>
      <c r="H836" s="1" t="s">
        <v>19</v>
      </c>
      <c r="I836" s="1" t="s">
        <v>19</v>
      </c>
      <c r="J836" s="2">
        <v>82.5</v>
      </c>
      <c r="K836" s="3">
        <v>82</v>
      </c>
      <c r="L836" s="1" t="s">
        <v>28</v>
      </c>
    </row>
    <row r="837" spans="1:12" x14ac:dyDescent="0.35">
      <c r="A837">
        <v>836</v>
      </c>
      <c r="B837" s="1" t="s">
        <v>23</v>
      </c>
      <c r="C837" s="2">
        <v>4</v>
      </c>
      <c r="D837" s="3">
        <v>78.5</v>
      </c>
      <c r="E837" s="2">
        <v>7.7</v>
      </c>
      <c r="F837" s="1" t="s">
        <v>18</v>
      </c>
      <c r="G837" s="1" t="s">
        <v>19</v>
      </c>
      <c r="H837" s="1" t="s">
        <v>19</v>
      </c>
      <c r="I837" s="1" t="s">
        <v>19</v>
      </c>
      <c r="J837" s="2">
        <v>79.2</v>
      </c>
      <c r="K837" s="3">
        <v>90</v>
      </c>
      <c r="L837" s="1" t="s">
        <v>28</v>
      </c>
    </row>
    <row r="838" spans="1:12" x14ac:dyDescent="0.35">
      <c r="A838">
        <v>837</v>
      </c>
      <c r="B838" s="1" t="s">
        <v>17</v>
      </c>
      <c r="C838" s="2">
        <v>4.5</v>
      </c>
      <c r="D838" s="3">
        <v>92.4</v>
      </c>
      <c r="E838" s="2">
        <v>8.4</v>
      </c>
      <c r="F838" s="1" t="s">
        <v>18</v>
      </c>
      <c r="G838" s="1" t="s">
        <v>19</v>
      </c>
      <c r="H838" s="1" t="s">
        <v>19</v>
      </c>
      <c r="I838" s="1" t="s">
        <v>19</v>
      </c>
      <c r="J838" s="2">
        <v>90.7</v>
      </c>
      <c r="K838" s="3">
        <v>100</v>
      </c>
      <c r="L838" s="1" t="s">
        <v>21</v>
      </c>
    </row>
    <row r="839" spans="1:12" x14ac:dyDescent="0.35">
      <c r="A839">
        <v>838</v>
      </c>
      <c r="B839" s="1" t="s">
        <v>17</v>
      </c>
      <c r="C839" s="2">
        <v>4.0999999999999996</v>
      </c>
      <c r="D839" s="3">
        <v>83.2</v>
      </c>
      <c r="E839" s="2">
        <v>7.6</v>
      </c>
      <c r="F839" s="1" t="s">
        <v>24</v>
      </c>
      <c r="G839" s="1" t="s">
        <v>19</v>
      </c>
      <c r="H839" s="1" t="s">
        <v>19</v>
      </c>
      <c r="I839" s="1" t="s">
        <v>20</v>
      </c>
      <c r="J839" s="2">
        <v>64.400000000000006</v>
      </c>
      <c r="K839" s="3">
        <v>89</v>
      </c>
      <c r="L839" s="1" t="s">
        <v>28</v>
      </c>
    </row>
    <row r="840" spans="1:12" x14ac:dyDescent="0.35">
      <c r="A840">
        <v>839</v>
      </c>
      <c r="B840" s="1" t="s">
        <v>23</v>
      </c>
      <c r="C840" s="2">
        <v>3.2</v>
      </c>
      <c r="D840" s="3">
        <v>78.5</v>
      </c>
      <c r="E840" s="2">
        <v>7.1</v>
      </c>
      <c r="F840" s="1" t="s">
        <v>24</v>
      </c>
      <c r="G840" s="1" t="s">
        <v>19</v>
      </c>
      <c r="H840" s="1" t="s">
        <v>19</v>
      </c>
      <c r="I840" s="1" t="s">
        <v>20</v>
      </c>
      <c r="J840" s="2">
        <v>54.6</v>
      </c>
      <c r="K840" s="3">
        <v>86</v>
      </c>
      <c r="L840" s="1" t="s">
        <v>28</v>
      </c>
    </row>
    <row r="841" spans="1:12" x14ac:dyDescent="0.35">
      <c r="A841">
        <v>840</v>
      </c>
      <c r="B841" s="1" t="s">
        <v>17</v>
      </c>
      <c r="C841" s="2">
        <v>3.3</v>
      </c>
      <c r="D841" s="3">
        <v>98.2</v>
      </c>
      <c r="E841" s="2">
        <v>5.6</v>
      </c>
      <c r="F841" s="1" t="s">
        <v>34</v>
      </c>
      <c r="G841" s="1" t="s">
        <v>19</v>
      </c>
      <c r="H841" s="1" t="s">
        <v>20</v>
      </c>
      <c r="I841" s="1" t="s">
        <v>19</v>
      </c>
      <c r="J841" s="2">
        <v>63.9</v>
      </c>
      <c r="K841" s="3">
        <v>83</v>
      </c>
      <c r="L841" s="1" t="s">
        <v>28</v>
      </c>
    </row>
    <row r="842" spans="1:12" x14ac:dyDescent="0.35">
      <c r="A842">
        <v>841</v>
      </c>
      <c r="B842" s="1" t="s">
        <v>17</v>
      </c>
      <c r="C842" s="2">
        <v>3.6</v>
      </c>
      <c r="D842" s="3">
        <v>99.2</v>
      </c>
      <c r="E842" s="2">
        <v>5.8</v>
      </c>
      <c r="F842" s="1" t="s">
        <v>18</v>
      </c>
      <c r="G842" s="1" t="s">
        <v>19</v>
      </c>
      <c r="H842" s="1" t="s">
        <v>19</v>
      </c>
      <c r="I842" s="1" t="s">
        <v>20</v>
      </c>
      <c r="J842" s="2">
        <v>72.5</v>
      </c>
      <c r="K842" s="3">
        <v>89</v>
      </c>
      <c r="L842" s="1" t="s">
        <v>28</v>
      </c>
    </row>
    <row r="843" spans="1:12" x14ac:dyDescent="0.35">
      <c r="A843">
        <v>842</v>
      </c>
      <c r="B843" s="1" t="s">
        <v>23</v>
      </c>
      <c r="C843" s="2">
        <v>3.3</v>
      </c>
      <c r="D843" s="3">
        <v>79</v>
      </c>
      <c r="E843" s="2">
        <v>8.3000000000000007</v>
      </c>
      <c r="F843" s="1" t="s">
        <v>18</v>
      </c>
      <c r="G843" s="1" t="s">
        <v>19</v>
      </c>
      <c r="H843" s="1" t="s">
        <v>19</v>
      </c>
      <c r="I843" s="1" t="s">
        <v>20</v>
      </c>
      <c r="J843" s="2">
        <v>70.7</v>
      </c>
      <c r="K843" s="3">
        <v>79</v>
      </c>
      <c r="L843" s="1" t="s">
        <v>32</v>
      </c>
    </row>
    <row r="844" spans="1:12" x14ac:dyDescent="0.35">
      <c r="A844">
        <v>843</v>
      </c>
      <c r="B844" s="1" t="s">
        <v>17</v>
      </c>
      <c r="C844" s="2">
        <v>4.9000000000000004</v>
      </c>
      <c r="D844" s="3">
        <v>66.3</v>
      </c>
      <c r="E844" s="2">
        <v>7.7</v>
      </c>
      <c r="F844" s="1" t="s">
        <v>24</v>
      </c>
      <c r="G844" s="1" t="s">
        <v>19</v>
      </c>
      <c r="H844" s="1" t="s">
        <v>20</v>
      </c>
      <c r="I844" s="1" t="s">
        <v>20</v>
      </c>
      <c r="J844" s="2">
        <v>65.3</v>
      </c>
      <c r="K844" s="3">
        <v>85</v>
      </c>
      <c r="L844" s="1" t="s">
        <v>28</v>
      </c>
    </row>
    <row r="845" spans="1:12" x14ac:dyDescent="0.35">
      <c r="A845">
        <v>844</v>
      </c>
      <c r="B845" s="1" t="s">
        <v>17</v>
      </c>
      <c r="C845" s="2">
        <v>6.8</v>
      </c>
      <c r="D845" s="3">
        <v>95.1</v>
      </c>
      <c r="E845" s="2">
        <v>6.8</v>
      </c>
      <c r="F845" s="1" t="s">
        <v>24</v>
      </c>
      <c r="G845" s="1" t="s">
        <v>19</v>
      </c>
      <c r="H845" s="1" t="s">
        <v>19</v>
      </c>
      <c r="I845" s="1" t="s">
        <v>20</v>
      </c>
      <c r="J845" s="2">
        <v>47.1</v>
      </c>
      <c r="K845" s="3">
        <v>80</v>
      </c>
      <c r="L845" s="1" t="s">
        <v>28</v>
      </c>
    </row>
    <row r="846" spans="1:12" x14ac:dyDescent="0.35">
      <c r="A846">
        <v>845</v>
      </c>
      <c r="B846" s="1" t="s">
        <v>17</v>
      </c>
      <c r="C846" s="2">
        <v>2.7</v>
      </c>
      <c r="D846" s="3">
        <v>78.2</v>
      </c>
      <c r="E846" s="2">
        <v>6.3</v>
      </c>
      <c r="F846" s="1" t="s">
        <v>27</v>
      </c>
      <c r="G846" s="1" t="s">
        <v>19</v>
      </c>
      <c r="H846" s="1" t="s">
        <v>19</v>
      </c>
      <c r="I846" s="1" t="s">
        <v>20</v>
      </c>
      <c r="J846" s="2">
        <v>75.599999999999994</v>
      </c>
      <c r="K846" s="3">
        <v>80</v>
      </c>
      <c r="L846" s="1" t="s">
        <v>28</v>
      </c>
    </row>
    <row r="847" spans="1:12" x14ac:dyDescent="0.35">
      <c r="A847">
        <v>846</v>
      </c>
      <c r="B847" s="1" t="s">
        <v>17</v>
      </c>
      <c r="C847" s="2">
        <v>1.4</v>
      </c>
      <c r="D847" s="3">
        <v>92.9</v>
      </c>
      <c r="E847" s="2">
        <v>4.4000000000000004</v>
      </c>
      <c r="F847" s="1" t="s">
        <v>18</v>
      </c>
      <c r="G847" s="1" t="s">
        <v>19</v>
      </c>
      <c r="H847" s="1" t="s">
        <v>20</v>
      </c>
      <c r="I847" s="1" t="s">
        <v>19</v>
      </c>
      <c r="J847" s="2">
        <v>93.7</v>
      </c>
      <c r="K847" s="3">
        <v>80</v>
      </c>
      <c r="L847" s="1" t="s">
        <v>28</v>
      </c>
    </row>
    <row r="848" spans="1:12" x14ac:dyDescent="0.35">
      <c r="A848">
        <v>847</v>
      </c>
      <c r="B848" s="1" t="s">
        <v>23</v>
      </c>
      <c r="C848" s="2">
        <v>3.4</v>
      </c>
      <c r="D848" s="3">
        <v>65.3</v>
      </c>
      <c r="E848" s="2">
        <v>5.5</v>
      </c>
      <c r="F848" s="1" t="s">
        <v>18</v>
      </c>
      <c r="G848" s="1" t="s">
        <v>19</v>
      </c>
      <c r="H848" s="1" t="s">
        <v>20</v>
      </c>
      <c r="I848" s="1" t="s">
        <v>20</v>
      </c>
      <c r="J848" s="2">
        <v>75.599999999999994</v>
      </c>
      <c r="K848" s="3">
        <v>70</v>
      </c>
      <c r="L848" s="1" t="s">
        <v>30</v>
      </c>
    </row>
    <row r="849" spans="1:12" x14ac:dyDescent="0.35">
      <c r="A849">
        <v>848</v>
      </c>
      <c r="B849" s="1" t="s">
        <v>23</v>
      </c>
      <c r="C849" s="2">
        <v>7.4</v>
      </c>
      <c r="D849" s="3">
        <v>93.9</v>
      </c>
      <c r="E849" s="2">
        <v>9.1</v>
      </c>
      <c r="F849" s="1" t="s">
        <v>24</v>
      </c>
      <c r="G849" s="1" t="s">
        <v>20</v>
      </c>
      <c r="H849" s="1" t="s">
        <v>20</v>
      </c>
      <c r="I849" s="1" t="s">
        <v>20</v>
      </c>
      <c r="J849" s="2">
        <v>77.3</v>
      </c>
      <c r="K849" s="3">
        <v>100</v>
      </c>
      <c r="L849" s="1" t="s">
        <v>21</v>
      </c>
    </row>
    <row r="850" spans="1:12" x14ac:dyDescent="0.35">
      <c r="A850">
        <v>849</v>
      </c>
      <c r="B850" s="1" t="s">
        <v>17</v>
      </c>
      <c r="C850" s="2">
        <v>2.2999999999999998</v>
      </c>
      <c r="D850" s="3">
        <v>72.900000000000006</v>
      </c>
      <c r="E850" s="2">
        <v>5.3</v>
      </c>
      <c r="F850" s="1" t="s">
        <v>33</v>
      </c>
      <c r="G850" s="1" t="s">
        <v>19</v>
      </c>
      <c r="H850" s="1" t="s">
        <v>20</v>
      </c>
      <c r="I850" s="1" t="s">
        <v>20</v>
      </c>
      <c r="J850" s="2">
        <v>76.900000000000006</v>
      </c>
      <c r="K850" s="3">
        <v>81</v>
      </c>
      <c r="L850" s="1" t="s">
        <v>28</v>
      </c>
    </row>
    <row r="851" spans="1:12" x14ac:dyDescent="0.35">
      <c r="A851">
        <v>850</v>
      </c>
      <c r="B851" s="1" t="s">
        <v>23</v>
      </c>
      <c r="C851" s="2">
        <v>6</v>
      </c>
      <c r="D851" s="3">
        <v>92.3</v>
      </c>
      <c r="E851" s="2">
        <v>7</v>
      </c>
      <c r="F851" s="1" t="s">
        <v>27</v>
      </c>
      <c r="G851" s="1" t="s">
        <v>19</v>
      </c>
      <c r="H851" s="1" t="s">
        <v>19</v>
      </c>
      <c r="I851" s="1" t="s">
        <v>19</v>
      </c>
      <c r="J851" s="2">
        <v>74.8</v>
      </c>
      <c r="K851" s="3">
        <v>100</v>
      </c>
      <c r="L851" s="1" t="s">
        <v>21</v>
      </c>
    </row>
    <row r="852" spans="1:12" x14ac:dyDescent="0.35">
      <c r="A852">
        <v>851</v>
      </c>
      <c r="B852" s="1" t="s">
        <v>17</v>
      </c>
      <c r="C852" s="2">
        <v>6</v>
      </c>
      <c r="D852" s="3">
        <v>85.1</v>
      </c>
      <c r="E852" s="2">
        <v>8</v>
      </c>
      <c r="F852" s="1" t="s">
        <v>18</v>
      </c>
      <c r="G852" s="1" t="s">
        <v>19</v>
      </c>
      <c r="H852" s="1" t="s">
        <v>20</v>
      </c>
      <c r="I852" s="1" t="s">
        <v>19</v>
      </c>
      <c r="J852" s="2">
        <v>81.2</v>
      </c>
      <c r="K852" s="3">
        <v>100</v>
      </c>
      <c r="L852" s="1" t="s">
        <v>21</v>
      </c>
    </row>
    <row r="853" spans="1:12" x14ac:dyDescent="0.35">
      <c r="A853">
        <v>852</v>
      </c>
      <c r="B853" s="1" t="s">
        <v>23</v>
      </c>
      <c r="C853" s="2">
        <v>2.7</v>
      </c>
      <c r="D853" s="3">
        <v>75.5</v>
      </c>
      <c r="E853" s="2">
        <v>5.3</v>
      </c>
      <c r="F853" s="1" t="s">
        <v>24</v>
      </c>
      <c r="G853" s="1" t="s">
        <v>19</v>
      </c>
      <c r="H853" s="1" t="s">
        <v>19</v>
      </c>
      <c r="I853" s="1" t="s">
        <v>20</v>
      </c>
      <c r="J853" s="2">
        <v>74.7</v>
      </c>
      <c r="K853" s="3">
        <v>81</v>
      </c>
      <c r="L853" s="1" t="s">
        <v>28</v>
      </c>
    </row>
    <row r="854" spans="1:12" x14ac:dyDescent="0.35">
      <c r="A854">
        <v>853</v>
      </c>
      <c r="B854" s="1" t="s">
        <v>17</v>
      </c>
      <c r="C854" s="2">
        <v>4.4000000000000004</v>
      </c>
      <c r="D854" s="3">
        <v>80.900000000000006</v>
      </c>
      <c r="E854" s="2">
        <v>7</v>
      </c>
      <c r="F854" s="1" t="s">
        <v>18</v>
      </c>
      <c r="G854" s="1" t="s">
        <v>19</v>
      </c>
      <c r="H854" s="1" t="s">
        <v>20</v>
      </c>
      <c r="I854" s="1" t="s">
        <v>20</v>
      </c>
      <c r="J854" s="2">
        <v>66.2</v>
      </c>
      <c r="K854" s="3">
        <v>87</v>
      </c>
      <c r="L854" s="1" t="s">
        <v>28</v>
      </c>
    </row>
    <row r="855" spans="1:12" x14ac:dyDescent="0.35">
      <c r="A855">
        <v>854</v>
      </c>
      <c r="B855" s="1" t="s">
        <v>17</v>
      </c>
      <c r="C855" s="2">
        <v>5.9</v>
      </c>
      <c r="D855" s="3">
        <v>91.9</v>
      </c>
      <c r="E855" s="2">
        <v>7.9</v>
      </c>
      <c r="F855" s="1" t="s">
        <v>33</v>
      </c>
      <c r="G855" s="1" t="s">
        <v>20</v>
      </c>
      <c r="H855" s="1" t="s">
        <v>19</v>
      </c>
      <c r="I855" s="1" t="s">
        <v>20</v>
      </c>
      <c r="J855" s="2">
        <v>60.4</v>
      </c>
      <c r="K855" s="3">
        <v>99</v>
      </c>
      <c r="L855" s="1" t="s">
        <v>21</v>
      </c>
    </row>
    <row r="856" spans="1:12" x14ac:dyDescent="0.35">
      <c r="A856">
        <v>855</v>
      </c>
      <c r="B856" s="1" t="s">
        <v>17</v>
      </c>
      <c r="C856" s="2">
        <v>2.9</v>
      </c>
      <c r="D856" s="3">
        <v>86.1</v>
      </c>
      <c r="E856" s="2">
        <v>6.8</v>
      </c>
      <c r="F856" s="1" t="s">
        <v>18</v>
      </c>
      <c r="G856" s="1" t="s">
        <v>19</v>
      </c>
      <c r="H856" s="1" t="s">
        <v>20</v>
      </c>
      <c r="I856" s="1" t="s">
        <v>20</v>
      </c>
      <c r="J856" s="2">
        <v>67</v>
      </c>
      <c r="K856" s="3">
        <v>82</v>
      </c>
      <c r="L856" s="1" t="s">
        <v>28</v>
      </c>
    </row>
    <row r="857" spans="1:12" x14ac:dyDescent="0.35">
      <c r="A857">
        <v>856</v>
      </c>
      <c r="B857" s="1" t="s">
        <v>17</v>
      </c>
      <c r="C857" s="2">
        <v>3.2</v>
      </c>
      <c r="D857" s="3">
        <v>90.8</v>
      </c>
      <c r="E857" s="2">
        <v>10</v>
      </c>
      <c r="F857" s="1" t="s">
        <v>34</v>
      </c>
      <c r="G857" s="1" t="s">
        <v>19</v>
      </c>
      <c r="H857" s="1" t="s">
        <v>20</v>
      </c>
      <c r="I857" s="1" t="s">
        <v>19</v>
      </c>
      <c r="J857" s="2">
        <v>73.8</v>
      </c>
      <c r="K857" s="3">
        <v>79</v>
      </c>
      <c r="L857" s="1" t="s">
        <v>32</v>
      </c>
    </row>
    <row r="858" spans="1:12" x14ac:dyDescent="0.35">
      <c r="A858">
        <v>857</v>
      </c>
      <c r="B858" s="1" t="s">
        <v>17</v>
      </c>
      <c r="C858" s="2">
        <v>2.6</v>
      </c>
      <c r="D858" s="3">
        <v>100</v>
      </c>
      <c r="E858" s="2">
        <v>4.8</v>
      </c>
      <c r="F858" s="1" t="s">
        <v>18</v>
      </c>
      <c r="G858" s="1" t="s">
        <v>19</v>
      </c>
      <c r="H858" s="1" t="s">
        <v>20</v>
      </c>
      <c r="I858" s="1" t="s">
        <v>20</v>
      </c>
      <c r="J858" s="2">
        <v>66.2</v>
      </c>
      <c r="K858" s="3">
        <v>92</v>
      </c>
      <c r="L858" s="1" t="s">
        <v>21</v>
      </c>
    </row>
    <row r="859" spans="1:12" x14ac:dyDescent="0.35">
      <c r="A859">
        <v>858</v>
      </c>
      <c r="B859" s="1" t="s">
        <v>17</v>
      </c>
      <c r="C859" s="2">
        <v>2</v>
      </c>
      <c r="D859" s="3">
        <v>69.400000000000006</v>
      </c>
      <c r="E859" s="2">
        <v>8.1</v>
      </c>
      <c r="F859" s="1" t="s">
        <v>34</v>
      </c>
      <c r="G859" s="1" t="s">
        <v>19</v>
      </c>
      <c r="H859" s="1" t="s">
        <v>19</v>
      </c>
      <c r="I859" s="1" t="s">
        <v>20</v>
      </c>
      <c r="J859" s="2">
        <v>73.8</v>
      </c>
      <c r="K859" s="3">
        <v>79</v>
      </c>
      <c r="L859" s="1" t="s">
        <v>32</v>
      </c>
    </row>
    <row r="860" spans="1:12" x14ac:dyDescent="0.35">
      <c r="A860">
        <v>859</v>
      </c>
      <c r="B860" s="1" t="s">
        <v>23</v>
      </c>
      <c r="C860" s="2">
        <v>2.5</v>
      </c>
      <c r="D860" s="3">
        <v>100</v>
      </c>
      <c r="E860" s="2">
        <v>6.6</v>
      </c>
      <c r="F860" s="1" t="s">
        <v>18</v>
      </c>
      <c r="G860" s="1" t="s">
        <v>19</v>
      </c>
      <c r="H860" s="1" t="s">
        <v>19</v>
      </c>
      <c r="I860" s="1" t="s">
        <v>20</v>
      </c>
      <c r="J860" s="2">
        <v>75.3</v>
      </c>
      <c r="K860" s="3">
        <v>85</v>
      </c>
      <c r="L860" s="1" t="s">
        <v>28</v>
      </c>
    </row>
    <row r="861" spans="1:12" x14ac:dyDescent="0.35">
      <c r="A861">
        <v>860</v>
      </c>
      <c r="B861" s="1" t="s">
        <v>17</v>
      </c>
      <c r="C861" s="2">
        <v>1.7</v>
      </c>
      <c r="D861" s="3">
        <v>86</v>
      </c>
      <c r="E861" s="2">
        <v>7.7</v>
      </c>
      <c r="F861" s="1" t="s">
        <v>24</v>
      </c>
      <c r="G861" s="1" t="s">
        <v>20</v>
      </c>
      <c r="H861" s="1" t="s">
        <v>20</v>
      </c>
      <c r="I861" s="1" t="s">
        <v>19</v>
      </c>
      <c r="J861" s="2">
        <v>80</v>
      </c>
      <c r="K861" s="3">
        <v>67</v>
      </c>
      <c r="L861" s="1" t="s">
        <v>30</v>
      </c>
    </row>
    <row r="862" spans="1:12" x14ac:dyDescent="0.35">
      <c r="A862">
        <v>861</v>
      </c>
      <c r="B862" s="1" t="s">
        <v>23</v>
      </c>
      <c r="C862" s="2">
        <v>3.6</v>
      </c>
      <c r="D862" s="3">
        <v>76</v>
      </c>
      <c r="E862" s="2">
        <v>7.3</v>
      </c>
      <c r="F862" s="1" t="s">
        <v>24</v>
      </c>
      <c r="G862" s="1" t="s">
        <v>19</v>
      </c>
      <c r="H862" s="1" t="s">
        <v>20</v>
      </c>
      <c r="I862" s="1" t="s">
        <v>20</v>
      </c>
      <c r="J862" s="2">
        <v>85.4</v>
      </c>
      <c r="K862" s="3">
        <v>91</v>
      </c>
      <c r="L862" s="1" t="s">
        <v>21</v>
      </c>
    </row>
    <row r="863" spans="1:12" x14ac:dyDescent="0.35">
      <c r="A863">
        <v>862</v>
      </c>
      <c r="B863" s="1" t="s">
        <v>17</v>
      </c>
      <c r="C863" s="2">
        <v>2.2999999999999998</v>
      </c>
      <c r="D863" s="3">
        <v>71.7</v>
      </c>
      <c r="E863" s="2">
        <v>5.9</v>
      </c>
      <c r="F863" s="1" t="s">
        <v>24</v>
      </c>
      <c r="G863" s="1" t="s">
        <v>19</v>
      </c>
      <c r="H863" s="1" t="s">
        <v>19</v>
      </c>
      <c r="I863" s="1" t="s">
        <v>20</v>
      </c>
      <c r="J863" s="2">
        <v>70.900000000000006</v>
      </c>
      <c r="K863" s="3">
        <v>74</v>
      </c>
      <c r="L863" s="1" t="s">
        <v>32</v>
      </c>
    </row>
    <row r="864" spans="1:12" x14ac:dyDescent="0.35">
      <c r="A864">
        <v>863</v>
      </c>
      <c r="B864" s="1" t="s">
        <v>23</v>
      </c>
      <c r="C864" s="2">
        <v>3.9</v>
      </c>
      <c r="D864" s="3">
        <v>83.1</v>
      </c>
      <c r="E864" s="2">
        <v>7.1</v>
      </c>
      <c r="F864" s="1" t="s">
        <v>27</v>
      </c>
      <c r="G864" s="1" t="s">
        <v>19</v>
      </c>
      <c r="H864" s="1" t="s">
        <v>20</v>
      </c>
      <c r="I864" s="1" t="s">
        <v>19</v>
      </c>
      <c r="J864" s="2">
        <v>54.3</v>
      </c>
      <c r="K864" s="3">
        <v>86</v>
      </c>
      <c r="L864" s="1" t="s">
        <v>28</v>
      </c>
    </row>
    <row r="865" spans="1:12" x14ac:dyDescent="0.35">
      <c r="A865">
        <v>864</v>
      </c>
      <c r="B865" s="1" t="s">
        <v>23</v>
      </c>
      <c r="C865" s="2">
        <v>1.2</v>
      </c>
      <c r="D865" s="3">
        <v>94.2</v>
      </c>
      <c r="E865" s="2">
        <v>4.5999999999999996</v>
      </c>
      <c r="F865" s="1" t="s">
        <v>33</v>
      </c>
      <c r="G865" s="1" t="s">
        <v>19</v>
      </c>
      <c r="H865" s="1" t="s">
        <v>20</v>
      </c>
      <c r="I865" s="1" t="s">
        <v>20</v>
      </c>
      <c r="J865" s="2">
        <v>65.900000000000006</v>
      </c>
      <c r="K865" s="3">
        <v>71</v>
      </c>
      <c r="L865" s="1" t="s">
        <v>32</v>
      </c>
    </row>
    <row r="866" spans="1:12" x14ac:dyDescent="0.35">
      <c r="A866">
        <v>865</v>
      </c>
      <c r="B866" s="1" t="s">
        <v>23</v>
      </c>
      <c r="C866" s="2">
        <v>4</v>
      </c>
      <c r="D866" s="3">
        <v>83.7</v>
      </c>
      <c r="E866" s="2">
        <v>7.5</v>
      </c>
      <c r="F866" s="1" t="s">
        <v>33</v>
      </c>
      <c r="G866" s="1" t="s">
        <v>19</v>
      </c>
      <c r="H866" s="1" t="s">
        <v>19</v>
      </c>
      <c r="I866" s="1" t="s">
        <v>20</v>
      </c>
      <c r="J866" s="2">
        <v>70.5</v>
      </c>
      <c r="K866" s="3">
        <v>84</v>
      </c>
      <c r="L866" s="1" t="s">
        <v>28</v>
      </c>
    </row>
    <row r="867" spans="1:12" x14ac:dyDescent="0.35">
      <c r="A867">
        <v>866</v>
      </c>
      <c r="B867" s="1" t="s">
        <v>17</v>
      </c>
      <c r="C867" s="2">
        <v>4.8</v>
      </c>
      <c r="D867" s="3">
        <v>100</v>
      </c>
      <c r="E867" s="2">
        <v>7.2</v>
      </c>
      <c r="F867" s="1" t="s">
        <v>24</v>
      </c>
      <c r="G867" s="1" t="s">
        <v>19</v>
      </c>
      <c r="H867" s="1" t="s">
        <v>20</v>
      </c>
      <c r="I867" s="1" t="s">
        <v>19</v>
      </c>
      <c r="J867" s="2">
        <v>48</v>
      </c>
      <c r="K867" s="3">
        <v>90</v>
      </c>
      <c r="L867" s="1" t="s">
        <v>28</v>
      </c>
    </row>
    <row r="868" spans="1:12" x14ac:dyDescent="0.35">
      <c r="A868">
        <v>867</v>
      </c>
      <c r="B868" s="1" t="s">
        <v>17</v>
      </c>
      <c r="C868" s="2">
        <v>0.5</v>
      </c>
      <c r="D868" s="3">
        <v>70.5</v>
      </c>
      <c r="E868" s="2">
        <v>7.6</v>
      </c>
      <c r="F868" s="1" t="s">
        <v>24</v>
      </c>
      <c r="G868" s="1" t="s">
        <v>19</v>
      </c>
      <c r="H868" s="1" t="s">
        <v>19</v>
      </c>
      <c r="I868" s="1" t="s">
        <v>20</v>
      </c>
      <c r="J868" s="2">
        <v>86.7</v>
      </c>
      <c r="K868" s="3">
        <v>80</v>
      </c>
      <c r="L868" s="1" t="s">
        <v>28</v>
      </c>
    </row>
    <row r="869" spans="1:12" x14ac:dyDescent="0.35">
      <c r="A869">
        <v>868</v>
      </c>
      <c r="B869" s="1" t="s">
        <v>23</v>
      </c>
      <c r="C869" s="2">
        <v>4.0999999999999996</v>
      </c>
      <c r="D869" s="3">
        <v>84.9</v>
      </c>
      <c r="E869" s="2">
        <v>8.1</v>
      </c>
      <c r="F869" s="1" t="s">
        <v>33</v>
      </c>
      <c r="G869" s="1" t="s">
        <v>19</v>
      </c>
      <c r="H869" s="1" t="s">
        <v>19</v>
      </c>
      <c r="I869" s="1" t="s">
        <v>20</v>
      </c>
      <c r="J869" s="2">
        <v>71.7</v>
      </c>
      <c r="K869" s="3">
        <v>92</v>
      </c>
      <c r="L869" s="1" t="s">
        <v>21</v>
      </c>
    </row>
    <row r="870" spans="1:12" x14ac:dyDescent="0.35">
      <c r="A870">
        <v>869</v>
      </c>
      <c r="B870" s="1" t="s">
        <v>17</v>
      </c>
      <c r="C870" s="2">
        <v>5.3</v>
      </c>
      <c r="D870" s="3">
        <v>72.5</v>
      </c>
      <c r="E870" s="2">
        <v>7.2</v>
      </c>
      <c r="F870" s="1" t="s">
        <v>18</v>
      </c>
      <c r="G870" s="1" t="s">
        <v>19</v>
      </c>
      <c r="H870" s="1" t="s">
        <v>19</v>
      </c>
      <c r="I870" s="1" t="s">
        <v>20</v>
      </c>
      <c r="J870" s="2">
        <v>74.599999999999994</v>
      </c>
      <c r="K870" s="3">
        <v>96</v>
      </c>
      <c r="L870" s="1" t="s">
        <v>21</v>
      </c>
    </row>
    <row r="871" spans="1:12" x14ac:dyDescent="0.35">
      <c r="A871">
        <v>870</v>
      </c>
      <c r="B871" s="1" t="s">
        <v>23</v>
      </c>
      <c r="C871" s="2">
        <v>1.7</v>
      </c>
      <c r="D871" s="3">
        <v>88.6</v>
      </c>
      <c r="E871" s="2">
        <v>7</v>
      </c>
      <c r="F871" s="1" t="s">
        <v>24</v>
      </c>
      <c r="G871" s="1" t="s">
        <v>19</v>
      </c>
      <c r="H871" s="1" t="s">
        <v>20</v>
      </c>
      <c r="I871" s="1" t="s">
        <v>20</v>
      </c>
      <c r="J871" s="2">
        <v>86.4</v>
      </c>
      <c r="K871" s="3">
        <v>84</v>
      </c>
      <c r="L871" s="1" t="s">
        <v>28</v>
      </c>
    </row>
    <row r="872" spans="1:12" x14ac:dyDescent="0.35">
      <c r="A872">
        <v>871</v>
      </c>
      <c r="B872" s="1" t="s">
        <v>17</v>
      </c>
      <c r="C872" s="2">
        <v>6</v>
      </c>
      <c r="D872" s="3">
        <v>93.9</v>
      </c>
      <c r="E872" s="2">
        <v>5.7</v>
      </c>
      <c r="F872" s="1" t="s">
        <v>18</v>
      </c>
      <c r="G872" s="1" t="s">
        <v>19</v>
      </c>
      <c r="H872" s="1" t="s">
        <v>20</v>
      </c>
      <c r="I872" s="1" t="s">
        <v>20</v>
      </c>
      <c r="J872" s="2">
        <v>62.4</v>
      </c>
      <c r="K872" s="3">
        <v>96</v>
      </c>
      <c r="L872" s="1" t="s">
        <v>21</v>
      </c>
    </row>
    <row r="873" spans="1:12" x14ac:dyDescent="0.35">
      <c r="A873">
        <v>872</v>
      </c>
      <c r="B873" s="1" t="s">
        <v>23</v>
      </c>
      <c r="C873" s="2">
        <v>4.0999999999999996</v>
      </c>
      <c r="D873" s="3">
        <v>80.8</v>
      </c>
      <c r="E873" s="2">
        <v>5.9</v>
      </c>
      <c r="F873" s="1" t="s">
        <v>24</v>
      </c>
      <c r="G873" s="1" t="s">
        <v>19</v>
      </c>
      <c r="H873" s="1" t="s">
        <v>19</v>
      </c>
      <c r="I873" s="1" t="s">
        <v>19</v>
      </c>
      <c r="J873" s="2">
        <v>76.900000000000006</v>
      </c>
      <c r="K873" s="3">
        <v>93</v>
      </c>
      <c r="L873" s="1" t="s">
        <v>21</v>
      </c>
    </row>
    <row r="874" spans="1:12" x14ac:dyDescent="0.35">
      <c r="A874">
        <v>873</v>
      </c>
      <c r="B874" s="1" t="s">
        <v>23</v>
      </c>
      <c r="C874" s="2">
        <v>2.4</v>
      </c>
      <c r="D874" s="3">
        <v>59</v>
      </c>
      <c r="E874" s="2">
        <v>8.1999999999999993</v>
      </c>
      <c r="F874" s="1" t="s">
        <v>24</v>
      </c>
      <c r="G874" s="1" t="s">
        <v>19</v>
      </c>
      <c r="H874" s="1" t="s">
        <v>20</v>
      </c>
      <c r="I874" s="1" t="s">
        <v>20</v>
      </c>
      <c r="J874" s="2">
        <v>68.7</v>
      </c>
      <c r="K874" s="3">
        <v>76</v>
      </c>
      <c r="L874" s="1" t="s">
        <v>32</v>
      </c>
    </row>
    <row r="875" spans="1:12" x14ac:dyDescent="0.35">
      <c r="A875">
        <v>874</v>
      </c>
      <c r="B875" s="1" t="s">
        <v>17</v>
      </c>
      <c r="C875" s="2">
        <v>3.4</v>
      </c>
      <c r="D875" s="3">
        <v>87</v>
      </c>
      <c r="E875" s="2">
        <v>8.5</v>
      </c>
      <c r="F875" s="1" t="s">
        <v>18</v>
      </c>
      <c r="G875" s="1" t="s">
        <v>19</v>
      </c>
      <c r="H875" s="1" t="s">
        <v>20</v>
      </c>
      <c r="I875" s="1" t="s">
        <v>20</v>
      </c>
      <c r="J875" s="2">
        <v>67.8</v>
      </c>
      <c r="K875" s="3">
        <v>85</v>
      </c>
      <c r="L875" s="1" t="s">
        <v>28</v>
      </c>
    </row>
    <row r="876" spans="1:12" x14ac:dyDescent="0.35">
      <c r="A876">
        <v>875</v>
      </c>
      <c r="B876" s="1" t="s">
        <v>23</v>
      </c>
      <c r="C876" s="2">
        <v>4.3</v>
      </c>
      <c r="D876" s="3">
        <v>89.4</v>
      </c>
      <c r="E876" s="2">
        <v>6.5</v>
      </c>
      <c r="F876" s="1" t="s">
        <v>24</v>
      </c>
      <c r="G876" s="1" t="s">
        <v>19</v>
      </c>
      <c r="H876" s="1" t="s">
        <v>20</v>
      </c>
      <c r="I876" s="1" t="s">
        <v>20</v>
      </c>
      <c r="J876" s="2">
        <v>60.7</v>
      </c>
      <c r="K876" s="3">
        <v>94</v>
      </c>
      <c r="L876" s="1" t="s">
        <v>21</v>
      </c>
    </row>
    <row r="877" spans="1:12" x14ac:dyDescent="0.35">
      <c r="A877">
        <v>876</v>
      </c>
      <c r="B877" s="1" t="s">
        <v>17</v>
      </c>
      <c r="C877" s="2">
        <v>3.6</v>
      </c>
      <c r="D877" s="3">
        <v>89</v>
      </c>
      <c r="E877" s="2">
        <v>6.9</v>
      </c>
      <c r="F877" s="1" t="s">
        <v>27</v>
      </c>
      <c r="G877" s="1" t="s">
        <v>19</v>
      </c>
      <c r="H877" s="1" t="s">
        <v>19</v>
      </c>
      <c r="I877" s="1" t="s">
        <v>20</v>
      </c>
      <c r="J877" s="2">
        <v>90</v>
      </c>
      <c r="K877" s="3">
        <v>81</v>
      </c>
      <c r="L877" s="1" t="s">
        <v>28</v>
      </c>
    </row>
    <row r="878" spans="1:12" x14ac:dyDescent="0.35">
      <c r="A878">
        <v>877</v>
      </c>
      <c r="B878" s="1" t="s">
        <v>23</v>
      </c>
      <c r="C878" s="2">
        <v>4.3</v>
      </c>
      <c r="D878" s="3">
        <v>97.4</v>
      </c>
      <c r="E878" s="2">
        <v>5.7</v>
      </c>
      <c r="F878" s="1" t="s">
        <v>24</v>
      </c>
      <c r="G878" s="1" t="s">
        <v>19</v>
      </c>
      <c r="H878" s="1" t="s">
        <v>20</v>
      </c>
      <c r="I878" s="1" t="s">
        <v>19</v>
      </c>
      <c r="J878" s="2">
        <v>65.5</v>
      </c>
      <c r="K878" s="3">
        <v>99</v>
      </c>
      <c r="L878" s="1" t="s">
        <v>21</v>
      </c>
    </row>
    <row r="879" spans="1:12" x14ac:dyDescent="0.35">
      <c r="A879">
        <v>878</v>
      </c>
      <c r="B879" s="1" t="s">
        <v>23</v>
      </c>
      <c r="C879" s="2">
        <v>2.1</v>
      </c>
      <c r="D879" s="3">
        <v>74.3</v>
      </c>
      <c r="E879" s="2">
        <v>8.1999999999999993</v>
      </c>
      <c r="F879" s="1" t="s">
        <v>24</v>
      </c>
      <c r="G879" s="1" t="s">
        <v>20</v>
      </c>
      <c r="H879" s="1" t="s">
        <v>19</v>
      </c>
      <c r="I879" s="1" t="s">
        <v>20</v>
      </c>
      <c r="J879" s="2">
        <v>78.400000000000006</v>
      </c>
      <c r="K879" s="3">
        <v>65</v>
      </c>
      <c r="L879" s="1" t="s">
        <v>30</v>
      </c>
    </row>
    <row r="880" spans="1:12" x14ac:dyDescent="0.35">
      <c r="A880">
        <v>879</v>
      </c>
      <c r="B880" s="1" t="s">
        <v>17</v>
      </c>
      <c r="C880" s="2">
        <v>3.8</v>
      </c>
      <c r="D880" s="3">
        <v>91.8</v>
      </c>
      <c r="E880" s="2">
        <v>7.6</v>
      </c>
      <c r="F880" s="1" t="s">
        <v>24</v>
      </c>
      <c r="G880" s="1" t="s">
        <v>19</v>
      </c>
      <c r="H880" s="1" t="s">
        <v>19</v>
      </c>
      <c r="I880" s="1" t="s">
        <v>20</v>
      </c>
      <c r="J880" s="2">
        <v>47.5</v>
      </c>
      <c r="K880" s="3">
        <v>78</v>
      </c>
      <c r="L880" s="1" t="s">
        <v>32</v>
      </c>
    </row>
    <row r="881" spans="1:12" x14ac:dyDescent="0.35">
      <c r="A881">
        <v>880</v>
      </c>
      <c r="B881" s="1" t="s">
        <v>17</v>
      </c>
      <c r="C881" s="2">
        <v>1.4</v>
      </c>
      <c r="D881" s="3">
        <v>96.9</v>
      </c>
      <c r="E881" s="2">
        <v>9.1</v>
      </c>
      <c r="F881" s="1" t="s">
        <v>33</v>
      </c>
      <c r="G881" s="1" t="s">
        <v>19</v>
      </c>
      <c r="H881" s="1" t="s">
        <v>19</v>
      </c>
      <c r="I881" s="1" t="s">
        <v>19</v>
      </c>
      <c r="J881" s="2">
        <v>84.2</v>
      </c>
      <c r="K881" s="3">
        <v>86</v>
      </c>
      <c r="L881" s="1" t="s">
        <v>28</v>
      </c>
    </row>
    <row r="882" spans="1:12" x14ac:dyDescent="0.35">
      <c r="A882">
        <v>881</v>
      </c>
      <c r="B882" s="1" t="s">
        <v>17</v>
      </c>
      <c r="C882" s="2">
        <v>3.3</v>
      </c>
      <c r="D882" s="3">
        <v>67.2</v>
      </c>
      <c r="E882" s="2">
        <v>5.7</v>
      </c>
      <c r="F882" s="1" t="s">
        <v>18</v>
      </c>
      <c r="G882" s="1" t="s">
        <v>19</v>
      </c>
      <c r="H882" s="1" t="s">
        <v>19</v>
      </c>
      <c r="I882" s="1" t="s">
        <v>20</v>
      </c>
      <c r="J882" s="2">
        <v>82.6</v>
      </c>
      <c r="K882" s="3">
        <v>81</v>
      </c>
      <c r="L882" s="1" t="s">
        <v>28</v>
      </c>
    </row>
    <row r="883" spans="1:12" x14ac:dyDescent="0.35">
      <c r="A883">
        <v>882</v>
      </c>
      <c r="B883" s="1" t="s">
        <v>23</v>
      </c>
      <c r="C883" s="2">
        <v>2.1</v>
      </c>
      <c r="D883" s="3">
        <v>88.2</v>
      </c>
      <c r="E883" s="2">
        <v>6.3</v>
      </c>
      <c r="F883" s="1" t="s">
        <v>18</v>
      </c>
      <c r="G883" s="1" t="s">
        <v>19</v>
      </c>
      <c r="H883" s="1" t="s">
        <v>20</v>
      </c>
      <c r="I883" s="1" t="s">
        <v>20</v>
      </c>
      <c r="J883" s="2">
        <v>71.2</v>
      </c>
      <c r="K883" s="3">
        <v>85</v>
      </c>
      <c r="L883" s="1" t="s">
        <v>28</v>
      </c>
    </row>
    <row r="884" spans="1:12" x14ac:dyDescent="0.35">
      <c r="A884">
        <v>883</v>
      </c>
      <c r="B884" s="1" t="s">
        <v>17</v>
      </c>
      <c r="C884" s="2">
        <v>2.4</v>
      </c>
      <c r="D884" s="3">
        <v>80</v>
      </c>
      <c r="E884" s="2">
        <v>7.1</v>
      </c>
      <c r="F884" s="1" t="s">
        <v>24</v>
      </c>
      <c r="G884" s="1" t="s">
        <v>19</v>
      </c>
      <c r="H884" s="1" t="s">
        <v>19</v>
      </c>
      <c r="I884" s="1" t="s">
        <v>20</v>
      </c>
      <c r="J884" s="2">
        <v>67.3</v>
      </c>
      <c r="K884" s="3">
        <v>72</v>
      </c>
      <c r="L884" s="1" t="s">
        <v>32</v>
      </c>
    </row>
    <row r="885" spans="1:12" x14ac:dyDescent="0.35">
      <c r="A885">
        <v>884</v>
      </c>
      <c r="B885" s="1" t="s">
        <v>23</v>
      </c>
      <c r="C885" s="2">
        <v>5.4</v>
      </c>
      <c r="D885" s="3">
        <v>84.2</v>
      </c>
      <c r="E885" s="2">
        <v>7.6</v>
      </c>
      <c r="F885" s="1" t="s">
        <v>24</v>
      </c>
      <c r="G885" s="1" t="s">
        <v>19</v>
      </c>
      <c r="H885" s="1" t="s">
        <v>20</v>
      </c>
      <c r="I885" s="1" t="s">
        <v>19</v>
      </c>
      <c r="J885" s="2">
        <v>74.8</v>
      </c>
      <c r="K885" s="3">
        <v>94</v>
      </c>
      <c r="L885" s="1" t="s">
        <v>21</v>
      </c>
    </row>
    <row r="886" spans="1:12" x14ac:dyDescent="0.35">
      <c r="A886">
        <v>885</v>
      </c>
      <c r="B886" s="1" t="s">
        <v>23</v>
      </c>
      <c r="C886" s="2">
        <v>5.0999999999999996</v>
      </c>
      <c r="D886" s="3">
        <v>88.5</v>
      </c>
      <c r="E886" s="2">
        <v>6.5</v>
      </c>
      <c r="F886" s="1" t="s">
        <v>18</v>
      </c>
      <c r="G886" s="1" t="s">
        <v>19</v>
      </c>
      <c r="H886" s="1" t="s">
        <v>19</v>
      </c>
      <c r="I886" s="1" t="s">
        <v>20</v>
      </c>
      <c r="J886" s="2">
        <v>97.5</v>
      </c>
      <c r="K886" s="3">
        <v>100</v>
      </c>
      <c r="L886" s="1" t="s">
        <v>21</v>
      </c>
    </row>
    <row r="887" spans="1:12" x14ac:dyDescent="0.35">
      <c r="A887">
        <v>886</v>
      </c>
      <c r="B887" s="1" t="s">
        <v>17</v>
      </c>
      <c r="C887" s="2">
        <v>4.4000000000000004</v>
      </c>
      <c r="D887" s="3">
        <v>80.099999999999994</v>
      </c>
      <c r="E887" s="2">
        <v>5.8</v>
      </c>
      <c r="F887" s="1" t="s">
        <v>33</v>
      </c>
      <c r="G887" s="1" t="s">
        <v>19</v>
      </c>
      <c r="H887" s="1" t="s">
        <v>19</v>
      </c>
      <c r="I887" s="1" t="s">
        <v>19</v>
      </c>
      <c r="J887" s="2">
        <v>48.8</v>
      </c>
      <c r="K887" s="3">
        <v>77</v>
      </c>
      <c r="L887" s="1" t="s">
        <v>32</v>
      </c>
    </row>
    <row r="888" spans="1:12" x14ac:dyDescent="0.35">
      <c r="A888">
        <v>887</v>
      </c>
      <c r="B888" s="1" t="s">
        <v>17</v>
      </c>
      <c r="C888" s="2">
        <v>1.9</v>
      </c>
      <c r="D888" s="3">
        <v>78.2</v>
      </c>
      <c r="E888" s="2">
        <v>7.9</v>
      </c>
      <c r="F888" s="1" t="s">
        <v>34</v>
      </c>
      <c r="G888" s="1" t="s">
        <v>19</v>
      </c>
      <c r="H888" s="1" t="s">
        <v>20</v>
      </c>
      <c r="I888" s="1" t="s">
        <v>19</v>
      </c>
      <c r="J888" s="2">
        <v>79.400000000000006</v>
      </c>
      <c r="K888" s="3">
        <v>77</v>
      </c>
      <c r="L888" s="1" t="s">
        <v>32</v>
      </c>
    </row>
    <row r="889" spans="1:12" x14ac:dyDescent="0.35">
      <c r="A889">
        <v>888</v>
      </c>
      <c r="B889" s="1" t="s">
        <v>23</v>
      </c>
      <c r="C889" s="2">
        <v>3</v>
      </c>
      <c r="D889" s="3">
        <v>85.3</v>
      </c>
      <c r="E889" s="2">
        <v>7.7</v>
      </c>
      <c r="F889" s="1" t="s">
        <v>24</v>
      </c>
      <c r="G889" s="1" t="s">
        <v>19</v>
      </c>
      <c r="H889" s="1" t="s">
        <v>20</v>
      </c>
      <c r="I889" s="1" t="s">
        <v>20</v>
      </c>
      <c r="J889" s="2">
        <v>59.1</v>
      </c>
      <c r="K889" s="3">
        <v>80</v>
      </c>
      <c r="L889" s="1" t="s">
        <v>32</v>
      </c>
    </row>
    <row r="890" spans="1:12" x14ac:dyDescent="0.35">
      <c r="A890">
        <v>889</v>
      </c>
      <c r="B890" s="1" t="s">
        <v>23</v>
      </c>
      <c r="C890" s="2">
        <v>5.3</v>
      </c>
      <c r="D890" s="3">
        <v>74.099999999999994</v>
      </c>
      <c r="E890" s="2">
        <v>5.7</v>
      </c>
      <c r="F890" s="1" t="s">
        <v>18</v>
      </c>
      <c r="G890" s="1" t="s">
        <v>19</v>
      </c>
      <c r="H890" s="1" t="s">
        <v>19</v>
      </c>
      <c r="I890" s="1" t="s">
        <v>19</v>
      </c>
      <c r="J890" s="2">
        <v>69.8</v>
      </c>
      <c r="K890" s="3">
        <v>82</v>
      </c>
      <c r="L890" s="1" t="s">
        <v>28</v>
      </c>
    </row>
    <row r="891" spans="1:12" x14ac:dyDescent="0.35">
      <c r="A891">
        <v>890</v>
      </c>
      <c r="B891" s="1" t="s">
        <v>17</v>
      </c>
      <c r="C891" s="2">
        <v>3.7</v>
      </c>
      <c r="D891" s="3">
        <v>74.099999999999994</v>
      </c>
      <c r="E891" s="2">
        <v>8.4</v>
      </c>
      <c r="F891" s="1" t="s">
        <v>27</v>
      </c>
      <c r="G891" s="1" t="s">
        <v>19</v>
      </c>
      <c r="H891" s="1" t="s">
        <v>19</v>
      </c>
      <c r="I891" s="1" t="s">
        <v>19</v>
      </c>
      <c r="J891" s="2">
        <v>67</v>
      </c>
      <c r="K891" s="3">
        <v>77</v>
      </c>
      <c r="L891" s="1" t="s">
        <v>32</v>
      </c>
    </row>
    <row r="892" spans="1:12" x14ac:dyDescent="0.35">
      <c r="A892">
        <v>891</v>
      </c>
      <c r="B892" s="1" t="s">
        <v>17</v>
      </c>
      <c r="C892" s="2">
        <v>7</v>
      </c>
      <c r="D892" s="3">
        <v>91.8</v>
      </c>
      <c r="E892" s="2">
        <v>8.1999999999999993</v>
      </c>
      <c r="F892" s="1" t="s">
        <v>18</v>
      </c>
      <c r="G892" s="1" t="s">
        <v>19</v>
      </c>
      <c r="H892" s="1" t="s">
        <v>19</v>
      </c>
      <c r="I892" s="1" t="s">
        <v>19</v>
      </c>
      <c r="J892" s="2">
        <v>64.900000000000006</v>
      </c>
      <c r="K892" s="3">
        <v>100</v>
      </c>
      <c r="L892" s="1" t="s">
        <v>21</v>
      </c>
    </row>
    <row r="893" spans="1:12" x14ac:dyDescent="0.35">
      <c r="A893">
        <v>892</v>
      </c>
      <c r="B893" s="1" t="s">
        <v>17</v>
      </c>
      <c r="C893" s="2">
        <v>4.0999999999999996</v>
      </c>
      <c r="D893" s="3">
        <v>73.5</v>
      </c>
      <c r="E893" s="2">
        <v>7</v>
      </c>
      <c r="F893" s="1" t="s">
        <v>33</v>
      </c>
      <c r="G893" s="1" t="s">
        <v>19</v>
      </c>
      <c r="H893" s="1" t="s">
        <v>19</v>
      </c>
      <c r="I893" s="1" t="s">
        <v>19</v>
      </c>
      <c r="J893" s="2">
        <v>69.900000000000006</v>
      </c>
      <c r="K893" s="3">
        <v>87</v>
      </c>
      <c r="L893" s="1" t="s">
        <v>28</v>
      </c>
    </row>
    <row r="894" spans="1:12" x14ac:dyDescent="0.35">
      <c r="A894">
        <v>893</v>
      </c>
      <c r="B894" s="1" t="s">
        <v>17</v>
      </c>
      <c r="C894" s="2">
        <v>3.8</v>
      </c>
      <c r="D894" s="3">
        <v>91.7</v>
      </c>
      <c r="E894" s="2">
        <v>6.9</v>
      </c>
      <c r="F894" s="1" t="s">
        <v>24</v>
      </c>
      <c r="G894" s="1" t="s">
        <v>19</v>
      </c>
      <c r="H894" s="1" t="s">
        <v>20</v>
      </c>
      <c r="I894" s="1" t="s">
        <v>19</v>
      </c>
      <c r="J894" s="2">
        <v>56.4</v>
      </c>
      <c r="K894" s="3">
        <v>76</v>
      </c>
      <c r="L894" s="1" t="s">
        <v>32</v>
      </c>
    </row>
    <row r="895" spans="1:12" x14ac:dyDescent="0.35">
      <c r="A895">
        <v>894</v>
      </c>
      <c r="B895" s="1" t="s">
        <v>17</v>
      </c>
      <c r="C895" s="2">
        <v>3</v>
      </c>
      <c r="D895" s="3">
        <v>89.6</v>
      </c>
      <c r="E895" s="2">
        <v>7.5</v>
      </c>
      <c r="F895" s="1" t="s">
        <v>27</v>
      </c>
      <c r="G895" s="1" t="s">
        <v>20</v>
      </c>
      <c r="H895" s="1" t="s">
        <v>20</v>
      </c>
      <c r="I895" s="1" t="s">
        <v>20</v>
      </c>
      <c r="J895" s="2">
        <v>82.4</v>
      </c>
      <c r="K895" s="3">
        <v>80</v>
      </c>
      <c r="L895" s="1" t="s">
        <v>32</v>
      </c>
    </row>
    <row r="896" spans="1:12" x14ac:dyDescent="0.35">
      <c r="A896">
        <v>895</v>
      </c>
      <c r="B896" s="1" t="s">
        <v>23</v>
      </c>
      <c r="C896" s="2">
        <v>3.7</v>
      </c>
      <c r="D896" s="3">
        <v>67.7</v>
      </c>
      <c r="E896" s="2">
        <v>5.8</v>
      </c>
      <c r="F896" s="1" t="s">
        <v>33</v>
      </c>
      <c r="G896" s="1" t="s">
        <v>19</v>
      </c>
      <c r="H896" s="1" t="s">
        <v>19</v>
      </c>
      <c r="I896" s="1" t="s">
        <v>19</v>
      </c>
      <c r="J896" s="2">
        <v>48.5</v>
      </c>
      <c r="K896" s="3">
        <v>71</v>
      </c>
      <c r="L896" s="1" t="s">
        <v>32</v>
      </c>
    </row>
    <row r="897" spans="1:12" x14ac:dyDescent="0.35">
      <c r="A897">
        <v>896</v>
      </c>
      <c r="B897" s="1" t="s">
        <v>23</v>
      </c>
      <c r="C897" s="2">
        <v>3.3</v>
      </c>
      <c r="D897" s="3">
        <v>78.2</v>
      </c>
      <c r="E897" s="2">
        <v>6.8</v>
      </c>
      <c r="F897" s="1" t="s">
        <v>27</v>
      </c>
      <c r="G897" s="1" t="s">
        <v>19</v>
      </c>
      <c r="H897" s="1" t="s">
        <v>20</v>
      </c>
      <c r="I897" s="1" t="s">
        <v>19</v>
      </c>
      <c r="J897" s="2">
        <v>76.5</v>
      </c>
      <c r="K897" s="3">
        <v>81</v>
      </c>
      <c r="L897" s="1" t="s">
        <v>28</v>
      </c>
    </row>
    <row r="898" spans="1:12" x14ac:dyDescent="0.35">
      <c r="A898">
        <v>897</v>
      </c>
      <c r="B898" s="1" t="s">
        <v>23</v>
      </c>
      <c r="C898" s="2">
        <v>4.5999999999999996</v>
      </c>
      <c r="D898" s="3">
        <v>96.9</v>
      </c>
      <c r="E898" s="2">
        <v>4.2</v>
      </c>
      <c r="F898" s="1" t="s">
        <v>33</v>
      </c>
      <c r="G898" s="1" t="s">
        <v>19</v>
      </c>
      <c r="H898" s="1" t="s">
        <v>20</v>
      </c>
      <c r="I898" s="1" t="s">
        <v>19</v>
      </c>
      <c r="J898" s="2">
        <v>66.099999999999994</v>
      </c>
      <c r="K898" s="3">
        <v>91</v>
      </c>
      <c r="L898" s="1" t="s">
        <v>21</v>
      </c>
    </row>
    <row r="899" spans="1:12" x14ac:dyDescent="0.35">
      <c r="A899">
        <v>898</v>
      </c>
      <c r="B899" s="1" t="s">
        <v>23</v>
      </c>
      <c r="C899" s="2">
        <v>4.9000000000000004</v>
      </c>
      <c r="D899" s="3">
        <v>75.2</v>
      </c>
      <c r="E899" s="2">
        <v>7.9</v>
      </c>
      <c r="F899" s="1" t="s">
        <v>18</v>
      </c>
      <c r="G899" s="1" t="s">
        <v>19</v>
      </c>
      <c r="H899" s="1" t="s">
        <v>19</v>
      </c>
      <c r="I899" s="1" t="s">
        <v>20</v>
      </c>
      <c r="J899" s="2">
        <v>55.9</v>
      </c>
      <c r="K899" s="3">
        <v>79</v>
      </c>
      <c r="L899" s="1" t="s">
        <v>32</v>
      </c>
    </row>
    <row r="900" spans="1:12" x14ac:dyDescent="0.35">
      <c r="A900">
        <v>899</v>
      </c>
      <c r="B900" s="1" t="s">
        <v>17</v>
      </c>
      <c r="C900" s="2">
        <v>2.2999999999999998</v>
      </c>
      <c r="D900" s="3">
        <v>80.400000000000006</v>
      </c>
      <c r="E900" s="2">
        <v>4.9000000000000004</v>
      </c>
      <c r="F900" s="1" t="s">
        <v>27</v>
      </c>
      <c r="G900" s="1" t="s">
        <v>19</v>
      </c>
      <c r="H900" s="1" t="s">
        <v>19</v>
      </c>
      <c r="I900" s="1" t="s">
        <v>20</v>
      </c>
      <c r="J900" s="2">
        <v>72.400000000000006</v>
      </c>
      <c r="K900" s="3">
        <v>67</v>
      </c>
      <c r="L900" s="1" t="s">
        <v>30</v>
      </c>
    </row>
    <row r="901" spans="1:12" x14ac:dyDescent="0.35">
      <c r="A901">
        <v>900</v>
      </c>
      <c r="B901" s="1" t="s">
        <v>17</v>
      </c>
      <c r="C901" s="2">
        <v>1.5</v>
      </c>
      <c r="D901" s="3">
        <v>89.6</v>
      </c>
      <c r="E901" s="2">
        <v>8.6</v>
      </c>
      <c r="F901" s="1" t="s">
        <v>24</v>
      </c>
      <c r="G901" s="1" t="s">
        <v>19</v>
      </c>
      <c r="H901" s="1" t="s">
        <v>20</v>
      </c>
      <c r="I901" s="1" t="s">
        <v>20</v>
      </c>
      <c r="J901" s="2">
        <v>51.3</v>
      </c>
      <c r="K901" s="3">
        <v>69</v>
      </c>
      <c r="L901" s="1" t="s">
        <v>30</v>
      </c>
    </row>
    <row r="902" spans="1:12" x14ac:dyDescent="0.35">
      <c r="A902">
        <v>901</v>
      </c>
      <c r="B902" s="1" t="s">
        <v>17</v>
      </c>
      <c r="C902" s="2">
        <v>0.7</v>
      </c>
      <c r="D902" s="3">
        <v>92.8</v>
      </c>
      <c r="E902" s="2">
        <v>6.4</v>
      </c>
      <c r="F902" s="1" t="s">
        <v>24</v>
      </c>
      <c r="G902" s="1" t="s">
        <v>19</v>
      </c>
      <c r="H902" s="1" t="s">
        <v>20</v>
      </c>
      <c r="I902" s="1" t="s">
        <v>20</v>
      </c>
      <c r="J902" s="2">
        <v>70.5</v>
      </c>
      <c r="K902" s="3">
        <v>70</v>
      </c>
      <c r="L902" s="1" t="s">
        <v>30</v>
      </c>
    </row>
    <row r="903" spans="1:12" x14ac:dyDescent="0.35">
      <c r="A903">
        <v>902</v>
      </c>
      <c r="B903" s="1" t="s">
        <v>23</v>
      </c>
      <c r="C903" s="2">
        <v>4.3</v>
      </c>
      <c r="D903" s="3">
        <v>82.5</v>
      </c>
      <c r="E903" s="2">
        <v>6.5</v>
      </c>
      <c r="F903" s="1" t="s">
        <v>33</v>
      </c>
      <c r="G903" s="1" t="s">
        <v>19</v>
      </c>
      <c r="H903" s="1" t="s">
        <v>19</v>
      </c>
      <c r="I903" s="1" t="s">
        <v>20</v>
      </c>
      <c r="J903" s="2">
        <v>52.9</v>
      </c>
      <c r="K903" s="3">
        <v>81</v>
      </c>
      <c r="L903" s="1" t="s">
        <v>28</v>
      </c>
    </row>
    <row r="904" spans="1:12" x14ac:dyDescent="0.35">
      <c r="A904">
        <v>903</v>
      </c>
      <c r="B904" s="1" t="s">
        <v>23</v>
      </c>
      <c r="C904" s="2">
        <v>1.8</v>
      </c>
      <c r="D904" s="3">
        <v>79</v>
      </c>
      <c r="E904" s="2">
        <v>6</v>
      </c>
      <c r="F904" s="1" t="s">
        <v>33</v>
      </c>
      <c r="G904" s="1" t="s">
        <v>19</v>
      </c>
      <c r="H904" s="1" t="s">
        <v>19</v>
      </c>
      <c r="I904" s="1" t="s">
        <v>20</v>
      </c>
      <c r="J904" s="2">
        <v>75.5</v>
      </c>
      <c r="K904" s="3">
        <v>73</v>
      </c>
      <c r="L904" s="1" t="s">
        <v>32</v>
      </c>
    </row>
    <row r="905" spans="1:12" x14ac:dyDescent="0.35">
      <c r="A905">
        <v>904</v>
      </c>
      <c r="B905" s="1" t="s">
        <v>17</v>
      </c>
      <c r="C905" s="2">
        <v>0.5</v>
      </c>
      <c r="D905" s="3">
        <v>99.2</v>
      </c>
      <c r="E905" s="2">
        <v>6.5</v>
      </c>
      <c r="F905" s="1" t="s">
        <v>27</v>
      </c>
      <c r="G905" s="1" t="s">
        <v>20</v>
      </c>
      <c r="H905" s="1" t="s">
        <v>19</v>
      </c>
      <c r="I905" s="1" t="s">
        <v>19</v>
      </c>
      <c r="J905" s="2">
        <v>58.9</v>
      </c>
      <c r="K905" s="3">
        <v>69</v>
      </c>
      <c r="L905" s="1" t="s">
        <v>30</v>
      </c>
    </row>
    <row r="906" spans="1:12" x14ac:dyDescent="0.35">
      <c r="A906">
        <v>905</v>
      </c>
      <c r="B906" s="1" t="s">
        <v>17</v>
      </c>
      <c r="C906" s="2">
        <v>4.0999999999999996</v>
      </c>
      <c r="D906" s="3">
        <v>100</v>
      </c>
      <c r="E906" s="2">
        <v>8.5</v>
      </c>
      <c r="F906" s="1" t="s">
        <v>24</v>
      </c>
      <c r="G906" s="1" t="s">
        <v>19</v>
      </c>
      <c r="H906" s="1" t="s">
        <v>20</v>
      </c>
      <c r="I906" s="1" t="s">
        <v>20</v>
      </c>
      <c r="J906" s="2">
        <v>64.599999999999994</v>
      </c>
      <c r="K906" s="3">
        <v>91</v>
      </c>
      <c r="L906" s="1" t="s">
        <v>21</v>
      </c>
    </row>
    <row r="907" spans="1:12" x14ac:dyDescent="0.35">
      <c r="A907">
        <v>906</v>
      </c>
      <c r="B907" s="1" t="s">
        <v>23</v>
      </c>
      <c r="C907" s="2">
        <v>7.2</v>
      </c>
      <c r="D907" s="3">
        <v>94.8</v>
      </c>
      <c r="E907" s="2">
        <v>3.8</v>
      </c>
      <c r="F907" s="1" t="s">
        <v>33</v>
      </c>
      <c r="G907" s="1" t="s">
        <v>19</v>
      </c>
      <c r="H907" s="1" t="s">
        <v>19</v>
      </c>
      <c r="I907" s="1" t="s">
        <v>20</v>
      </c>
      <c r="J907" s="2">
        <v>73.5</v>
      </c>
      <c r="K907" s="3">
        <v>100</v>
      </c>
      <c r="L907" s="1" t="s">
        <v>21</v>
      </c>
    </row>
    <row r="908" spans="1:12" x14ac:dyDescent="0.35">
      <c r="A908">
        <v>907</v>
      </c>
      <c r="B908" s="1" t="s">
        <v>23</v>
      </c>
      <c r="C908" s="2">
        <v>3.5</v>
      </c>
      <c r="D908" s="3">
        <v>85.9</v>
      </c>
      <c r="E908" s="2">
        <v>8.3000000000000007</v>
      </c>
      <c r="F908" s="1" t="s">
        <v>33</v>
      </c>
      <c r="G908" s="1" t="s">
        <v>19</v>
      </c>
      <c r="H908" s="1" t="s">
        <v>19</v>
      </c>
      <c r="I908" s="1" t="s">
        <v>20</v>
      </c>
      <c r="J908" s="2">
        <v>60.7</v>
      </c>
      <c r="K908" s="3">
        <v>85</v>
      </c>
      <c r="L908" s="1" t="s">
        <v>28</v>
      </c>
    </row>
    <row r="909" spans="1:12" x14ac:dyDescent="0.35">
      <c r="A909">
        <v>908</v>
      </c>
      <c r="B909" s="1" t="s">
        <v>17</v>
      </c>
      <c r="C909" s="2">
        <v>4.8</v>
      </c>
      <c r="D909" s="3">
        <v>76.900000000000006</v>
      </c>
      <c r="E909" s="2">
        <v>7.2</v>
      </c>
      <c r="F909" s="1" t="s">
        <v>24</v>
      </c>
      <c r="G909" s="1" t="s">
        <v>19</v>
      </c>
      <c r="H909" s="1" t="s">
        <v>20</v>
      </c>
      <c r="I909" s="1" t="s">
        <v>19</v>
      </c>
      <c r="J909" s="2">
        <v>69.3</v>
      </c>
      <c r="K909" s="3">
        <v>86</v>
      </c>
      <c r="L909" s="1" t="s">
        <v>28</v>
      </c>
    </row>
    <row r="910" spans="1:12" x14ac:dyDescent="0.35">
      <c r="A910">
        <v>909</v>
      </c>
      <c r="B910" s="1" t="s">
        <v>17</v>
      </c>
      <c r="C910" s="2">
        <v>3.6</v>
      </c>
      <c r="D910" s="3">
        <v>76.7</v>
      </c>
      <c r="E910" s="2">
        <v>5.4</v>
      </c>
      <c r="F910" s="1" t="s">
        <v>18</v>
      </c>
      <c r="G910" s="1" t="s">
        <v>19</v>
      </c>
      <c r="H910" s="1" t="s">
        <v>20</v>
      </c>
      <c r="I910" s="1" t="s">
        <v>20</v>
      </c>
      <c r="J910" s="2">
        <v>51.8</v>
      </c>
      <c r="K910" s="3">
        <v>73</v>
      </c>
      <c r="L910" s="1" t="s">
        <v>32</v>
      </c>
    </row>
    <row r="911" spans="1:12" x14ac:dyDescent="0.35">
      <c r="A911">
        <v>910</v>
      </c>
      <c r="B911" s="1" t="s">
        <v>23</v>
      </c>
      <c r="C911" s="2">
        <v>3.4</v>
      </c>
      <c r="D911" s="3">
        <v>90.2</v>
      </c>
      <c r="E911" s="2">
        <v>5.5</v>
      </c>
      <c r="F911" s="1" t="s">
        <v>24</v>
      </c>
      <c r="G911" s="1" t="s">
        <v>19</v>
      </c>
      <c r="H911" s="1" t="s">
        <v>20</v>
      </c>
      <c r="I911" s="1" t="s">
        <v>19</v>
      </c>
      <c r="J911" s="2">
        <v>77.599999999999994</v>
      </c>
      <c r="K911" s="3">
        <v>88</v>
      </c>
      <c r="L911" s="1" t="s">
        <v>28</v>
      </c>
    </row>
    <row r="912" spans="1:12" x14ac:dyDescent="0.35">
      <c r="A912">
        <v>911</v>
      </c>
      <c r="B912" s="1" t="s">
        <v>17</v>
      </c>
      <c r="C912" s="2">
        <v>4.9000000000000004</v>
      </c>
      <c r="D912" s="3">
        <v>89.2</v>
      </c>
      <c r="E912" s="2">
        <v>8.8000000000000007</v>
      </c>
      <c r="F912" s="1" t="s">
        <v>24</v>
      </c>
      <c r="G912" s="1" t="s">
        <v>19</v>
      </c>
      <c r="H912" s="1" t="s">
        <v>19</v>
      </c>
      <c r="I912" s="1" t="s">
        <v>19</v>
      </c>
      <c r="J912" s="2">
        <v>91.2</v>
      </c>
      <c r="K912" s="3">
        <v>97</v>
      </c>
      <c r="L912" s="1" t="s">
        <v>21</v>
      </c>
    </row>
    <row r="913" spans="1:12" x14ac:dyDescent="0.35">
      <c r="A913">
        <v>912</v>
      </c>
      <c r="B913" s="1" t="s">
        <v>17</v>
      </c>
      <c r="C913" s="2">
        <v>3.1</v>
      </c>
      <c r="D913" s="3">
        <v>99</v>
      </c>
      <c r="E913" s="2">
        <v>5.7</v>
      </c>
      <c r="F913" s="1" t="s">
        <v>27</v>
      </c>
      <c r="G913" s="1" t="s">
        <v>19</v>
      </c>
      <c r="H913" s="1" t="s">
        <v>19</v>
      </c>
      <c r="I913" s="1" t="s">
        <v>20</v>
      </c>
      <c r="J913" s="2">
        <v>100</v>
      </c>
      <c r="K913" s="3">
        <v>100</v>
      </c>
      <c r="L913" s="1" t="s">
        <v>21</v>
      </c>
    </row>
    <row r="914" spans="1:12" x14ac:dyDescent="0.35">
      <c r="A914">
        <v>913</v>
      </c>
      <c r="B914" s="1" t="s">
        <v>17</v>
      </c>
      <c r="C914" s="2">
        <v>3.9</v>
      </c>
      <c r="D914" s="3">
        <v>91.5</v>
      </c>
      <c r="E914" s="2">
        <v>5.4</v>
      </c>
      <c r="F914" s="1" t="s">
        <v>18</v>
      </c>
      <c r="G914" s="1" t="s">
        <v>20</v>
      </c>
      <c r="H914" s="1" t="s">
        <v>19</v>
      </c>
      <c r="I914" s="1" t="s">
        <v>20</v>
      </c>
      <c r="J914" s="2">
        <v>71.099999999999994</v>
      </c>
      <c r="K914" s="3">
        <v>82</v>
      </c>
      <c r="L914" s="1" t="s">
        <v>28</v>
      </c>
    </row>
    <row r="915" spans="1:12" x14ac:dyDescent="0.35">
      <c r="A915">
        <v>914</v>
      </c>
      <c r="B915" s="1" t="s">
        <v>23</v>
      </c>
      <c r="C915" s="2">
        <v>4</v>
      </c>
      <c r="D915" s="3">
        <v>70</v>
      </c>
      <c r="E915" s="2">
        <v>8.1999999999999993</v>
      </c>
      <c r="F915" s="1" t="s">
        <v>33</v>
      </c>
      <c r="G915" s="1" t="s">
        <v>19</v>
      </c>
      <c r="H915" s="1" t="s">
        <v>19</v>
      </c>
      <c r="I915" s="1" t="s">
        <v>20</v>
      </c>
      <c r="J915" s="2">
        <v>79.5</v>
      </c>
      <c r="K915" s="3">
        <v>80</v>
      </c>
      <c r="L915" s="1" t="s">
        <v>28</v>
      </c>
    </row>
    <row r="916" spans="1:12" x14ac:dyDescent="0.35">
      <c r="A916">
        <v>915</v>
      </c>
      <c r="B916" s="1" t="s">
        <v>23</v>
      </c>
      <c r="C916" s="2">
        <v>2.5</v>
      </c>
      <c r="D916" s="3">
        <v>95.5</v>
      </c>
      <c r="E916" s="2">
        <v>7.2</v>
      </c>
      <c r="F916" s="1" t="s">
        <v>27</v>
      </c>
      <c r="G916" s="1" t="s">
        <v>19</v>
      </c>
      <c r="H916" s="1" t="s">
        <v>20</v>
      </c>
      <c r="I916" s="1" t="s">
        <v>20</v>
      </c>
      <c r="J916" s="2">
        <v>48.6</v>
      </c>
      <c r="K916" s="3">
        <v>77</v>
      </c>
      <c r="L916" s="1" t="s">
        <v>32</v>
      </c>
    </row>
    <row r="917" spans="1:12" x14ac:dyDescent="0.35">
      <c r="A917">
        <v>916</v>
      </c>
      <c r="B917" s="1" t="s">
        <v>23</v>
      </c>
      <c r="C917" s="2">
        <v>5</v>
      </c>
      <c r="D917" s="3">
        <v>75</v>
      </c>
      <c r="E917" s="2">
        <v>5.7</v>
      </c>
      <c r="F917" s="1" t="s">
        <v>18</v>
      </c>
      <c r="G917" s="1" t="s">
        <v>20</v>
      </c>
      <c r="H917" s="1" t="s">
        <v>19</v>
      </c>
      <c r="I917" s="1" t="s">
        <v>19</v>
      </c>
      <c r="J917" s="2">
        <v>88</v>
      </c>
      <c r="K917" s="3">
        <v>82</v>
      </c>
      <c r="L917" s="1" t="s">
        <v>28</v>
      </c>
    </row>
    <row r="918" spans="1:12" x14ac:dyDescent="0.35">
      <c r="A918">
        <v>917</v>
      </c>
      <c r="B918" s="1" t="s">
        <v>23</v>
      </c>
      <c r="C918" s="2">
        <v>3.2</v>
      </c>
      <c r="D918" s="3">
        <v>81.2</v>
      </c>
      <c r="E918" s="2">
        <v>7.1</v>
      </c>
      <c r="F918" s="1" t="s">
        <v>33</v>
      </c>
      <c r="G918" s="1" t="s">
        <v>19</v>
      </c>
      <c r="H918" s="1" t="s">
        <v>19</v>
      </c>
      <c r="I918" s="1" t="s">
        <v>19</v>
      </c>
      <c r="J918" s="2">
        <v>79.3</v>
      </c>
      <c r="K918" s="3">
        <v>88</v>
      </c>
      <c r="L918" s="1" t="s">
        <v>28</v>
      </c>
    </row>
    <row r="919" spans="1:12" x14ac:dyDescent="0.35">
      <c r="A919">
        <v>918</v>
      </c>
      <c r="B919" s="1" t="s">
        <v>23</v>
      </c>
      <c r="C919" s="2">
        <v>2.4</v>
      </c>
      <c r="D919" s="3">
        <v>87.5</v>
      </c>
      <c r="E919" s="2">
        <v>5.6</v>
      </c>
      <c r="F919" s="1" t="s">
        <v>18</v>
      </c>
      <c r="G919" s="1" t="s">
        <v>19</v>
      </c>
      <c r="H919" s="1" t="s">
        <v>19</v>
      </c>
      <c r="I919" s="1" t="s">
        <v>19</v>
      </c>
      <c r="J919" s="2">
        <v>64.2</v>
      </c>
      <c r="K919" s="3">
        <v>88</v>
      </c>
      <c r="L919" s="1" t="s">
        <v>28</v>
      </c>
    </row>
    <row r="920" spans="1:12" x14ac:dyDescent="0.35">
      <c r="A920">
        <v>919</v>
      </c>
      <c r="B920" s="1" t="s">
        <v>23</v>
      </c>
      <c r="C920" s="2">
        <v>4.3</v>
      </c>
      <c r="D920" s="3">
        <v>100</v>
      </c>
      <c r="E920" s="2">
        <v>8.1</v>
      </c>
      <c r="F920" s="1" t="s">
        <v>34</v>
      </c>
      <c r="G920" s="1" t="s">
        <v>19</v>
      </c>
      <c r="H920" s="1" t="s">
        <v>19</v>
      </c>
      <c r="I920" s="1" t="s">
        <v>20</v>
      </c>
      <c r="J920" s="2">
        <v>84.8</v>
      </c>
      <c r="K920" s="3">
        <v>97</v>
      </c>
      <c r="L920" s="1" t="s">
        <v>21</v>
      </c>
    </row>
    <row r="921" spans="1:12" x14ac:dyDescent="0.35">
      <c r="A921">
        <v>920</v>
      </c>
      <c r="B921" s="1" t="s">
        <v>23</v>
      </c>
      <c r="C921" s="2">
        <v>2.2000000000000002</v>
      </c>
      <c r="D921" s="3">
        <v>100</v>
      </c>
      <c r="E921" s="2">
        <v>8.1</v>
      </c>
      <c r="F921" s="1" t="s">
        <v>24</v>
      </c>
      <c r="G921" s="1" t="s">
        <v>19</v>
      </c>
      <c r="H921" s="1" t="s">
        <v>20</v>
      </c>
      <c r="I921" s="1" t="s">
        <v>19</v>
      </c>
      <c r="J921" s="2">
        <v>66.900000000000006</v>
      </c>
      <c r="K921" s="3">
        <v>83</v>
      </c>
      <c r="L921" s="1" t="s">
        <v>28</v>
      </c>
    </row>
    <row r="922" spans="1:12" x14ac:dyDescent="0.35">
      <c r="A922">
        <v>921</v>
      </c>
      <c r="B922" s="1" t="s">
        <v>17</v>
      </c>
      <c r="C922" s="2">
        <v>3.5</v>
      </c>
      <c r="D922" s="3">
        <v>91.1</v>
      </c>
      <c r="E922" s="2">
        <v>7.4</v>
      </c>
      <c r="F922" s="1" t="s">
        <v>27</v>
      </c>
      <c r="G922" s="1" t="s">
        <v>19</v>
      </c>
      <c r="H922" s="1" t="s">
        <v>19</v>
      </c>
      <c r="I922" s="1" t="s">
        <v>19</v>
      </c>
      <c r="J922" s="2">
        <v>64.5</v>
      </c>
      <c r="K922" s="3">
        <v>73</v>
      </c>
      <c r="L922" s="1" t="s">
        <v>32</v>
      </c>
    </row>
    <row r="923" spans="1:12" x14ac:dyDescent="0.35">
      <c r="A923">
        <v>922</v>
      </c>
      <c r="B923" s="1" t="s">
        <v>17</v>
      </c>
      <c r="C923" s="2">
        <v>3.5</v>
      </c>
      <c r="D923" s="3">
        <v>83.2</v>
      </c>
      <c r="E923" s="2">
        <v>7.2</v>
      </c>
      <c r="F923" s="1" t="s">
        <v>24</v>
      </c>
      <c r="G923" s="1" t="s">
        <v>19</v>
      </c>
      <c r="H923" s="1" t="s">
        <v>19</v>
      </c>
      <c r="I923" s="1" t="s">
        <v>20</v>
      </c>
      <c r="J923" s="2">
        <v>75.7</v>
      </c>
      <c r="K923" s="3">
        <v>91</v>
      </c>
      <c r="L923" s="1" t="s">
        <v>21</v>
      </c>
    </row>
    <row r="924" spans="1:12" x14ac:dyDescent="0.35">
      <c r="A924">
        <v>923</v>
      </c>
      <c r="B924" s="1" t="s">
        <v>17</v>
      </c>
      <c r="C924" s="2">
        <v>5.0999999999999996</v>
      </c>
      <c r="D924" s="3">
        <v>90.3</v>
      </c>
      <c r="E924" s="2">
        <v>8.9</v>
      </c>
      <c r="F924" s="1" t="s">
        <v>24</v>
      </c>
      <c r="G924" s="1" t="s">
        <v>19</v>
      </c>
      <c r="H924" s="1" t="s">
        <v>19</v>
      </c>
      <c r="I924" s="1" t="s">
        <v>19</v>
      </c>
      <c r="J924" s="2">
        <v>57.2</v>
      </c>
      <c r="K924" s="3">
        <v>84</v>
      </c>
      <c r="L924" s="1" t="s">
        <v>28</v>
      </c>
    </row>
    <row r="925" spans="1:12" x14ac:dyDescent="0.35">
      <c r="A925">
        <v>924</v>
      </c>
      <c r="B925" s="1" t="s">
        <v>17</v>
      </c>
      <c r="C925" s="2">
        <v>4.2</v>
      </c>
      <c r="D925" s="3">
        <v>93.9</v>
      </c>
      <c r="E925" s="2">
        <v>6.8</v>
      </c>
      <c r="F925" s="1" t="s">
        <v>33</v>
      </c>
      <c r="G925" s="1" t="s">
        <v>19</v>
      </c>
      <c r="H925" s="1" t="s">
        <v>19</v>
      </c>
      <c r="I925" s="1" t="s">
        <v>20</v>
      </c>
      <c r="J925" s="2">
        <v>82.3</v>
      </c>
      <c r="K925" s="3">
        <v>93</v>
      </c>
      <c r="L925" s="1" t="s">
        <v>21</v>
      </c>
    </row>
    <row r="926" spans="1:12" x14ac:dyDescent="0.35">
      <c r="A926">
        <v>925</v>
      </c>
      <c r="B926" s="1" t="s">
        <v>17</v>
      </c>
      <c r="C926" s="2">
        <v>3.5</v>
      </c>
      <c r="D926" s="3">
        <v>81.8</v>
      </c>
      <c r="E926" s="2">
        <v>5.4</v>
      </c>
      <c r="F926" s="1" t="s">
        <v>18</v>
      </c>
      <c r="G926" s="1" t="s">
        <v>19</v>
      </c>
      <c r="H926" s="1" t="s">
        <v>19</v>
      </c>
      <c r="I926" s="1" t="s">
        <v>20</v>
      </c>
      <c r="J926" s="2">
        <v>57.3</v>
      </c>
      <c r="K926" s="3">
        <v>71</v>
      </c>
      <c r="L926" s="1" t="s">
        <v>32</v>
      </c>
    </row>
    <row r="927" spans="1:12" x14ac:dyDescent="0.35">
      <c r="A927">
        <v>926</v>
      </c>
      <c r="B927" s="1" t="s">
        <v>17</v>
      </c>
      <c r="C927" s="2">
        <v>4.7</v>
      </c>
      <c r="D927" s="3">
        <v>100</v>
      </c>
      <c r="E927" s="2">
        <v>7.3</v>
      </c>
      <c r="F927" s="1" t="s">
        <v>18</v>
      </c>
      <c r="G927" s="1" t="s">
        <v>19</v>
      </c>
      <c r="H927" s="1" t="s">
        <v>20</v>
      </c>
      <c r="I927" s="1" t="s">
        <v>20</v>
      </c>
      <c r="J927" s="2">
        <v>57.4</v>
      </c>
      <c r="K927" s="3">
        <v>95</v>
      </c>
      <c r="L927" s="1" t="s">
        <v>21</v>
      </c>
    </row>
    <row r="928" spans="1:12" x14ac:dyDescent="0.35">
      <c r="A928">
        <v>927</v>
      </c>
      <c r="B928" s="1" t="s">
        <v>17</v>
      </c>
      <c r="C928" s="2">
        <v>5.6</v>
      </c>
      <c r="D928" s="3">
        <v>87.3</v>
      </c>
      <c r="E928" s="2">
        <v>9.3000000000000007</v>
      </c>
      <c r="F928" s="1" t="s">
        <v>18</v>
      </c>
      <c r="G928" s="1" t="s">
        <v>19</v>
      </c>
      <c r="H928" s="1" t="s">
        <v>20</v>
      </c>
      <c r="I928" s="1" t="s">
        <v>20</v>
      </c>
      <c r="J928" s="2">
        <v>59.1</v>
      </c>
      <c r="K928" s="3">
        <v>100</v>
      </c>
      <c r="L928" s="1" t="s">
        <v>21</v>
      </c>
    </row>
    <row r="929" spans="1:12" x14ac:dyDescent="0.35">
      <c r="A929">
        <v>928</v>
      </c>
      <c r="B929" s="1" t="s">
        <v>23</v>
      </c>
      <c r="C929" s="2">
        <v>4.3</v>
      </c>
      <c r="D929" s="3">
        <v>90</v>
      </c>
      <c r="E929" s="2">
        <v>5.6</v>
      </c>
      <c r="F929" s="1" t="s">
        <v>33</v>
      </c>
      <c r="G929" s="1" t="s">
        <v>19</v>
      </c>
      <c r="H929" s="1" t="s">
        <v>20</v>
      </c>
      <c r="I929" s="1" t="s">
        <v>20</v>
      </c>
      <c r="J929" s="2">
        <v>79.099999999999994</v>
      </c>
      <c r="K929" s="3">
        <v>92</v>
      </c>
      <c r="L929" s="1" t="s">
        <v>21</v>
      </c>
    </row>
    <row r="930" spans="1:12" x14ac:dyDescent="0.35">
      <c r="A930">
        <v>929</v>
      </c>
      <c r="B930" s="1" t="s">
        <v>23</v>
      </c>
      <c r="C930" s="2">
        <v>3.5</v>
      </c>
      <c r="D930" s="3">
        <v>91.7</v>
      </c>
      <c r="E930" s="2">
        <v>6.4</v>
      </c>
      <c r="F930" s="1" t="s">
        <v>24</v>
      </c>
      <c r="G930" s="1" t="s">
        <v>19</v>
      </c>
      <c r="H930" s="1" t="s">
        <v>20</v>
      </c>
      <c r="I930" s="1" t="s">
        <v>19</v>
      </c>
      <c r="J930" s="2">
        <v>62.6</v>
      </c>
      <c r="K930" s="3">
        <v>75</v>
      </c>
      <c r="L930" s="1" t="s">
        <v>32</v>
      </c>
    </row>
    <row r="931" spans="1:12" x14ac:dyDescent="0.35">
      <c r="A931">
        <v>930</v>
      </c>
      <c r="B931" s="1" t="s">
        <v>17</v>
      </c>
      <c r="C931" s="2">
        <v>1.5</v>
      </c>
      <c r="D931" s="3">
        <v>89.2</v>
      </c>
      <c r="E931" s="2">
        <v>7.3</v>
      </c>
      <c r="F931" s="1" t="s">
        <v>24</v>
      </c>
      <c r="G931" s="1" t="s">
        <v>19</v>
      </c>
      <c r="H931" s="1" t="s">
        <v>20</v>
      </c>
      <c r="I931" s="1" t="s">
        <v>20</v>
      </c>
      <c r="J931" s="2">
        <v>53.8</v>
      </c>
      <c r="K931" s="3">
        <v>81</v>
      </c>
      <c r="L931" s="1" t="s">
        <v>28</v>
      </c>
    </row>
    <row r="932" spans="1:12" x14ac:dyDescent="0.35">
      <c r="A932">
        <v>931</v>
      </c>
      <c r="B932" s="1" t="s">
        <v>17</v>
      </c>
      <c r="C932" s="2">
        <v>1.9</v>
      </c>
      <c r="D932" s="3">
        <v>93.4</v>
      </c>
      <c r="E932" s="2">
        <v>6.7</v>
      </c>
      <c r="F932" s="1" t="s">
        <v>24</v>
      </c>
      <c r="G932" s="1" t="s">
        <v>19</v>
      </c>
      <c r="H932" s="1" t="s">
        <v>20</v>
      </c>
      <c r="I932" s="1" t="s">
        <v>20</v>
      </c>
      <c r="J932" s="2">
        <v>62.7</v>
      </c>
      <c r="K932" s="3">
        <v>73</v>
      </c>
      <c r="L932" s="1" t="s">
        <v>32</v>
      </c>
    </row>
    <row r="933" spans="1:12" x14ac:dyDescent="0.35">
      <c r="A933">
        <v>932</v>
      </c>
      <c r="B933" s="1" t="s">
        <v>23</v>
      </c>
      <c r="C933" s="2">
        <v>3</v>
      </c>
      <c r="D933" s="3">
        <v>78.8</v>
      </c>
      <c r="E933" s="2">
        <v>5.6</v>
      </c>
      <c r="F933" s="1" t="s">
        <v>18</v>
      </c>
      <c r="G933" s="1" t="s">
        <v>19</v>
      </c>
      <c r="H933" s="1" t="s">
        <v>19</v>
      </c>
      <c r="I933" s="1" t="s">
        <v>19</v>
      </c>
      <c r="J933" s="2">
        <v>69.599999999999994</v>
      </c>
      <c r="K933" s="3">
        <v>64</v>
      </c>
      <c r="L933" s="1" t="s">
        <v>30</v>
      </c>
    </row>
    <row r="934" spans="1:12" x14ac:dyDescent="0.35">
      <c r="A934">
        <v>933</v>
      </c>
      <c r="B934" s="1" t="s">
        <v>17</v>
      </c>
      <c r="C934" s="2">
        <v>2.6</v>
      </c>
      <c r="D934" s="3">
        <v>79.400000000000006</v>
      </c>
      <c r="E934" s="2">
        <v>8.1</v>
      </c>
      <c r="F934" s="1" t="s">
        <v>24</v>
      </c>
      <c r="G934" s="1" t="s">
        <v>19</v>
      </c>
      <c r="H934" s="1" t="s">
        <v>19</v>
      </c>
      <c r="I934" s="1" t="s">
        <v>19</v>
      </c>
      <c r="J934" s="2">
        <v>55.8</v>
      </c>
      <c r="K934" s="3">
        <v>75</v>
      </c>
      <c r="L934" s="1" t="s">
        <v>32</v>
      </c>
    </row>
    <row r="935" spans="1:12" x14ac:dyDescent="0.35">
      <c r="A935">
        <v>934</v>
      </c>
      <c r="B935" s="1" t="s">
        <v>17</v>
      </c>
      <c r="C935" s="2">
        <v>3.2</v>
      </c>
      <c r="D935" s="3">
        <v>74</v>
      </c>
      <c r="E935" s="2">
        <v>9.6</v>
      </c>
      <c r="F935" s="1" t="s">
        <v>18</v>
      </c>
      <c r="G935" s="1" t="s">
        <v>19</v>
      </c>
      <c r="H935" s="1" t="s">
        <v>19</v>
      </c>
      <c r="I935" s="1" t="s">
        <v>20</v>
      </c>
      <c r="J935" s="2">
        <v>56.2</v>
      </c>
      <c r="K935" s="3">
        <v>72</v>
      </c>
      <c r="L935" s="1" t="s">
        <v>32</v>
      </c>
    </row>
    <row r="936" spans="1:12" x14ac:dyDescent="0.35">
      <c r="A936">
        <v>935</v>
      </c>
      <c r="B936" s="1" t="s">
        <v>23</v>
      </c>
      <c r="C936" s="2">
        <v>3.6</v>
      </c>
      <c r="D936" s="3">
        <v>89.4</v>
      </c>
      <c r="E936" s="2">
        <v>7</v>
      </c>
      <c r="F936" s="1" t="s">
        <v>18</v>
      </c>
      <c r="G936" s="1" t="s">
        <v>19</v>
      </c>
      <c r="H936" s="1" t="s">
        <v>20</v>
      </c>
      <c r="I936" s="1" t="s">
        <v>20</v>
      </c>
      <c r="J936" s="2">
        <v>95.3</v>
      </c>
      <c r="K936" s="3">
        <v>100</v>
      </c>
      <c r="L936" s="1" t="s">
        <v>21</v>
      </c>
    </row>
    <row r="937" spans="1:12" x14ac:dyDescent="0.35">
      <c r="A937">
        <v>936</v>
      </c>
      <c r="B937" s="1" t="s">
        <v>17</v>
      </c>
      <c r="C937" s="2">
        <v>4.3</v>
      </c>
      <c r="D937" s="3">
        <v>92.8</v>
      </c>
      <c r="E937" s="2">
        <v>5.7</v>
      </c>
      <c r="F937" s="1" t="s">
        <v>24</v>
      </c>
      <c r="G937" s="1" t="s">
        <v>19</v>
      </c>
      <c r="H937" s="1" t="s">
        <v>20</v>
      </c>
      <c r="I937" s="1" t="s">
        <v>20</v>
      </c>
      <c r="J937" s="2">
        <v>59.7</v>
      </c>
      <c r="K937" s="3">
        <v>83</v>
      </c>
      <c r="L937" s="1" t="s">
        <v>28</v>
      </c>
    </row>
    <row r="938" spans="1:12" x14ac:dyDescent="0.35">
      <c r="A938">
        <v>937</v>
      </c>
      <c r="B938" s="1" t="s">
        <v>23</v>
      </c>
      <c r="C938" s="2">
        <v>3.4</v>
      </c>
      <c r="D938" s="3">
        <v>89.6</v>
      </c>
      <c r="E938" s="2">
        <v>4.9000000000000004</v>
      </c>
      <c r="F938" s="1" t="s">
        <v>18</v>
      </c>
      <c r="G938" s="1" t="s">
        <v>19</v>
      </c>
      <c r="H938" s="1" t="s">
        <v>20</v>
      </c>
      <c r="I938" s="1" t="s">
        <v>20</v>
      </c>
      <c r="J938" s="2">
        <v>66.099999999999994</v>
      </c>
      <c r="K938" s="3">
        <v>86</v>
      </c>
      <c r="L938" s="1" t="s">
        <v>28</v>
      </c>
    </row>
    <row r="939" spans="1:12" x14ac:dyDescent="0.35">
      <c r="A939">
        <v>938</v>
      </c>
      <c r="B939" s="1" t="s">
        <v>17</v>
      </c>
      <c r="C939" s="2">
        <v>4.2</v>
      </c>
      <c r="D939" s="3">
        <v>100</v>
      </c>
      <c r="E939" s="2">
        <v>7.1</v>
      </c>
      <c r="F939" s="1" t="s">
        <v>34</v>
      </c>
      <c r="G939" s="1" t="s">
        <v>20</v>
      </c>
      <c r="H939" s="1" t="s">
        <v>19</v>
      </c>
      <c r="I939" s="1" t="s">
        <v>19</v>
      </c>
      <c r="J939" s="2">
        <v>65.599999999999994</v>
      </c>
      <c r="K939" s="3">
        <v>93</v>
      </c>
      <c r="L939" s="1" t="s">
        <v>21</v>
      </c>
    </row>
    <row r="940" spans="1:12" x14ac:dyDescent="0.35">
      <c r="A940">
        <v>939</v>
      </c>
      <c r="B940" s="1" t="s">
        <v>23</v>
      </c>
      <c r="C940" s="2">
        <v>3.6</v>
      </c>
      <c r="D940" s="3">
        <v>84.9</v>
      </c>
      <c r="E940" s="2">
        <v>8.1</v>
      </c>
      <c r="F940" s="1" t="s">
        <v>24</v>
      </c>
      <c r="G940" s="1" t="s">
        <v>19</v>
      </c>
      <c r="H940" s="1" t="s">
        <v>20</v>
      </c>
      <c r="I940" s="1" t="s">
        <v>20</v>
      </c>
      <c r="J940" s="2">
        <v>64.900000000000006</v>
      </c>
      <c r="K940" s="3">
        <v>77</v>
      </c>
      <c r="L940" s="1" t="s">
        <v>32</v>
      </c>
    </row>
    <row r="941" spans="1:12" x14ac:dyDescent="0.35">
      <c r="A941">
        <v>940</v>
      </c>
      <c r="B941" s="1" t="s">
        <v>23</v>
      </c>
      <c r="C941" s="2">
        <v>0.5</v>
      </c>
      <c r="D941" s="3">
        <v>91.7</v>
      </c>
      <c r="E941" s="2">
        <v>7.4</v>
      </c>
      <c r="F941" s="1" t="s">
        <v>18</v>
      </c>
      <c r="G941" s="1" t="s">
        <v>19</v>
      </c>
      <c r="H941" s="1" t="s">
        <v>19</v>
      </c>
      <c r="I941" s="1" t="s">
        <v>20</v>
      </c>
      <c r="J941" s="2">
        <v>77.5</v>
      </c>
      <c r="K941" s="3">
        <v>75</v>
      </c>
      <c r="L941" s="1" t="s">
        <v>32</v>
      </c>
    </row>
    <row r="942" spans="1:12" x14ac:dyDescent="0.35">
      <c r="A942">
        <v>941</v>
      </c>
      <c r="B942" s="1" t="s">
        <v>23</v>
      </c>
      <c r="C942" s="2">
        <v>2.1</v>
      </c>
      <c r="D942" s="3">
        <v>74.099999999999994</v>
      </c>
      <c r="E942" s="2">
        <v>6.8</v>
      </c>
      <c r="F942" s="1" t="s">
        <v>33</v>
      </c>
      <c r="G942" s="1" t="s">
        <v>19</v>
      </c>
      <c r="H942" s="1" t="s">
        <v>19</v>
      </c>
      <c r="I942" s="1" t="s">
        <v>19</v>
      </c>
      <c r="J942" s="2">
        <v>81.400000000000006</v>
      </c>
      <c r="K942" s="3">
        <v>77</v>
      </c>
      <c r="L942" s="1" t="s">
        <v>32</v>
      </c>
    </row>
    <row r="943" spans="1:12" x14ac:dyDescent="0.35">
      <c r="A943">
        <v>942</v>
      </c>
      <c r="B943" s="1" t="s">
        <v>17</v>
      </c>
      <c r="C943" s="2">
        <v>3.3</v>
      </c>
      <c r="D943" s="3">
        <v>81.099999999999994</v>
      </c>
      <c r="E943" s="2">
        <v>6.1</v>
      </c>
      <c r="F943" s="1" t="s">
        <v>18</v>
      </c>
      <c r="G943" s="1" t="s">
        <v>20</v>
      </c>
      <c r="H943" s="1" t="s">
        <v>19</v>
      </c>
      <c r="I943" s="1" t="s">
        <v>20</v>
      </c>
      <c r="J943" s="2">
        <v>66.3</v>
      </c>
      <c r="K943" s="3">
        <v>85</v>
      </c>
      <c r="L943" s="1" t="s">
        <v>28</v>
      </c>
    </row>
    <row r="944" spans="1:12" x14ac:dyDescent="0.35">
      <c r="A944">
        <v>943</v>
      </c>
      <c r="B944" s="1" t="s">
        <v>23</v>
      </c>
      <c r="C944" s="2">
        <v>1.7</v>
      </c>
      <c r="D944" s="3">
        <v>92</v>
      </c>
      <c r="E944" s="2">
        <v>5.5</v>
      </c>
      <c r="F944" s="1" t="s">
        <v>33</v>
      </c>
      <c r="G944" s="1" t="s">
        <v>19</v>
      </c>
      <c r="H944" s="1" t="s">
        <v>19</v>
      </c>
      <c r="I944" s="1" t="s">
        <v>20</v>
      </c>
      <c r="J944" s="2">
        <v>55.2</v>
      </c>
      <c r="K944" s="3">
        <v>69</v>
      </c>
      <c r="L944" s="1" t="s">
        <v>30</v>
      </c>
    </row>
    <row r="945" spans="1:12" x14ac:dyDescent="0.35">
      <c r="A945">
        <v>944</v>
      </c>
      <c r="B945" s="1" t="s">
        <v>17</v>
      </c>
      <c r="C945" s="2">
        <v>4.4000000000000004</v>
      </c>
      <c r="D945" s="3">
        <v>93.5</v>
      </c>
      <c r="E945" s="2">
        <v>7.8</v>
      </c>
      <c r="F945" s="1" t="s">
        <v>18</v>
      </c>
      <c r="G945" s="1" t="s">
        <v>19</v>
      </c>
      <c r="H945" s="1" t="s">
        <v>19</v>
      </c>
      <c r="I945" s="1" t="s">
        <v>20</v>
      </c>
      <c r="J945" s="2">
        <v>85.3</v>
      </c>
      <c r="K945" s="3">
        <v>96</v>
      </c>
      <c r="L945" s="1" t="s">
        <v>21</v>
      </c>
    </row>
    <row r="946" spans="1:12" x14ac:dyDescent="0.35">
      <c r="A946">
        <v>945</v>
      </c>
      <c r="B946" s="1" t="s">
        <v>17</v>
      </c>
      <c r="C946" s="2">
        <v>5.8</v>
      </c>
      <c r="D946" s="3">
        <v>82.1</v>
      </c>
      <c r="E946" s="2">
        <v>7.9</v>
      </c>
      <c r="F946" s="1" t="s">
        <v>18</v>
      </c>
      <c r="G946" s="1" t="s">
        <v>19</v>
      </c>
      <c r="H946" s="1" t="s">
        <v>19</v>
      </c>
      <c r="I946" s="1" t="s">
        <v>19</v>
      </c>
      <c r="J946" s="2">
        <v>68.900000000000006</v>
      </c>
      <c r="K946" s="3">
        <v>96</v>
      </c>
      <c r="L946" s="1" t="s">
        <v>21</v>
      </c>
    </row>
    <row r="947" spans="1:12" x14ac:dyDescent="0.35">
      <c r="A947">
        <v>946</v>
      </c>
      <c r="B947" s="1" t="s">
        <v>17</v>
      </c>
      <c r="C947" s="2">
        <v>5.3</v>
      </c>
      <c r="D947" s="3">
        <v>84.3</v>
      </c>
      <c r="E947" s="2">
        <v>4.9000000000000004</v>
      </c>
      <c r="F947" s="1" t="s">
        <v>24</v>
      </c>
      <c r="G947" s="1" t="s">
        <v>19</v>
      </c>
      <c r="H947" s="1" t="s">
        <v>19</v>
      </c>
      <c r="I947" s="1" t="s">
        <v>20</v>
      </c>
      <c r="J947" s="2">
        <v>90.8</v>
      </c>
      <c r="K947" s="3">
        <v>96</v>
      </c>
      <c r="L947" s="1" t="s">
        <v>21</v>
      </c>
    </row>
    <row r="948" spans="1:12" x14ac:dyDescent="0.35">
      <c r="A948">
        <v>947</v>
      </c>
      <c r="B948" s="1" t="s">
        <v>17</v>
      </c>
      <c r="C948" s="2">
        <v>3.2</v>
      </c>
      <c r="D948" s="3">
        <v>69.8</v>
      </c>
      <c r="E948" s="2">
        <v>8.6999999999999993</v>
      </c>
      <c r="F948" s="1" t="s">
        <v>33</v>
      </c>
      <c r="G948" s="1" t="s">
        <v>19</v>
      </c>
      <c r="H948" s="1" t="s">
        <v>20</v>
      </c>
      <c r="I948" s="1" t="s">
        <v>20</v>
      </c>
      <c r="J948" s="2">
        <v>43.1</v>
      </c>
      <c r="K948" s="3">
        <v>70</v>
      </c>
      <c r="L948" s="1" t="s">
        <v>32</v>
      </c>
    </row>
    <row r="949" spans="1:12" x14ac:dyDescent="0.35">
      <c r="A949">
        <v>948</v>
      </c>
      <c r="B949" s="1" t="s">
        <v>23</v>
      </c>
      <c r="C949" s="2">
        <v>5.7</v>
      </c>
      <c r="D949" s="3">
        <v>81.400000000000006</v>
      </c>
      <c r="E949" s="2">
        <v>7.5</v>
      </c>
      <c r="F949" s="1" t="s">
        <v>33</v>
      </c>
      <c r="G949" s="1" t="s">
        <v>19</v>
      </c>
      <c r="H949" s="1" t="s">
        <v>20</v>
      </c>
      <c r="I949" s="1" t="s">
        <v>20</v>
      </c>
      <c r="J949" s="2">
        <v>72.3</v>
      </c>
      <c r="K949" s="3">
        <v>86</v>
      </c>
      <c r="L949" s="1" t="s">
        <v>28</v>
      </c>
    </row>
    <row r="950" spans="1:12" x14ac:dyDescent="0.35">
      <c r="A950">
        <v>949</v>
      </c>
      <c r="B950" s="1" t="s">
        <v>23</v>
      </c>
      <c r="C950" s="2">
        <v>3.7</v>
      </c>
      <c r="D950" s="3">
        <v>93.9</v>
      </c>
      <c r="E950" s="2">
        <v>8.5</v>
      </c>
      <c r="F950" s="1" t="s">
        <v>24</v>
      </c>
      <c r="G950" s="1" t="s">
        <v>20</v>
      </c>
      <c r="H950" s="1" t="s">
        <v>20</v>
      </c>
      <c r="I950" s="1" t="s">
        <v>20</v>
      </c>
      <c r="J950" s="2">
        <v>93</v>
      </c>
      <c r="K950" s="3">
        <v>100</v>
      </c>
      <c r="L950" s="1" t="s">
        <v>21</v>
      </c>
    </row>
    <row r="951" spans="1:12" x14ac:dyDescent="0.35">
      <c r="A951">
        <v>950</v>
      </c>
      <c r="B951" s="1" t="s">
        <v>17</v>
      </c>
      <c r="C951" s="2">
        <v>3</v>
      </c>
      <c r="D951" s="3">
        <v>90.8</v>
      </c>
      <c r="E951" s="2">
        <v>5.2</v>
      </c>
      <c r="F951" s="1" t="s">
        <v>18</v>
      </c>
      <c r="G951" s="1" t="s">
        <v>20</v>
      </c>
      <c r="H951" s="1" t="s">
        <v>19</v>
      </c>
      <c r="I951" s="1" t="s">
        <v>19</v>
      </c>
      <c r="J951" s="2">
        <v>65.8</v>
      </c>
      <c r="K951" s="3">
        <v>66</v>
      </c>
      <c r="L951" s="1" t="s">
        <v>30</v>
      </c>
    </row>
    <row r="952" spans="1:12" x14ac:dyDescent="0.35">
      <c r="A952">
        <v>951</v>
      </c>
      <c r="B952" s="1" t="s">
        <v>17</v>
      </c>
      <c r="C952" s="2">
        <v>2.6</v>
      </c>
      <c r="D952" s="3">
        <v>90</v>
      </c>
      <c r="E952" s="2">
        <v>5.2</v>
      </c>
      <c r="F952" s="1" t="s">
        <v>27</v>
      </c>
      <c r="G952" s="1" t="s">
        <v>20</v>
      </c>
      <c r="H952" s="1" t="s">
        <v>20</v>
      </c>
      <c r="I952" s="1" t="s">
        <v>20</v>
      </c>
      <c r="J952" s="2">
        <v>67.3</v>
      </c>
      <c r="K952" s="3">
        <v>72</v>
      </c>
      <c r="L952" s="1" t="s">
        <v>32</v>
      </c>
    </row>
    <row r="953" spans="1:12" x14ac:dyDescent="0.35">
      <c r="A953">
        <v>952</v>
      </c>
      <c r="B953" s="1" t="s">
        <v>23</v>
      </c>
      <c r="C953" s="2">
        <v>3</v>
      </c>
      <c r="D953" s="3">
        <v>85.5</v>
      </c>
      <c r="E953" s="2">
        <v>6.6</v>
      </c>
      <c r="F953" s="1" t="s">
        <v>18</v>
      </c>
      <c r="G953" s="1" t="s">
        <v>19</v>
      </c>
      <c r="H953" s="1" t="s">
        <v>20</v>
      </c>
      <c r="I953" s="1" t="s">
        <v>20</v>
      </c>
      <c r="J953" s="2">
        <v>73.5</v>
      </c>
      <c r="K953" s="3">
        <v>84</v>
      </c>
      <c r="L953" s="1" t="s">
        <v>28</v>
      </c>
    </row>
    <row r="954" spans="1:12" x14ac:dyDescent="0.35">
      <c r="A954">
        <v>953</v>
      </c>
      <c r="B954" s="1" t="s">
        <v>17</v>
      </c>
      <c r="C954" s="2">
        <v>2.9</v>
      </c>
      <c r="D954" s="3">
        <v>85.1</v>
      </c>
      <c r="E954" s="2">
        <v>7.4</v>
      </c>
      <c r="F954" s="1" t="s">
        <v>18</v>
      </c>
      <c r="G954" s="1" t="s">
        <v>19</v>
      </c>
      <c r="H954" s="1" t="s">
        <v>19</v>
      </c>
      <c r="I954" s="1" t="s">
        <v>19</v>
      </c>
      <c r="J954" s="2">
        <v>63.3</v>
      </c>
      <c r="K954" s="3">
        <v>90</v>
      </c>
      <c r="L954" s="1" t="s">
        <v>28</v>
      </c>
    </row>
    <row r="955" spans="1:12" x14ac:dyDescent="0.35">
      <c r="A955">
        <v>954</v>
      </c>
      <c r="B955" s="1" t="s">
        <v>23</v>
      </c>
      <c r="C955" s="2">
        <v>3.8</v>
      </c>
      <c r="D955" s="3">
        <v>78.400000000000006</v>
      </c>
      <c r="E955" s="2">
        <v>9</v>
      </c>
      <c r="F955" s="1" t="s">
        <v>27</v>
      </c>
      <c r="G955" s="1" t="s">
        <v>19</v>
      </c>
      <c r="H955" s="1" t="s">
        <v>19</v>
      </c>
      <c r="I955" s="1" t="s">
        <v>20</v>
      </c>
      <c r="J955" s="2">
        <v>66.3</v>
      </c>
      <c r="K955" s="3">
        <v>78</v>
      </c>
      <c r="L955" s="1" t="s">
        <v>32</v>
      </c>
    </row>
    <row r="956" spans="1:12" x14ac:dyDescent="0.35">
      <c r="A956">
        <v>955</v>
      </c>
      <c r="B956" s="1" t="s">
        <v>17</v>
      </c>
      <c r="C956" s="2">
        <v>3.7</v>
      </c>
      <c r="D956" s="3">
        <v>92</v>
      </c>
      <c r="E956" s="2">
        <v>7.6</v>
      </c>
      <c r="F956" s="1" t="s">
        <v>33</v>
      </c>
      <c r="G956" s="1" t="s">
        <v>19</v>
      </c>
      <c r="H956" s="1" t="s">
        <v>19</v>
      </c>
      <c r="I956" s="1" t="s">
        <v>20</v>
      </c>
      <c r="J956" s="2">
        <v>65.900000000000006</v>
      </c>
      <c r="K956" s="3">
        <v>100</v>
      </c>
      <c r="L956" s="1" t="s">
        <v>21</v>
      </c>
    </row>
    <row r="957" spans="1:12" x14ac:dyDescent="0.35">
      <c r="A957">
        <v>956</v>
      </c>
      <c r="B957" s="1" t="s">
        <v>17</v>
      </c>
      <c r="C957" s="2">
        <v>3.5</v>
      </c>
      <c r="D957" s="3">
        <v>89.2</v>
      </c>
      <c r="E957" s="2">
        <v>6.5</v>
      </c>
      <c r="F957" s="1" t="s">
        <v>18</v>
      </c>
      <c r="G957" s="1" t="s">
        <v>19</v>
      </c>
      <c r="H957" s="1" t="s">
        <v>19</v>
      </c>
      <c r="I957" s="1" t="s">
        <v>20</v>
      </c>
      <c r="J957" s="2">
        <v>62.5</v>
      </c>
      <c r="K957" s="3">
        <v>88</v>
      </c>
      <c r="L957" s="1" t="s">
        <v>28</v>
      </c>
    </row>
    <row r="958" spans="1:12" x14ac:dyDescent="0.35">
      <c r="A958">
        <v>957</v>
      </c>
      <c r="B958" s="1" t="s">
        <v>23</v>
      </c>
      <c r="C958" s="2">
        <v>4.2</v>
      </c>
      <c r="D958" s="3">
        <v>89.9</v>
      </c>
      <c r="E958" s="2">
        <v>5.6</v>
      </c>
      <c r="F958" s="1" t="s">
        <v>33</v>
      </c>
      <c r="G958" s="1" t="s">
        <v>19</v>
      </c>
      <c r="H958" s="1" t="s">
        <v>20</v>
      </c>
      <c r="I958" s="1" t="s">
        <v>19</v>
      </c>
      <c r="J958" s="2">
        <v>84.7</v>
      </c>
      <c r="K958" s="3">
        <v>94</v>
      </c>
      <c r="L958" s="1" t="s">
        <v>21</v>
      </c>
    </row>
    <row r="959" spans="1:12" x14ac:dyDescent="0.35">
      <c r="A959">
        <v>958</v>
      </c>
      <c r="B959" s="1" t="s">
        <v>17</v>
      </c>
      <c r="C959" s="2">
        <v>5.3</v>
      </c>
      <c r="D959" s="3">
        <v>79.7</v>
      </c>
      <c r="E959" s="2">
        <v>8.3000000000000007</v>
      </c>
      <c r="F959" s="1" t="s">
        <v>34</v>
      </c>
      <c r="G959" s="1" t="s">
        <v>19</v>
      </c>
      <c r="H959" s="1" t="s">
        <v>20</v>
      </c>
      <c r="I959" s="1" t="s">
        <v>20</v>
      </c>
      <c r="J959" s="2">
        <v>75.5</v>
      </c>
      <c r="K959" s="3">
        <v>89</v>
      </c>
      <c r="L959" s="1" t="s">
        <v>28</v>
      </c>
    </row>
    <row r="960" spans="1:12" x14ac:dyDescent="0.35">
      <c r="A960">
        <v>959</v>
      </c>
      <c r="B960" s="1" t="s">
        <v>23</v>
      </c>
      <c r="C960" s="2">
        <v>4.9000000000000004</v>
      </c>
      <c r="D960" s="3">
        <v>63.5</v>
      </c>
      <c r="E960" s="2">
        <v>5.6</v>
      </c>
      <c r="F960" s="1" t="s">
        <v>18</v>
      </c>
      <c r="G960" s="1" t="s">
        <v>19</v>
      </c>
      <c r="H960" s="1" t="s">
        <v>19</v>
      </c>
      <c r="I960" s="1" t="s">
        <v>20</v>
      </c>
      <c r="J960" s="2">
        <v>73</v>
      </c>
      <c r="K960" s="3">
        <v>88</v>
      </c>
      <c r="L960" s="1" t="s">
        <v>28</v>
      </c>
    </row>
    <row r="961" spans="1:12" x14ac:dyDescent="0.35">
      <c r="A961">
        <v>960</v>
      </c>
      <c r="B961" s="1" t="s">
        <v>17</v>
      </c>
      <c r="C961" s="2">
        <v>1.3</v>
      </c>
      <c r="D961" s="3">
        <v>96</v>
      </c>
      <c r="E961" s="2">
        <v>8.8000000000000007</v>
      </c>
      <c r="F961" s="1" t="s">
        <v>18</v>
      </c>
      <c r="G961" s="1" t="s">
        <v>19</v>
      </c>
      <c r="H961" s="1" t="s">
        <v>20</v>
      </c>
      <c r="I961" s="1" t="s">
        <v>20</v>
      </c>
      <c r="J961" s="2">
        <v>79.7</v>
      </c>
      <c r="K961" s="3">
        <v>81</v>
      </c>
      <c r="L961" s="1" t="s">
        <v>28</v>
      </c>
    </row>
    <row r="962" spans="1:12" x14ac:dyDescent="0.35">
      <c r="A962">
        <v>961</v>
      </c>
      <c r="B962" s="1" t="s">
        <v>17</v>
      </c>
      <c r="C962" s="2">
        <v>0.5</v>
      </c>
      <c r="D962" s="3">
        <v>80.2</v>
      </c>
      <c r="E962" s="2">
        <v>6.5</v>
      </c>
      <c r="F962" s="1" t="s">
        <v>18</v>
      </c>
      <c r="G962" s="1" t="s">
        <v>19</v>
      </c>
      <c r="H962" s="1" t="s">
        <v>20</v>
      </c>
      <c r="I962" s="1" t="s">
        <v>20</v>
      </c>
      <c r="J962" s="2">
        <v>66.8</v>
      </c>
      <c r="K962" s="3">
        <v>75</v>
      </c>
      <c r="L962" s="1" t="s">
        <v>32</v>
      </c>
    </row>
    <row r="963" spans="1:12" x14ac:dyDescent="0.35">
      <c r="A963">
        <v>962</v>
      </c>
      <c r="B963" s="1" t="s">
        <v>17</v>
      </c>
      <c r="C963" s="2">
        <v>4.9000000000000004</v>
      </c>
      <c r="D963" s="3">
        <v>76.400000000000006</v>
      </c>
      <c r="E963" s="2">
        <v>8.6999999999999993</v>
      </c>
      <c r="F963" s="1" t="s">
        <v>27</v>
      </c>
      <c r="G963" s="1" t="s">
        <v>19</v>
      </c>
      <c r="H963" s="1" t="s">
        <v>20</v>
      </c>
      <c r="I963" s="1" t="s">
        <v>20</v>
      </c>
      <c r="J963" s="2">
        <v>60.7</v>
      </c>
      <c r="K963" s="3">
        <v>81</v>
      </c>
      <c r="L963" s="1" t="s">
        <v>28</v>
      </c>
    </row>
    <row r="964" spans="1:12" x14ac:dyDescent="0.35">
      <c r="A964">
        <v>963</v>
      </c>
      <c r="B964" s="1" t="s">
        <v>23</v>
      </c>
      <c r="C964" s="2">
        <v>1.4</v>
      </c>
      <c r="D964" s="3">
        <v>91.9</v>
      </c>
      <c r="E964" s="2">
        <v>7.6</v>
      </c>
      <c r="F964" s="1" t="s">
        <v>33</v>
      </c>
      <c r="G964" s="1" t="s">
        <v>19</v>
      </c>
      <c r="H964" s="1" t="s">
        <v>19</v>
      </c>
      <c r="I964" s="1" t="s">
        <v>19</v>
      </c>
      <c r="J964" s="2">
        <v>62.8</v>
      </c>
      <c r="K964" s="3">
        <v>73</v>
      </c>
      <c r="L964" s="1" t="s">
        <v>32</v>
      </c>
    </row>
    <row r="965" spans="1:12" x14ac:dyDescent="0.35">
      <c r="A965">
        <v>964</v>
      </c>
      <c r="B965" s="1" t="s">
        <v>17</v>
      </c>
      <c r="C965" s="2">
        <v>3.2</v>
      </c>
      <c r="D965" s="3">
        <v>81.099999999999994</v>
      </c>
      <c r="E965" s="2">
        <v>6.6</v>
      </c>
      <c r="F965" s="1" t="s">
        <v>24</v>
      </c>
      <c r="G965" s="1" t="s">
        <v>19</v>
      </c>
      <c r="H965" s="1" t="s">
        <v>20</v>
      </c>
      <c r="I965" s="1" t="s">
        <v>20</v>
      </c>
      <c r="J965" s="2">
        <v>70</v>
      </c>
      <c r="K965" s="3">
        <v>78</v>
      </c>
      <c r="L965" s="1" t="s">
        <v>32</v>
      </c>
    </row>
    <row r="966" spans="1:12" x14ac:dyDescent="0.35">
      <c r="A966">
        <v>965</v>
      </c>
      <c r="B966" s="1" t="s">
        <v>17</v>
      </c>
      <c r="C966" s="2">
        <v>1.7</v>
      </c>
      <c r="D966" s="3">
        <v>95.6</v>
      </c>
      <c r="E966" s="2">
        <v>6.2</v>
      </c>
      <c r="F966" s="1" t="s">
        <v>34</v>
      </c>
      <c r="G966" s="1" t="s">
        <v>19</v>
      </c>
      <c r="H966" s="1" t="s">
        <v>19</v>
      </c>
      <c r="I966" s="1" t="s">
        <v>20</v>
      </c>
      <c r="J966" s="2">
        <v>57.3</v>
      </c>
      <c r="K966" s="3">
        <v>70</v>
      </c>
      <c r="L966" s="1" t="s">
        <v>30</v>
      </c>
    </row>
    <row r="967" spans="1:12" x14ac:dyDescent="0.35">
      <c r="A967">
        <v>966</v>
      </c>
      <c r="B967" s="1" t="s">
        <v>17</v>
      </c>
      <c r="C967" s="2">
        <v>0.8</v>
      </c>
      <c r="D967" s="3">
        <v>91.2</v>
      </c>
      <c r="E967" s="2">
        <v>6.4</v>
      </c>
      <c r="F967" s="1" t="s">
        <v>18</v>
      </c>
      <c r="G967" s="1" t="s">
        <v>19</v>
      </c>
      <c r="H967" s="1" t="s">
        <v>20</v>
      </c>
      <c r="I967" s="1" t="s">
        <v>20</v>
      </c>
      <c r="J967" s="2">
        <v>64</v>
      </c>
      <c r="K967" s="3">
        <v>76</v>
      </c>
      <c r="L967" s="1" t="s">
        <v>32</v>
      </c>
    </row>
    <row r="968" spans="1:12" x14ac:dyDescent="0.35">
      <c r="A968">
        <v>967</v>
      </c>
      <c r="B968" s="1" t="s">
        <v>17</v>
      </c>
      <c r="C968" s="2">
        <v>4.3</v>
      </c>
      <c r="D968" s="3">
        <v>91.8</v>
      </c>
      <c r="E968" s="2">
        <v>7.3</v>
      </c>
      <c r="F968" s="1" t="s">
        <v>24</v>
      </c>
      <c r="G968" s="1" t="s">
        <v>19</v>
      </c>
      <c r="H968" s="1" t="s">
        <v>19</v>
      </c>
      <c r="I968" s="1" t="s">
        <v>19</v>
      </c>
      <c r="J968" s="2">
        <v>63.8</v>
      </c>
      <c r="K968" s="3">
        <v>90</v>
      </c>
      <c r="L968" s="1" t="s">
        <v>21</v>
      </c>
    </row>
    <row r="969" spans="1:12" x14ac:dyDescent="0.35">
      <c r="A969">
        <v>968</v>
      </c>
      <c r="B969" s="1" t="s">
        <v>23</v>
      </c>
      <c r="C969" s="2">
        <v>4.5999999999999996</v>
      </c>
      <c r="D969" s="3">
        <v>71.3</v>
      </c>
      <c r="E969" s="2">
        <v>6.9</v>
      </c>
      <c r="F969" s="1" t="s">
        <v>18</v>
      </c>
      <c r="G969" s="1" t="s">
        <v>19</v>
      </c>
      <c r="H969" s="1" t="s">
        <v>19</v>
      </c>
      <c r="I969" s="1" t="s">
        <v>20</v>
      </c>
      <c r="J969" s="2">
        <v>95.5</v>
      </c>
      <c r="K969" s="3">
        <v>100</v>
      </c>
      <c r="L969" s="1" t="s">
        <v>21</v>
      </c>
    </row>
    <row r="970" spans="1:12" x14ac:dyDescent="0.35">
      <c r="A970">
        <v>969</v>
      </c>
      <c r="B970" s="1" t="s">
        <v>23</v>
      </c>
      <c r="C970" s="2">
        <v>2.6</v>
      </c>
      <c r="D970" s="3">
        <v>97.1</v>
      </c>
      <c r="E970" s="2">
        <v>6.1</v>
      </c>
      <c r="F970" s="1" t="s">
        <v>18</v>
      </c>
      <c r="G970" s="1" t="s">
        <v>19</v>
      </c>
      <c r="H970" s="1" t="s">
        <v>20</v>
      </c>
      <c r="I970" s="1" t="s">
        <v>20</v>
      </c>
      <c r="J970" s="2">
        <v>36.700000000000003</v>
      </c>
      <c r="K970" s="3">
        <v>60</v>
      </c>
      <c r="L970" s="1" t="s">
        <v>30</v>
      </c>
    </row>
    <row r="971" spans="1:12" x14ac:dyDescent="0.35">
      <c r="A971">
        <v>970</v>
      </c>
      <c r="B971" s="1" t="s">
        <v>17</v>
      </c>
      <c r="C971" s="2">
        <v>0.5</v>
      </c>
      <c r="D971" s="3">
        <v>87.6</v>
      </c>
      <c r="E971" s="2">
        <v>6.6</v>
      </c>
      <c r="F971" s="1" t="s">
        <v>34</v>
      </c>
      <c r="G971" s="1" t="s">
        <v>19</v>
      </c>
      <c r="H971" s="1" t="s">
        <v>19</v>
      </c>
      <c r="I971" s="1" t="s">
        <v>20</v>
      </c>
      <c r="J971" s="2">
        <v>67.8</v>
      </c>
      <c r="K971" s="3">
        <v>78</v>
      </c>
      <c r="L971" s="1" t="s">
        <v>32</v>
      </c>
    </row>
    <row r="972" spans="1:12" x14ac:dyDescent="0.35">
      <c r="A972">
        <v>971</v>
      </c>
      <c r="B972" s="1" t="s">
        <v>23</v>
      </c>
      <c r="C972" s="2">
        <v>2.7</v>
      </c>
      <c r="D972" s="3">
        <v>81.3</v>
      </c>
      <c r="E972" s="2">
        <v>6.9</v>
      </c>
      <c r="F972" s="1" t="s">
        <v>24</v>
      </c>
      <c r="G972" s="1" t="s">
        <v>19</v>
      </c>
      <c r="H972" s="1" t="s">
        <v>19</v>
      </c>
      <c r="I972" s="1" t="s">
        <v>19</v>
      </c>
      <c r="J972" s="2">
        <v>90.7</v>
      </c>
      <c r="K972" s="3">
        <v>100</v>
      </c>
      <c r="L972" s="1" t="s">
        <v>21</v>
      </c>
    </row>
    <row r="973" spans="1:12" x14ac:dyDescent="0.35">
      <c r="A973">
        <v>972</v>
      </c>
      <c r="B973" s="1" t="s">
        <v>17</v>
      </c>
      <c r="C973" s="2">
        <v>4.0999999999999996</v>
      </c>
      <c r="D973" s="3">
        <v>86.4</v>
      </c>
      <c r="E973" s="2">
        <v>4.2</v>
      </c>
      <c r="F973" s="1" t="s">
        <v>33</v>
      </c>
      <c r="G973" s="1" t="s">
        <v>20</v>
      </c>
      <c r="H973" s="1" t="s">
        <v>19</v>
      </c>
      <c r="I973" s="1" t="s">
        <v>19</v>
      </c>
      <c r="J973" s="2">
        <v>71.5</v>
      </c>
      <c r="K973" s="3">
        <v>76</v>
      </c>
      <c r="L973" s="1" t="s">
        <v>32</v>
      </c>
    </row>
    <row r="974" spans="1:12" x14ac:dyDescent="0.35">
      <c r="A974">
        <v>973</v>
      </c>
      <c r="B974" s="1" t="s">
        <v>17</v>
      </c>
      <c r="C974" s="2">
        <v>1.3</v>
      </c>
      <c r="D974" s="3">
        <v>67.2</v>
      </c>
      <c r="E974" s="2">
        <v>7.3</v>
      </c>
      <c r="F974" s="1" t="s">
        <v>18</v>
      </c>
      <c r="G974" s="1" t="s">
        <v>19</v>
      </c>
      <c r="H974" s="1" t="s">
        <v>20</v>
      </c>
      <c r="I974" s="1" t="s">
        <v>20</v>
      </c>
      <c r="J974" s="2">
        <v>79</v>
      </c>
      <c r="K974" s="3">
        <v>84</v>
      </c>
      <c r="L974" s="1" t="s">
        <v>28</v>
      </c>
    </row>
    <row r="975" spans="1:12" x14ac:dyDescent="0.35">
      <c r="A975">
        <v>974</v>
      </c>
      <c r="B975" s="1" t="s">
        <v>17</v>
      </c>
      <c r="C975" s="2">
        <v>3.8</v>
      </c>
      <c r="D975" s="3">
        <v>89.1</v>
      </c>
      <c r="E975" s="2">
        <v>5.6</v>
      </c>
      <c r="F975" s="1" t="s">
        <v>24</v>
      </c>
      <c r="G975" s="1" t="s">
        <v>20</v>
      </c>
      <c r="H975" s="1" t="s">
        <v>19</v>
      </c>
      <c r="I975" s="1" t="s">
        <v>19</v>
      </c>
      <c r="J975" s="2">
        <v>71.2</v>
      </c>
      <c r="K975" s="3">
        <v>78</v>
      </c>
      <c r="L975" s="1" t="s">
        <v>32</v>
      </c>
    </row>
    <row r="976" spans="1:12" x14ac:dyDescent="0.35">
      <c r="A976">
        <v>975</v>
      </c>
      <c r="B976" s="1" t="s">
        <v>23</v>
      </c>
      <c r="C976" s="2">
        <v>3.5</v>
      </c>
      <c r="D976" s="3">
        <v>74.7</v>
      </c>
      <c r="E976" s="2">
        <v>5.4</v>
      </c>
      <c r="F976" s="1" t="s">
        <v>27</v>
      </c>
      <c r="G976" s="1" t="s">
        <v>19</v>
      </c>
      <c r="H976" s="1" t="s">
        <v>20</v>
      </c>
      <c r="I976" s="1" t="s">
        <v>20</v>
      </c>
      <c r="J976" s="2">
        <v>62</v>
      </c>
      <c r="K976" s="3">
        <v>68</v>
      </c>
      <c r="L976" s="1" t="s">
        <v>30</v>
      </c>
    </row>
    <row r="977" spans="1:12" x14ac:dyDescent="0.35">
      <c r="A977">
        <v>976</v>
      </c>
      <c r="B977" s="1" t="s">
        <v>23</v>
      </c>
      <c r="C977" s="2">
        <v>4.4000000000000004</v>
      </c>
      <c r="D977" s="3">
        <v>71.5</v>
      </c>
      <c r="E977" s="2">
        <v>4.8</v>
      </c>
      <c r="F977" s="1" t="s">
        <v>18</v>
      </c>
      <c r="G977" s="1" t="s">
        <v>19</v>
      </c>
      <c r="H977" s="1" t="s">
        <v>19</v>
      </c>
      <c r="I977" s="1" t="s">
        <v>19</v>
      </c>
      <c r="J977" s="2">
        <v>43.1</v>
      </c>
      <c r="K977" s="3">
        <v>67</v>
      </c>
      <c r="L977" s="1" t="s">
        <v>30</v>
      </c>
    </row>
    <row r="978" spans="1:12" x14ac:dyDescent="0.35">
      <c r="A978">
        <v>977</v>
      </c>
      <c r="B978" s="1" t="s">
        <v>23</v>
      </c>
      <c r="C978" s="2">
        <v>3.7</v>
      </c>
      <c r="D978" s="3">
        <v>69.8</v>
      </c>
      <c r="E978" s="2">
        <v>4.5999999999999996</v>
      </c>
      <c r="F978" s="1" t="s">
        <v>24</v>
      </c>
      <c r="G978" s="1" t="s">
        <v>20</v>
      </c>
      <c r="H978" s="1" t="s">
        <v>19</v>
      </c>
      <c r="I978" s="1" t="s">
        <v>20</v>
      </c>
      <c r="J978" s="2">
        <v>72.5</v>
      </c>
      <c r="K978" s="3">
        <v>81</v>
      </c>
      <c r="L978" s="1" t="s">
        <v>28</v>
      </c>
    </row>
    <row r="979" spans="1:12" x14ac:dyDescent="0.35">
      <c r="A979">
        <v>978</v>
      </c>
      <c r="B979" s="1" t="s">
        <v>23</v>
      </c>
      <c r="C979" s="2">
        <v>2</v>
      </c>
      <c r="D979" s="3">
        <v>96.1</v>
      </c>
      <c r="E979" s="2">
        <v>5.2</v>
      </c>
      <c r="F979" s="1" t="s">
        <v>18</v>
      </c>
      <c r="G979" s="1" t="s">
        <v>19</v>
      </c>
      <c r="H979" s="1" t="s">
        <v>19</v>
      </c>
      <c r="I979" s="1" t="s">
        <v>20</v>
      </c>
      <c r="J979" s="2">
        <v>60.7</v>
      </c>
      <c r="K979" s="3">
        <v>72</v>
      </c>
      <c r="L979" s="1" t="s">
        <v>32</v>
      </c>
    </row>
    <row r="980" spans="1:12" x14ac:dyDescent="0.35">
      <c r="A980">
        <v>979</v>
      </c>
      <c r="B980" s="1" t="s">
        <v>23</v>
      </c>
      <c r="C980" s="2">
        <v>5.3</v>
      </c>
      <c r="D980" s="3">
        <v>78.7</v>
      </c>
      <c r="E980" s="2">
        <v>5.9</v>
      </c>
      <c r="F980" s="1" t="s">
        <v>34</v>
      </c>
      <c r="G980" s="1" t="s">
        <v>19</v>
      </c>
      <c r="H980" s="1" t="s">
        <v>19</v>
      </c>
      <c r="I980" s="1" t="s">
        <v>20</v>
      </c>
      <c r="J980" s="2">
        <v>60.4</v>
      </c>
      <c r="K980" s="3">
        <v>83</v>
      </c>
      <c r="L980" s="1" t="s">
        <v>28</v>
      </c>
    </row>
    <row r="981" spans="1:12" x14ac:dyDescent="0.35">
      <c r="A981">
        <v>980</v>
      </c>
      <c r="B981" s="1" t="s">
        <v>23</v>
      </c>
      <c r="C981" s="2">
        <v>3.3</v>
      </c>
      <c r="D981" s="3">
        <v>100</v>
      </c>
      <c r="E981" s="2">
        <v>9.1</v>
      </c>
      <c r="F981" s="1" t="s">
        <v>24</v>
      </c>
      <c r="G981" s="1" t="s">
        <v>19</v>
      </c>
      <c r="H981" s="1" t="s">
        <v>19</v>
      </c>
      <c r="I981" s="1" t="s">
        <v>20</v>
      </c>
      <c r="J981" s="2">
        <v>64</v>
      </c>
      <c r="K981" s="3">
        <v>94</v>
      </c>
      <c r="L981" s="1" t="s">
        <v>21</v>
      </c>
    </row>
    <row r="982" spans="1:12" x14ac:dyDescent="0.35">
      <c r="A982">
        <v>981</v>
      </c>
      <c r="B982" s="1" t="s">
        <v>23</v>
      </c>
      <c r="C982" s="2">
        <v>3.5</v>
      </c>
      <c r="D982" s="3">
        <v>79.599999999999994</v>
      </c>
      <c r="E982" s="2">
        <v>6.2</v>
      </c>
      <c r="F982" s="1" t="s">
        <v>24</v>
      </c>
      <c r="G982" s="1" t="s">
        <v>19</v>
      </c>
      <c r="H982" s="1" t="s">
        <v>19</v>
      </c>
      <c r="I982" s="1" t="s">
        <v>20</v>
      </c>
      <c r="J982" s="2">
        <v>90.9</v>
      </c>
      <c r="K982" s="3">
        <v>91</v>
      </c>
      <c r="L982" s="1" t="s">
        <v>21</v>
      </c>
    </row>
    <row r="983" spans="1:12" x14ac:dyDescent="0.35">
      <c r="A983">
        <v>982</v>
      </c>
      <c r="B983" s="1" t="s">
        <v>23</v>
      </c>
      <c r="C983" s="2">
        <v>2.1</v>
      </c>
      <c r="D983" s="3">
        <v>67.900000000000006</v>
      </c>
      <c r="E983" s="2">
        <v>7</v>
      </c>
      <c r="F983" s="1" t="s">
        <v>24</v>
      </c>
      <c r="G983" s="1" t="s">
        <v>20</v>
      </c>
      <c r="H983" s="1" t="s">
        <v>20</v>
      </c>
      <c r="I983" s="1" t="s">
        <v>19</v>
      </c>
      <c r="J983" s="2">
        <v>98.9</v>
      </c>
      <c r="K983" s="3">
        <v>80</v>
      </c>
      <c r="L983" s="1" t="s">
        <v>32</v>
      </c>
    </row>
    <row r="984" spans="1:12" x14ac:dyDescent="0.35">
      <c r="A984">
        <v>983</v>
      </c>
      <c r="B984" s="1" t="s">
        <v>23</v>
      </c>
      <c r="C984" s="2">
        <v>2.8</v>
      </c>
      <c r="D984" s="3">
        <v>73.8</v>
      </c>
      <c r="E984" s="2">
        <v>7.3</v>
      </c>
      <c r="F984" s="1" t="s">
        <v>24</v>
      </c>
      <c r="G984" s="1" t="s">
        <v>19</v>
      </c>
      <c r="H984" s="1" t="s">
        <v>20</v>
      </c>
      <c r="I984" s="1" t="s">
        <v>19</v>
      </c>
      <c r="J984" s="2">
        <v>72.599999999999994</v>
      </c>
      <c r="K984" s="3">
        <v>78</v>
      </c>
      <c r="L984" s="1" t="s">
        <v>32</v>
      </c>
    </row>
    <row r="985" spans="1:12" x14ac:dyDescent="0.35">
      <c r="A985">
        <v>984</v>
      </c>
      <c r="B985" s="1" t="s">
        <v>17</v>
      </c>
      <c r="C985" s="2">
        <v>2.2000000000000002</v>
      </c>
      <c r="D985" s="3">
        <v>97.4</v>
      </c>
      <c r="E985" s="2">
        <v>7</v>
      </c>
      <c r="F985" s="1" t="s">
        <v>33</v>
      </c>
      <c r="G985" s="1" t="s">
        <v>19</v>
      </c>
      <c r="H985" s="1" t="s">
        <v>19</v>
      </c>
      <c r="I985" s="1" t="s">
        <v>20</v>
      </c>
      <c r="J985" s="2">
        <v>64.400000000000006</v>
      </c>
      <c r="K985" s="3">
        <v>85</v>
      </c>
      <c r="L985" s="1" t="s">
        <v>28</v>
      </c>
    </row>
    <row r="986" spans="1:12" x14ac:dyDescent="0.35">
      <c r="A986">
        <v>985</v>
      </c>
      <c r="B986" s="1" t="s">
        <v>23</v>
      </c>
      <c r="C986" s="2">
        <v>3.2</v>
      </c>
      <c r="D986" s="3">
        <v>83.4</v>
      </c>
      <c r="E986" s="2">
        <v>6.7</v>
      </c>
      <c r="F986" s="1" t="s">
        <v>18</v>
      </c>
      <c r="G986" s="1" t="s">
        <v>19</v>
      </c>
      <c r="H986" s="1" t="s">
        <v>19</v>
      </c>
      <c r="I986" s="1" t="s">
        <v>20</v>
      </c>
      <c r="J986" s="2">
        <v>55.9</v>
      </c>
      <c r="K986" s="3">
        <v>75</v>
      </c>
      <c r="L986" s="1" t="s">
        <v>32</v>
      </c>
    </row>
    <row r="987" spans="1:12" x14ac:dyDescent="0.35">
      <c r="A987">
        <v>986</v>
      </c>
      <c r="B987" s="1" t="s">
        <v>23</v>
      </c>
      <c r="C987" s="2">
        <v>6.1</v>
      </c>
      <c r="D987" s="3">
        <v>79.5</v>
      </c>
      <c r="E987" s="2">
        <v>5.4</v>
      </c>
      <c r="F987" s="1" t="s">
        <v>24</v>
      </c>
      <c r="G987" s="1" t="s">
        <v>19</v>
      </c>
      <c r="H987" s="1" t="s">
        <v>20</v>
      </c>
      <c r="I987" s="1" t="s">
        <v>20</v>
      </c>
      <c r="J987" s="2">
        <v>75.599999999999994</v>
      </c>
      <c r="K987" s="3">
        <v>96</v>
      </c>
      <c r="L987" s="1" t="s">
        <v>21</v>
      </c>
    </row>
    <row r="988" spans="1:12" x14ac:dyDescent="0.35">
      <c r="A988">
        <v>987</v>
      </c>
      <c r="B988" s="1" t="s">
        <v>23</v>
      </c>
      <c r="C988" s="2">
        <v>1.4</v>
      </c>
      <c r="D988" s="3">
        <v>86.6</v>
      </c>
      <c r="E988" s="2">
        <v>8.5</v>
      </c>
      <c r="F988" s="1" t="s">
        <v>24</v>
      </c>
      <c r="G988" s="1" t="s">
        <v>19</v>
      </c>
      <c r="H988" s="1" t="s">
        <v>19</v>
      </c>
      <c r="I988" s="1" t="s">
        <v>20</v>
      </c>
      <c r="J988" s="2">
        <v>91.4</v>
      </c>
      <c r="K988" s="3">
        <v>82</v>
      </c>
      <c r="L988" s="1" t="s">
        <v>28</v>
      </c>
    </row>
    <row r="989" spans="1:12" x14ac:dyDescent="0.35">
      <c r="A989">
        <v>988</v>
      </c>
      <c r="B989" s="1" t="s">
        <v>23</v>
      </c>
      <c r="C989" s="2">
        <v>1.1000000000000001</v>
      </c>
      <c r="D989" s="3">
        <v>90</v>
      </c>
      <c r="E989" s="2">
        <v>9</v>
      </c>
      <c r="F989" s="1" t="s">
        <v>24</v>
      </c>
      <c r="G989" s="1" t="s">
        <v>19</v>
      </c>
      <c r="H989" s="1" t="s">
        <v>19</v>
      </c>
      <c r="I989" s="1" t="s">
        <v>20</v>
      </c>
      <c r="J989" s="2">
        <v>67</v>
      </c>
      <c r="K989" s="3">
        <v>86</v>
      </c>
      <c r="L989" s="1" t="s">
        <v>28</v>
      </c>
    </row>
    <row r="990" spans="1:12" x14ac:dyDescent="0.35">
      <c r="A990">
        <v>989</v>
      </c>
      <c r="B990" s="1" t="s">
        <v>23</v>
      </c>
      <c r="C990" s="2">
        <v>5.7</v>
      </c>
      <c r="D990" s="3">
        <v>96.2</v>
      </c>
      <c r="E990" s="2">
        <v>4.8</v>
      </c>
      <c r="F990" s="1" t="s">
        <v>27</v>
      </c>
      <c r="G990" s="1" t="s">
        <v>19</v>
      </c>
      <c r="H990" s="1" t="s">
        <v>20</v>
      </c>
      <c r="I990" s="1" t="s">
        <v>20</v>
      </c>
      <c r="J990" s="2">
        <v>41.5</v>
      </c>
      <c r="K990" s="3">
        <v>81</v>
      </c>
      <c r="L990" s="1" t="s">
        <v>28</v>
      </c>
    </row>
    <row r="991" spans="1:12" x14ac:dyDescent="0.35">
      <c r="A991">
        <v>990</v>
      </c>
      <c r="B991" s="1" t="s">
        <v>23</v>
      </c>
      <c r="C991" s="2">
        <v>3.2</v>
      </c>
      <c r="D991" s="3">
        <v>99.5</v>
      </c>
      <c r="E991" s="2">
        <v>5.6</v>
      </c>
      <c r="F991" s="1" t="s">
        <v>24</v>
      </c>
      <c r="G991" s="1" t="s">
        <v>19</v>
      </c>
      <c r="H991" s="1" t="s">
        <v>20</v>
      </c>
      <c r="I991" s="1" t="s">
        <v>19</v>
      </c>
      <c r="J991" s="2">
        <v>78</v>
      </c>
      <c r="K991" s="3">
        <v>94</v>
      </c>
      <c r="L991" s="1" t="s">
        <v>21</v>
      </c>
    </row>
    <row r="992" spans="1:12" x14ac:dyDescent="0.35">
      <c r="A992">
        <v>991</v>
      </c>
      <c r="B992" s="1" t="s">
        <v>23</v>
      </c>
      <c r="C992" s="2">
        <v>2.5</v>
      </c>
      <c r="D992" s="3">
        <v>81.400000000000006</v>
      </c>
      <c r="E992" s="2">
        <v>6.5</v>
      </c>
      <c r="F992" s="1" t="s">
        <v>27</v>
      </c>
      <c r="G992" s="1" t="s">
        <v>19</v>
      </c>
      <c r="H992" s="1" t="s">
        <v>20</v>
      </c>
      <c r="I992" s="1" t="s">
        <v>20</v>
      </c>
      <c r="J992" s="2">
        <v>81.8</v>
      </c>
      <c r="K992" s="3">
        <v>82</v>
      </c>
      <c r="L992" s="1" t="s">
        <v>28</v>
      </c>
    </row>
    <row r="993" spans="1:12" x14ac:dyDescent="0.35">
      <c r="A993">
        <v>992</v>
      </c>
      <c r="B993" s="1" t="s">
        <v>23</v>
      </c>
      <c r="C993" s="2">
        <v>5.0999999999999996</v>
      </c>
      <c r="D993" s="3">
        <v>71.7</v>
      </c>
      <c r="E993" s="2">
        <v>5.6</v>
      </c>
      <c r="F993" s="1" t="s">
        <v>18</v>
      </c>
      <c r="G993" s="1" t="s">
        <v>19</v>
      </c>
      <c r="H993" s="1" t="s">
        <v>19</v>
      </c>
      <c r="I993" s="1" t="s">
        <v>20</v>
      </c>
      <c r="J993" s="2">
        <v>51</v>
      </c>
      <c r="K993" s="3">
        <v>80</v>
      </c>
      <c r="L993" s="1" t="s">
        <v>28</v>
      </c>
    </row>
    <row r="994" spans="1:12" x14ac:dyDescent="0.35">
      <c r="A994">
        <v>993</v>
      </c>
      <c r="B994" s="1" t="s">
        <v>23</v>
      </c>
      <c r="C994" s="2">
        <v>2.6</v>
      </c>
      <c r="D994" s="3">
        <v>80.900000000000006</v>
      </c>
      <c r="E994" s="2">
        <v>7.4</v>
      </c>
      <c r="F994" s="1" t="s">
        <v>24</v>
      </c>
      <c r="G994" s="1" t="s">
        <v>19</v>
      </c>
      <c r="H994" s="1" t="s">
        <v>19</v>
      </c>
      <c r="I994" s="1" t="s">
        <v>20</v>
      </c>
      <c r="J994" s="2">
        <v>72.099999999999994</v>
      </c>
      <c r="K994" s="3">
        <v>79</v>
      </c>
      <c r="L994" s="1" t="s">
        <v>32</v>
      </c>
    </row>
    <row r="995" spans="1:12" x14ac:dyDescent="0.35">
      <c r="A995">
        <v>994</v>
      </c>
      <c r="B995" s="1" t="s">
        <v>23</v>
      </c>
      <c r="C995" s="2">
        <v>6.2</v>
      </c>
      <c r="D995" s="3">
        <v>87.6</v>
      </c>
      <c r="E995" s="2">
        <v>5.9</v>
      </c>
      <c r="F995" s="1" t="s">
        <v>34</v>
      </c>
      <c r="G995" s="1" t="s">
        <v>19</v>
      </c>
      <c r="H995" s="1" t="s">
        <v>20</v>
      </c>
      <c r="I995" s="1" t="s">
        <v>20</v>
      </c>
      <c r="J995" s="2">
        <v>75.400000000000006</v>
      </c>
      <c r="K995" s="3">
        <v>93</v>
      </c>
      <c r="L995" s="1" t="s">
        <v>21</v>
      </c>
    </row>
    <row r="996" spans="1:12" x14ac:dyDescent="0.35">
      <c r="A996">
        <v>995</v>
      </c>
      <c r="B996" s="1" t="s">
        <v>23</v>
      </c>
      <c r="C996" s="2">
        <v>4.5</v>
      </c>
      <c r="D996" s="3">
        <v>75.400000000000006</v>
      </c>
      <c r="E996" s="2">
        <v>9.4</v>
      </c>
      <c r="F996" s="1" t="s">
        <v>18</v>
      </c>
      <c r="G996" s="1" t="s">
        <v>19</v>
      </c>
      <c r="H996" s="1" t="s">
        <v>19</v>
      </c>
      <c r="I996" s="1" t="s">
        <v>20</v>
      </c>
      <c r="J996" s="2">
        <v>69.099999999999994</v>
      </c>
      <c r="K996" s="3">
        <v>79</v>
      </c>
      <c r="L996" s="1" t="s">
        <v>32</v>
      </c>
    </row>
    <row r="997" spans="1:12" x14ac:dyDescent="0.35">
      <c r="A997">
        <v>996</v>
      </c>
      <c r="B997" s="1" t="s">
        <v>17</v>
      </c>
      <c r="C997" s="2">
        <v>2.8</v>
      </c>
      <c r="D997" s="3">
        <v>75.400000000000006</v>
      </c>
      <c r="E997" s="2">
        <v>8.1999999999999993</v>
      </c>
      <c r="F997" s="1" t="s">
        <v>33</v>
      </c>
      <c r="G997" s="1" t="s">
        <v>19</v>
      </c>
      <c r="H997" s="1" t="s">
        <v>19</v>
      </c>
      <c r="I997" s="1" t="s">
        <v>20</v>
      </c>
      <c r="J997" s="2">
        <v>60.5</v>
      </c>
      <c r="K997" s="3">
        <v>71</v>
      </c>
      <c r="L997" s="1" t="s">
        <v>32</v>
      </c>
    </row>
    <row r="998" spans="1:12" x14ac:dyDescent="0.35">
      <c r="A998">
        <v>997</v>
      </c>
      <c r="B998" s="1" t="s">
        <v>17</v>
      </c>
      <c r="C998" s="2">
        <v>6.7</v>
      </c>
      <c r="D998" s="3">
        <v>88.4</v>
      </c>
      <c r="E998" s="2">
        <v>7.1</v>
      </c>
      <c r="F998" s="1" t="s">
        <v>27</v>
      </c>
      <c r="G998" s="1" t="s">
        <v>20</v>
      </c>
      <c r="H998" s="1" t="s">
        <v>19</v>
      </c>
      <c r="I998" s="1" t="s">
        <v>20</v>
      </c>
      <c r="J998" s="2">
        <v>82.2</v>
      </c>
      <c r="K998" s="3">
        <v>100</v>
      </c>
      <c r="L998" s="1" t="s">
        <v>21</v>
      </c>
    </row>
    <row r="999" spans="1:12" x14ac:dyDescent="0.35">
      <c r="A999">
        <v>998</v>
      </c>
      <c r="B999" s="1" t="s">
        <v>23</v>
      </c>
      <c r="C999" s="2">
        <v>2.6</v>
      </c>
      <c r="D999" s="3">
        <v>84.5</v>
      </c>
      <c r="E999" s="2">
        <v>8</v>
      </c>
      <c r="F999" s="1" t="s">
        <v>24</v>
      </c>
      <c r="G999" s="1" t="s">
        <v>19</v>
      </c>
      <c r="H999" s="1" t="s">
        <v>19</v>
      </c>
      <c r="I999" s="1" t="s">
        <v>19</v>
      </c>
      <c r="J999" s="2">
        <v>65.2</v>
      </c>
      <c r="K999" s="3">
        <v>79</v>
      </c>
      <c r="L999" s="1" t="s">
        <v>32</v>
      </c>
    </row>
    <row r="1000" spans="1:12" x14ac:dyDescent="0.35">
      <c r="A1000">
        <v>999</v>
      </c>
      <c r="B1000" s="1" t="s">
        <v>23</v>
      </c>
      <c r="C1000" s="2">
        <v>4.5999999999999996</v>
      </c>
      <c r="D1000" s="3">
        <v>85.3</v>
      </c>
      <c r="E1000" s="2">
        <v>8.1</v>
      </c>
      <c r="F1000" s="1" t="s">
        <v>24</v>
      </c>
      <c r="G1000" s="1" t="s">
        <v>20</v>
      </c>
      <c r="H1000" s="1" t="s">
        <v>20</v>
      </c>
      <c r="I1000" s="1" t="s">
        <v>19</v>
      </c>
      <c r="J1000" s="2">
        <v>52.2</v>
      </c>
      <c r="K1000" s="3">
        <v>82</v>
      </c>
      <c r="L1000" s="1" t="s">
        <v>28</v>
      </c>
    </row>
    <row r="1001" spans="1:12" x14ac:dyDescent="0.35">
      <c r="A1001">
        <v>1000</v>
      </c>
      <c r="B1001" s="1" t="s">
        <v>17</v>
      </c>
      <c r="C1001" s="2">
        <v>3.9</v>
      </c>
      <c r="D1001" s="3">
        <v>77.400000000000006</v>
      </c>
      <c r="E1001" s="2">
        <v>6.1</v>
      </c>
      <c r="F1001" s="1" t="s">
        <v>33</v>
      </c>
      <c r="G1001" s="1" t="s">
        <v>19</v>
      </c>
      <c r="H1001" s="1" t="s">
        <v>20</v>
      </c>
      <c r="I1001" s="1" t="s">
        <v>20</v>
      </c>
      <c r="J1001" s="2">
        <v>45.4</v>
      </c>
      <c r="K1001" s="3">
        <v>70</v>
      </c>
      <c r="L1001" s="1" t="s">
        <v>32</v>
      </c>
    </row>
  </sheetData>
  <autoFilter ref="A1:R1001" xr:uid="{00000000-0001-0000-0000-000000000000}"/>
  <conditionalFormatting sqref="N1:R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S1003"/>
  <sheetViews>
    <sheetView zoomScale="85" zoomScaleNormal="85" workbookViewId="0"/>
  </sheetViews>
  <sheetFormatPr defaultRowHeight="14.5" x14ac:dyDescent="0.35"/>
  <cols>
    <col min="1" max="1" width="11.1796875" customWidth="1"/>
    <col min="2" max="2" width="9.1796875" style="1"/>
    <col min="3" max="3" width="16.81640625" style="2" customWidth="1"/>
    <col min="4" max="4" width="18.54296875" style="3" customWidth="1"/>
    <col min="5" max="5" width="11.81640625" style="2" customWidth="1"/>
    <col min="6" max="6" width="18" style="1" customWidth="1"/>
    <col min="7" max="7" width="14.81640625" style="1" customWidth="1"/>
    <col min="8" max="8" width="22.54296875" style="1" customWidth="1"/>
    <col min="9" max="9" width="13.453125" style="1" customWidth="1"/>
    <col min="10" max="10" width="14.54296875" style="2" customWidth="1"/>
    <col min="11" max="12" width="17.453125" style="3" customWidth="1"/>
    <col min="13" max="13" width="10.54296875" style="1" customWidth="1"/>
    <col min="15" max="15" width="16" customWidth="1"/>
  </cols>
  <sheetData>
    <row r="3" spans="1:19" x14ac:dyDescent="0.35">
      <c r="A3" t="s">
        <v>0</v>
      </c>
      <c r="B3" s="1" t="s">
        <v>1</v>
      </c>
      <c r="C3" s="2" t="s">
        <v>2</v>
      </c>
      <c r="D3" s="3" t="s">
        <v>3</v>
      </c>
      <c r="E3" s="2" t="s">
        <v>4</v>
      </c>
      <c r="F3" s="1" t="s">
        <v>5</v>
      </c>
      <c r="G3" s="1" t="s">
        <v>6</v>
      </c>
      <c r="H3" s="1" t="s">
        <v>7</v>
      </c>
      <c r="I3" s="1" t="s">
        <v>8</v>
      </c>
      <c r="J3" s="2" t="s">
        <v>9</v>
      </c>
      <c r="K3" s="3" t="s">
        <v>10</v>
      </c>
      <c r="L3" s="3" t="s">
        <v>50</v>
      </c>
      <c r="M3" s="1" t="s">
        <v>11</v>
      </c>
      <c r="O3" t="s">
        <v>12</v>
      </c>
      <c r="P3" t="s">
        <v>13</v>
      </c>
      <c r="Q3" t="s">
        <v>14</v>
      </c>
      <c r="R3" t="s">
        <v>15</v>
      </c>
      <c r="S3" t="s">
        <v>16</v>
      </c>
    </row>
    <row r="4" spans="1:19" x14ac:dyDescent="0.35">
      <c r="A4">
        <v>1</v>
      </c>
      <c r="B4" s="1" t="s">
        <v>17</v>
      </c>
      <c r="C4" s="2">
        <v>4</v>
      </c>
      <c r="D4" s="3">
        <v>98</v>
      </c>
      <c r="E4" s="2">
        <v>6.5</v>
      </c>
      <c r="F4" s="1" t="s">
        <v>18</v>
      </c>
      <c r="G4" s="1" t="s">
        <v>19</v>
      </c>
      <c r="H4" s="1" t="s">
        <v>19</v>
      </c>
      <c r="I4" s="1" t="s">
        <v>20</v>
      </c>
      <c r="J4" s="2">
        <v>76.900000000000006</v>
      </c>
      <c r="K4" s="3">
        <v>100</v>
      </c>
      <c r="L4" s="3" t="str">
        <f>IF(K4&gt;=95,"95-100",IF(K4&gt;=90,"90-94",IF(K4&gt;=85,"85-89",IF(K4&gt;=80,"80-84",IF(K4&gt;=75,"75-79",IF(K4&gt;=70,"70-74",IF(K4&gt;=65,"65-69",IF(K4&gt;=60,"60-64",IF(K4&gt;=55,"55-59","Below 55")))))))))</f>
        <v>95-100</v>
      </c>
      <c r="M4" s="1" t="s">
        <v>21</v>
      </c>
      <c r="O4" t="s">
        <v>22</v>
      </c>
      <c r="P4">
        <v>3.57</v>
      </c>
      <c r="Q4">
        <v>0.5</v>
      </c>
      <c r="R4">
        <v>8.1</v>
      </c>
      <c r="S4">
        <v>3.6</v>
      </c>
    </row>
    <row r="5" spans="1:19" x14ac:dyDescent="0.35">
      <c r="A5">
        <v>2</v>
      </c>
      <c r="B5" s="1" t="s">
        <v>23</v>
      </c>
      <c r="C5" s="2">
        <v>6.3</v>
      </c>
      <c r="D5" s="3">
        <v>100</v>
      </c>
      <c r="E5" s="2">
        <v>5.7</v>
      </c>
      <c r="F5" s="1" t="s">
        <v>24</v>
      </c>
      <c r="G5" s="1" t="s">
        <v>19</v>
      </c>
      <c r="H5" s="1" t="s">
        <v>19</v>
      </c>
      <c r="I5" s="1" t="s">
        <v>19</v>
      </c>
      <c r="J5" s="2">
        <v>75.5</v>
      </c>
      <c r="K5" s="3">
        <v>100</v>
      </c>
      <c r="L5" s="3" t="str">
        <f t="shared" ref="L5:L68" si="0">IF(K5&gt;=95,"95-100",IF(K5&gt;=90,"90-94",IF(K5&gt;=85,"85-89",IF(K5&gt;=80,"80-84",IF(K5&gt;=75,"75-79",IF(K5&gt;=70,"70-74",IF(K5&gt;=65,"65-69",IF(K5&gt;=60,"60-64",IF(K5&gt;=55,"55-59","Below 55")))))))))</f>
        <v>95-100</v>
      </c>
      <c r="M5" s="1" t="s">
        <v>21</v>
      </c>
      <c r="O5" t="s">
        <v>25</v>
      </c>
      <c r="P5" s="7">
        <v>85.09</v>
      </c>
      <c r="Q5">
        <v>54.8</v>
      </c>
      <c r="R5">
        <v>100</v>
      </c>
      <c r="S5">
        <v>85.2</v>
      </c>
    </row>
    <row r="6" spans="1:19" x14ac:dyDescent="0.35">
      <c r="A6">
        <v>3</v>
      </c>
      <c r="B6" s="1" t="s">
        <v>17</v>
      </c>
      <c r="C6" s="2">
        <v>4.9000000000000004</v>
      </c>
      <c r="D6" s="3">
        <v>85.3</v>
      </c>
      <c r="E6" s="2">
        <v>7.9</v>
      </c>
      <c r="F6" s="1" t="s">
        <v>18</v>
      </c>
      <c r="G6" s="1" t="s">
        <v>19</v>
      </c>
      <c r="H6" s="1" t="s">
        <v>20</v>
      </c>
      <c r="I6" s="1" t="s">
        <v>19</v>
      </c>
      <c r="J6" s="2">
        <v>88.5</v>
      </c>
      <c r="K6" s="3">
        <v>97</v>
      </c>
      <c r="L6" s="3" t="str">
        <f t="shared" si="0"/>
        <v>95-100</v>
      </c>
      <c r="M6" s="1" t="s">
        <v>21</v>
      </c>
      <c r="O6" t="s">
        <v>26</v>
      </c>
      <c r="P6">
        <v>6.8</v>
      </c>
      <c r="Q6">
        <v>3.2</v>
      </c>
      <c r="R6">
        <v>10</v>
      </c>
      <c r="S6">
        <v>6.8</v>
      </c>
    </row>
    <row r="7" spans="1:19" x14ac:dyDescent="0.35">
      <c r="A7">
        <v>4</v>
      </c>
      <c r="B7" s="1" t="s">
        <v>17</v>
      </c>
      <c r="C7" s="2">
        <v>2.6</v>
      </c>
      <c r="D7" s="3">
        <v>77.5</v>
      </c>
      <c r="E7" s="2">
        <v>8</v>
      </c>
      <c r="F7" s="1" t="s">
        <v>27</v>
      </c>
      <c r="G7" s="1" t="s">
        <v>19</v>
      </c>
      <c r="H7" s="1" t="s">
        <v>19</v>
      </c>
      <c r="I7" s="1" t="s">
        <v>20</v>
      </c>
      <c r="J7" s="2">
        <v>85.1</v>
      </c>
      <c r="K7" s="3">
        <v>84</v>
      </c>
      <c r="L7" s="3" t="str">
        <f t="shared" si="0"/>
        <v>80-84</v>
      </c>
      <c r="M7" s="1" t="s">
        <v>28</v>
      </c>
      <c r="O7" t="s">
        <v>40</v>
      </c>
      <c r="P7">
        <v>69.739999999999995</v>
      </c>
      <c r="Q7">
        <v>31.3</v>
      </c>
      <c r="R7">
        <v>100</v>
      </c>
      <c r="S7">
        <v>69.599999999999994</v>
      </c>
    </row>
    <row r="8" spans="1:19" x14ac:dyDescent="0.35">
      <c r="A8">
        <v>5</v>
      </c>
      <c r="B8" s="1" t="s">
        <v>17</v>
      </c>
      <c r="C8" s="2">
        <v>2.2000000000000002</v>
      </c>
      <c r="D8" s="3">
        <v>89.6</v>
      </c>
      <c r="E8" s="2">
        <v>4.5999999999999996</v>
      </c>
      <c r="F8" s="1" t="s">
        <v>18</v>
      </c>
      <c r="G8" s="1" t="s">
        <v>19</v>
      </c>
      <c r="H8" s="1" t="s">
        <v>20</v>
      </c>
      <c r="I8" s="1" t="s">
        <v>19</v>
      </c>
      <c r="J8" s="2">
        <v>61.8</v>
      </c>
      <c r="K8" s="3">
        <v>68</v>
      </c>
      <c r="L8" s="3" t="str">
        <f t="shared" si="0"/>
        <v>65-69</v>
      </c>
      <c r="M8" s="1" t="s">
        <v>30</v>
      </c>
      <c r="O8" t="s">
        <v>31</v>
      </c>
      <c r="P8">
        <v>83.54</v>
      </c>
      <c r="Q8">
        <v>46.8</v>
      </c>
      <c r="R8">
        <v>100</v>
      </c>
      <c r="S8">
        <v>83.8</v>
      </c>
    </row>
    <row r="9" spans="1:19" x14ac:dyDescent="0.35">
      <c r="A9">
        <v>6</v>
      </c>
      <c r="B9" s="1" t="s">
        <v>23</v>
      </c>
      <c r="C9" s="2">
        <v>4.2</v>
      </c>
      <c r="D9" s="3">
        <v>78.2</v>
      </c>
      <c r="E9" s="2">
        <v>5.7</v>
      </c>
      <c r="F9" s="1" t="s">
        <v>24</v>
      </c>
      <c r="G9" s="1" t="s">
        <v>19</v>
      </c>
      <c r="H9" s="1" t="s">
        <v>20</v>
      </c>
      <c r="I9" s="1" t="s">
        <v>20</v>
      </c>
      <c r="J9" s="2">
        <v>79.8</v>
      </c>
      <c r="K9" s="3">
        <v>82</v>
      </c>
      <c r="L9" s="3" t="str">
        <f t="shared" si="0"/>
        <v>80-84</v>
      </c>
      <c r="M9" s="1" t="s">
        <v>28</v>
      </c>
    </row>
    <row r="10" spans="1:19" x14ac:dyDescent="0.35">
      <c r="A10">
        <v>7</v>
      </c>
      <c r="B10" s="1" t="s">
        <v>17</v>
      </c>
      <c r="C10" s="2">
        <v>1.5</v>
      </c>
      <c r="D10" s="3">
        <v>100</v>
      </c>
      <c r="E10" s="2">
        <v>5</v>
      </c>
      <c r="F10" s="1" t="s">
        <v>24</v>
      </c>
      <c r="G10" s="1" t="s">
        <v>19</v>
      </c>
      <c r="H10" s="1" t="s">
        <v>19</v>
      </c>
      <c r="I10" s="1" t="s">
        <v>19</v>
      </c>
      <c r="J10" s="2">
        <v>58.6</v>
      </c>
      <c r="K10" s="3">
        <v>70</v>
      </c>
      <c r="L10" s="3" t="str">
        <f t="shared" si="0"/>
        <v>70-74</v>
      </c>
      <c r="M10" s="1" t="s">
        <v>30</v>
      </c>
    </row>
    <row r="11" spans="1:19" x14ac:dyDescent="0.35">
      <c r="A11">
        <v>8</v>
      </c>
      <c r="B11" s="1" t="s">
        <v>17</v>
      </c>
      <c r="C11" s="2">
        <v>6.2</v>
      </c>
      <c r="D11" s="3">
        <v>86.4</v>
      </c>
      <c r="E11" s="2">
        <v>6</v>
      </c>
      <c r="F11" s="1" t="s">
        <v>24</v>
      </c>
      <c r="G11" s="1" t="s">
        <v>19</v>
      </c>
      <c r="H11" s="1" t="s">
        <v>19</v>
      </c>
      <c r="I11" s="1" t="s">
        <v>20</v>
      </c>
      <c r="J11" s="2">
        <v>78.400000000000006</v>
      </c>
      <c r="K11" s="3">
        <v>88</v>
      </c>
      <c r="L11" s="3" t="str">
        <f t="shared" si="0"/>
        <v>85-89</v>
      </c>
      <c r="M11" s="1" t="s">
        <v>28</v>
      </c>
      <c r="O11" t="s">
        <v>41</v>
      </c>
      <c r="P11">
        <f>COUNTA(A4:A1003)</f>
        <v>1000</v>
      </c>
    </row>
    <row r="12" spans="1:19" x14ac:dyDescent="0.35">
      <c r="A12">
        <v>9</v>
      </c>
      <c r="B12" s="1" t="s">
        <v>17</v>
      </c>
      <c r="C12" s="2">
        <v>5.3</v>
      </c>
      <c r="D12" s="3">
        <v>81.3</v>
      </c>
      <c r="E12" s="2">
        <v>6.7</v>
      </c>
      <c r="F12" s="1" t="s">
        <v>18</v>
      </c>
      <c r="G12" s="1" t="s">
        <v>19</v>
      </c>
      <c r="H12" s="1" t="s">
        <v>20</v>
      </c>
      <c r="I12" s="1" t="s">
        <v>20</v>
      </c>
      <c r="J12" s="2">
        <v>63.8</v>
      </c>
      <c r="K12" s="3">
        <v>84</v>
      </c>
      <c r="L12" s="3" t="str">
        <f t="shared" si="0"/>
        <v>80-84</v>
      </c>
      <c r="M12" s="1" t="s">
        <v>28</v>
      </c>
    </row>
    <row r="13" spans="1:19" x14ac:dyDescent="0.35">
      <c r="A13">
        <v>10</v>
      </c>
      <c r="B13" s="1" t="s">
        <v>23</v>
      </c>
      <c r="C13" s="2">
        <v>2.8</v>
      </c>
      <c r="D13" s="3">
        <v>86.8</v>
      </c>
      <c r="E13" s="2">
        <v>5.0999999999999996</v>
      </c>
      <c r="F13" s="1" t="s">
        <v>18</v>
      </c>
      <c r="G13" s="1" t="s">
        <v>19</v>
      </c>
      <c r="H13" s="1" t="s">
        <v>19</v>
      </c>
      <c r="I13" s="1" t="s">
        <v>20</v>
      </c>
      <c r="J13" s="2">
        <v>57.7</v>
      </c>
      <c r="K13" s="3">
        <v>74</v>
      </c>
      <c r="L13" s="3" t="str">
        <f t="shared" si="0"/>
        <v>70-74</v>
      </c>
      <c r="M13" s="1" t="s">
        <v>32</v>
      </c>
    </row>
    <row r="14" spans="1:19" x14ac:dyDescent="0.35">
      <c r="A14">
        <v>11</v>
      </c>
      <c r="B14" s="1" t="s">
        <v>17</v>
      </c>
      <c r="C14" s="2">
        <v>0.9</v>
      </c>
      <c r="D14" s="3">
        <v>71.5</v>
      </c>
      <c r="E14" s="2">
        <v>5.7</v>
      </c>
      <c r="F14" s="1" t="s">
        <v>24</v>
      </c>
      <c r="G14" s="1" t="s">
        <v>19</v>
      </c>
      <c r="H14" s="1" t="s">
        <v>20</v>
      </c>
      <c r="I14" s="1" t="s">
        <v>19</v>
      </c>
      <c r="J14" s="2">
        <v>73.400000000000006</v>
      </c>
      <c r="K14" s="3">
        <v>69</v>
      </c>
      <c r="L14" s="3" t="str">
        <f t="shared" si="0"/>
        <v>65-69</v>
      </c>
      <c r="M14" s="1" t="s">
        <v>30</v>
      </c>
    </row>
    <row r="15" spans="1:19" x14ac:dyDescent="0.35">
      <c r="A15">
        <v>12</v>
      </c>
      <c r="B15" s="1" t="s">
        <v>17</v>
      </c>
      <c r="C15" s="2">
        <v>5.5</v>
      </c>
      <c r="D15" s="3">
        <v>75.3</v>
      </c>
      <c r="E15" s="2">
        <v>5.6</v>
      </c>
      <c r="F15" s="1" t="s">
        <v>27</v>
      </c>
      <c r="G15" s="1" t="s">
        <v>19</v>
      </c>
      <c r="H15" s="1" t="s">
        <v>19</v>
      </c>
      <c r="I15" s="1" t="s">
        <v>20</v>
      </c>
      <c r="J15" s="2">
        <v>37.9</v>
      </c>
      <c r="K15" s="3">
        <v>77</v>
      </c>
      <c r="L15" s="3" t="str">
        <f t="shared" si="0"/>
        <v>75-79</v>
      </c>
      <c r="M15" s="1" t="s">
        <v>32</v>
      </c>
    </row>
    <row r="16" spans="1:19" x14ac:dyDescent="0.35">
      <c r="A16">
        <v>13</v>
      </c>
      <c r="B16" s="1" t="s">
        <v>17</v>
      </c>
      <c r="C16" s="2">
        <v>3.3</v>
      </c>
      <c r="D16" s="3">
        <v>97</v>
      </c>
      <c r="E16" s="2">
        <v>7</v>
      </c>
      <c r="F16" s="1" t="s">
        <v>33</v>
      </c>
      <c r="G16" s="1" t="s">
        <v>19</v>
      </c>
      <c r="H16" s="1" t="s">
        <v>19</v>
      </c>
      <c r="I16" s="1" t="s">
        <v>19</v>
      </c>
      <c r="J16" s="2">
        <v>49</v>
      </c>
      <c r="K16" s="3">
        <v>83</v>
      </c>
      <c r="L16" s="3" t="str">
        <f t="shared" si="0"/>
        <v>80-84</v>
      </c>
      <c r="M16" s="1" t="s">
        <v>28</v>
      </c>
    </row>
    <row r="17" spans="1:13" x14ac:dyDescent="0.35">
      <c r="A17">
        <v>14</v>
      </c>
      <c r="B17" s="1" t="s">
        <v>17</v>
      </c>
      <c r="C17" s="2">
        <v>5.4</v>
      </c>
      <c r="D17" s="3">
        <v>78.400000000000006</v>
      </c>
      <c r="E17" s="2">
        <v>6.9</v>
      </c>
      <c r="F17" s="1" t="s">
        <v>18</v>
      </c>
      <c r="G17" s="1" t="s">
        <v>20</v>
      </c>
      <c r="H17" s="1" t="s">
        <v>20</v>
      </c>
      <c r="I17" s="1" t="s">
        <v>20</v>
      </c>
      <c r="J17" s="2">
        <v>67.900000000000006</v>
      </c>
      <c r="K17" s="3">
        <v>93</v>
      </c>
      <c r="L17" s="3" t="str">
        <f t="shared" si="0"/>
        <v>90-94</v>
      </c>
      <c r="M17" s="1" t="s">
        <v>21</v>
      </c>
    </row>
    <row r="18" spans="1:13" x14ac:dyDescent="0.35">
      <c r="A18">
        <v>15</v>
      </c>
      <c r="B18" s="1" t="s">
        <v>23</v>
      </c>
      <c r="C18" s="2">
        <v>1.1000000000000001</v>
      </c>
      <c r="D18" s="3">
        <v>74.5</v>
      </c>
      <c r="E18" s="2">
        <v>5.9</v>
      </c>
      <c r="F18" s="1" t="s">
        <v>33</v>
      </c>
      <c r="G18" s="1" t="s">
        <v>19</v>
      </c>
      <c r="H18" s="1" t="s">
        <v>19</v>
      </c>
      <c r="I18" s="1" t="s">
        <v>19</v>
      </c>
      <c r="J18" s="2">
        <v>71</v>
      </c>
      <c r="K18" s="3">
        <v>74</v>
      </c>
      <c r="L18" s="3" t="str">
        <f t="shared" si="0"/>
        <v>70-74</v>
      </c>
      <c r="M18" s="1" t="s">
        <v>32</v>
      </c>
    </row>
    <row r="19" spans="1:13" x14ac:dyDescent="0.35">
      <c r="A19">
        <v>16</v>
      </c>
      <c r="B19" s="1" t="s">
        <v>17</v>
      </c>
      <c r="C19" s="2">
        <v>2.6</v>
      </c>
      <c r="D19" s="3">
        <v>90.4</v>
      </c>
      <c r="E19" s="2">
        <v>7</v>
      </c>
      <c r="F19" s="1" t="s">
        <v>24</v>
      </c>
      <c r="G19" s="1" t="s">
        <v>19</v>
      </c>
      <c r="H19" s="1" t="s">
        <v>19</v>
      </c>
      <c r="I19" s="1" t="s">
        <v>20</v>
      </c>
      <c r="J19" s="2">
        <v>65.599999999999994</v>
      </c>
      <c r="K19" s="3">
        <v>85</v>
      </c>
      <c r="L19" s="3" t="str">
        <f t="shared" si="0"/>
        <v>85-89</v>
      </c>
      <c r="M19" s="1" t="s">
        <v>28</v>
      </c>
    </row>
    <row r="20" spans="1:13" x14ac:dyDescent="0.35">
      <c r="A20">
        <v>17</v>
      </c>
      <c r="B20" s="1" t="s">
        <v>23</v>
      </c>
      <c r="C20" s="2">
        <v>3.5</v>
      </c>
      <c r="D20" s="3">
        <v>96.9</v>
      </c>
      <c r="E20" s="2">
        <v>6.1</v>
      </c>
      <c r="F20" s="1" t="s">
        <v>18</v>
      </c>
      <c r="G20" s="1" t="s">
        <v>19</v>
      </c>
      <c r="H20" s="1" t="s">
        <v>19</v>
      </c>
      <c r="I20" s="1" t="s">
        <v>20</v>
      </c>
      <c r="J20" s="2">
        <v>51</v>
      </c>
      <c r="K20" s="3">
        <v>82</v>
      </c>
      <c r="L20" s="3" t="str">
        <f t="shared" si="0"/>
        <v>80-84</v>
      </c>
      <c r="M20" s="1" t="s">
        <v>28</v>
      </c>
    </row>
    <row r="21" spans="1:13" x14ac:dyDescent="0.35">
      <c r="A21">
        <v>18</v>
      </c>
      <c r="B21" s="1" t="s">
        <v>23</v>
      </c>
      <c r="C21" s="2">
        <v>3.6</v>
      </c>
      <c r="D21" s="3">
        <v>92.2</v>
      </c>
      <c r="E21" s="2">
        <v>6.5</v>
      </c>
      <c r="F21" s="1" t="s">
        <v>18</v>
      </c>
      <c r="G21" s="1" t="s">
        <v>19</v>
      </c>
      <c r="H21" s="1" t="s">
        <v>19</v>
      </c>
      <c r="I21" s="1" t="s">
        <v>19</v>
      </c>
      <c r="J21" s="2">
        <v>60.2</v>
      </c>
      <c r="K21" s="3">
        <v>76</v>
      </c>
      <c r="L21" s="3" t="str">
        <f t="shared" si="0"/>
        <v>75-79</v>
      </c>
      <c r="M21" s="1" t="s">
        <v>32</v>
      </c>
    </row>
    <row r="22" spans="1:13" x14ac:dyDescent="0.35">
      <c r="A22">
        <v>19</v>
      </c>
      <c r="B22" s="1" t="s">
        <v>23</v>
      </c>
      <c r="C22" s="2">
        <v>2.8</v>
      </c>
      <c r="D22" s="3">
        <v>95</v>
      </c>
      <c r="E22" s="2">
        <v>8.8000000000000007</v>
      </c>
      <c r="F22" s="1" t="s">
        <v>33</v>
      </c>
      <c r="G22" s="1" t="s">
        <v>20</v>
      </c>
      <c r="H22" s="1" t="s">
        <v>19</v>
      </c>
      <c r="I22" s="1" t="s">
        <v>20</v>
      </c>
      <c r="J22" s="2">
        <v>74.7</v>
      </c>
      <c r="K22" s="3">
        <v>90</v>
      </c>
      <c r="L22" s="3" t="str">
        <f t="shared" si="0"/>
        <v>90-94</v>
      </c>
      <c r="M22" s="1" t="s">
        <v>28</v>
      </c>
    </row>
    <row r="23" spans="1:13" x14ac:dyDescent="0.35">
      <c r="A23">
        <v>20</v>
      </c>
      <c r="B23" s="1" t="s">
        <v>17</v>
      </c>
      <c r="C23" s="2">
        <v>4.4000000000000004</v>
      </c>
      <c r="D23" s="3">
        <v>77.400000000000006</v>
      </c>
      <c r="E23" s="2">
        <v>8.4</v>
      </c>
      <c r="F23" s="1" t="s">
        <v>33</v>
      </c>
      <c r="G23" s="1" t="s">
        <v>20</v>
      </c>
      <c r="H23" s="1" t="s">
        <v>20</v>
      </c>
      <c r="I23" s="1" t="s">
        <v>19</v>
      </c>
      <c r="J23" s="2">
        <v>77</v>
      </c>
      <c r="K23" s="3">
        <v>93</v>
      </c>
      <c r="L23" s="3" t="str">
        <f t="shared" si="0"/>
        <v>90-94</v>
      </c>
      <c r="M23" s="1" t="s">
        <v>21</v>
      </c>
    </row>
    <row r="24" spans="1:13" x14ac:dyDescent="0.35">
      <c r="A24">
        <v>21</v>
      </c>
      <c r="B24" s="1" t="s">
        <v>23</v>
      </c>
      <c r="C24" s="2">
        <v>1.9</v>
      </c>
      <c r="D24" s="3">
        <v>70.8</v>
      </c>
      <c r="E24" s="2">
        <v>5.2</v>
      </c>
      <c r="F24" s="1" t="s">
        <v>24</v>
      </c>
      <c r="G24" s="1" t="s">
        <v>19</v>
      </c>
      <c r="H24" s="1" t="s">
        <v>19</v>
      </c>
      <c r="I24" s="1" t="s">
        <v>20</v>
      </c>
      <c r="J24" s="2">
        <v>69.8</v>
      </c>
      <c r="K24" s="3">
        <v>74</v>
      </c>
      <c r="L24" s="3" t="str">
        <f t="shared" si="0"/>
        <v>70-74</v>
      </c>
      <c r="M24" s="1" t="s">
        <v>32</v>
      </c>
    </row>
    <row r="25" spans="1:13" x14ac:dyDescent="0.35">
      <c r="A25">
        <v>22</v>
      </c>
      <c r="B25" s="1" t="s">
        <v>17</v>
      </c>
      <c r="C25" s="2">
        <v>3.3</v>
      </c>
      <c r="D25" s="3">
        <v>100</v>
      </c>
      <c r="E25" s="2">
        <v>7.8</v>
      </c>
      <c r="F25" s="1" t="s">
        <v>27</v>
      </c>
      <c r="G25" s="1" t="s">
        <v>19</v>
      </c>
      <c r="H25" s="1" t="s">
        <v>19</v>
      </c>
      <c r="I25" s="1" t="s">
        <v>20</v>
      </c>
      <c r="J25" s="2">
        <v>83.9</v>
      </c>
      <c r="K25" s="3">
        <v>100</v>
      </c>
      <c r="L25" s="3" t="str">
        <f t="shared" si="0"/>
        <v>95-100</v>
      </c>
      <c r="M25" s="1" t="s">
        <v>21</v>
      </c>
    </row>
    <row r="26" spans="1:13" x14ac:dyDescent="0.35">
      <c r="A26">
        <v>23</v>
      </c>
      <c r="B26" s="1" t="s">
        <v>23</v>
      </c>
      <c r="C26" s="2">
        <v>3.7</v>
      </c>
      <c r="D26" s="3">
        <v>81.8</v>
      </c>
      <c r="E26" s="2">
        <v>7.8</v>
      </c>
      <c r="F26" s="1" t="s">
        <v>24</v>
      </c>
      <c r="G26" s="1" t="s">
        <v>20</v>
      </c>
      <c r="H26" s="1" t="s">
        <v>20</v>
      </c>
      <c r="I26" s="1" t="s">
        <v>20</v>
      </c>
      <c r="J26" s="2">
        <v>74.8</v>
      </c>
      <c r="K26" s="3">
        <v>73</v>
      </c>
      <c r="L26" s="3" t="str">
        <f t="shared" si="0"/>
        <v>70-74</v>
      </c>
      <c r="M26" s="1" t="s">
        <v>32</v>
      </c>
    </row>
    <row r="27" spans="1:13" x14ac:dyDescent="0.35">
      <c r="A27">
        <v>24</v>
      </c>
      <c r="B27" s="1" t="s">
        <v>23</v>
      </c>
      <c r="C27" s="2">
        <v>4.3</v>
      </c>
      <c r="D27" s="3">
        <v>82.5</v>
      </c>
      <c r="E27" s="2">
        <v>5.4</v>
      </c>
      <c r="F27" s="1" t="s">
        <v>34</v>
      </c>
      <c r="G27" s="1" t="s">
        <v>20</v>
      </c>
      <c r="H27" s="1" t="s">
        <v>19</v>
      </c>
      <c r="I27" s="1" t="s">
        <v>20</v>
      </c>
      <c r="J27" s="2">
        <v>61</v>
      </c>
      <c r="K27" s="3">
        <v>71</v>
      </c>
      <c r="L27" s="3" t="str">
        <f t="shared" si="0"/>
        <v>70-74</v>
      </c>
      <c r="M27" s="1" t="s">
        <v>32</v>
      </c>
    </row>
    <row r="28" spans="1:13" x14ac:dyDescent="0.35">
      <c r="A28">
        <v>25</v>
      </c>
      <c r="B28" s="1" t="s">
        <v>23</v>
      </c>
      <c r="C28" s="2">
        <v>4.5999999999999996</v>
      </c>
      <c r="D28" s="3">
        <v>98.3</v>
      </c>
      <c r="E28" s="2">
        <v>7.8</v>
      </c>
      <c r="F28" s="1" t="s">
        <v>27</v>
      </c>
      <c r="G28" s="1" t="s">
        <v>19</v>
      </c>
      <c r="H28" s="1" t="s">
        <v>19</v>
      </c>
      <c r="I28" s="1" t="s">
        <v>19</v>
      </c>
      <c r="J28" s="2">
        <v>66.599999999999994</v>
      </c>
      <c r="K28" s="3">
        <v>97</v>
      </c>
      <c r="L28" s="3" t="str">
        <f t="shared" si="0"/>
        <v>95-100</v>
      </c>
      <c r="M28" s="1" t="s">
        <v>21</v>
      </c>
    </row>
    <row r="29" spans="1:13" x14ac:dyDescent="0.35">
      <c r="A29">
        <v>26</v>
      </c>
      <c r="B29" s="1" t="s">
        <v>23</v>
      </c>
      <c r="C29" s="2">
        <v>1.8</v>
      </c>
      <c r="D29" s="3">
        <v>90.6</v>
      </c>
      <c r="E29" s="2">
        <v>8.6</v>
      </c>
      <c r="F29" s="1" t="s">
        <v>24</v>
      </c>
      <c r="G29" s="1" t="s">
        <v>19</v>
      </c>
      <c r="H29" s="1" t="s">
        <v>20</v>
      </c>
      <c r="I29" s="1" t="s">
        <v>20</v>
      </c>
      <c r="J29" s="2">
        <v>53.2</v>
      </c>
      <c r="K29" s="3">
        <v>76</v>
      </c>
      <c r="L29" s="3" t="str">
        <f t="shared" si="0"/>
        <v>75-79</v>
      </c>
      <c r="M29" s="1" t="s">
        <v>32</v>
      </c>
    </row>
    <row r="30" spans="1:13" x14ac:dyDescent="0.35">
      <c r="A30">
        <v>27</v>
      </c>
      <c r="B30" s="1" t="s">
        <v>23</v>
      </c>
      <c r="C30" s="2">
        <v>1.2</v>
      </c>
      <c r="D30" s="3">
        <v>89.6</v>
      </c>
      <c r="E30" s="2">
        <v>5.5</v>
      </c>
      <c r="F30" s="1" t="s">
        <v>33</v>
      </c>
      <c r="G30" s="1" t="s">
        <v>19</v>
      </c>
      <c r="H30" s="1" t="s">
        <v>20</v>
      </c>
      <c r="I30" s="1" t="s">
        <v>19</v>
      </c>
      <c r="J30" s="2">
        <v>68.7</v>
      </c>
      <c r="K30" s="3">
        <v>79</v>
      </c>
      <c r="L30" s="3" t="str">
        <f t="shared" si="0"/>
        <v>75-79</v>
      </c>
      <c r="M30" s="1" t="s">
        <v>32</v>
      </c>
    </row>
    <row r="31" spans="1:13" x14ac:dyDescent="0.35">
      <c r="A31">
        <v>28</v>
      </c>
      <c r="B31" s="1" t="s">
        <v>23</v>
      </c>
      <c r="C31" s="2">
        <v>5.4</v>
      </c>
      <c r="D31" s="3">
        <v>100</v>
      </c>
      <c r="E31" s="2">
        <v>5.7</v>
      </c>
      <c r="F31" s="1" t="s">
        <v>24</v>
      </c>
      <c r="G31" s="1" t="s">
        <v>20</v>
      </c>
      <c r="H31" s="1" t="s">
        <v>20</v>
      </c>
      <c r="I31" s="1" t="s">
        <v>20</v>
      </c>
      <c r="J31" s="2">
        <v>83.3</v>
      </c>
      <c r="K31" s="3">
        <v>97</v>
      </c>
      <c r="L31" s="3" t="str">
        <f t="shared" si="0"/>
        <v>95-100</v>
      </c>
      <c r="M31" s="1" t="s">
        <v>21</v>
      </c>
    </row>
    <row r="32" spans="1:13" x14ac:dyDescent="0.35">
      <c r="A32">
        <v>29</v>
      </c>
      <c r="B32" s="1" t="s">
        <v>23</v>
      </c>
      <c r="C32" s="2">
        <v>4</v>
      </c>
      <c r="D32" s="3">
        <v>78.599999999999994</v>
      </c>
      <c r="E32" s="2">
        <v>8</v>
      </c>
      <c r="F32" s="1" t="s">
        <v>18</v>
      </c>
      <c r="G32" s="1" t="s">
        <v>19</v>
      </c>
      <c r="H32" s="1" t="s">
        <v>20</v>
      </c>
      <c r="I32" s="1" t="s">
        <v>20</v>
      </c>
      <c r="J32" s="2">
        <v>78.2</v>
      </c>
      <c r="K32" s="3">
        <v>84</v>
      </c>
      <c r="L32" s="3" t="str">
        <f t="shared" si="0"/>
        <v>80-84</v>
      </c>
      <c r="M32" s="1" t="s">
        <v>28</v>
      </c>
    </row>
    <row r="33" spans="1:13" x14ac:dyDescent="0.35">
      <c r="A33">
        <v>30</v>
      </c>
      <c r="B33" s="1" t="s">
        <v>23</v>
      </c>
      <c r="C33" s="2">
        <v>2.4</v>
      </c>
      <c r="D33" s="3">
        <v>94.3</v>
      </c>
      <c r="E33" s="2">
        <v>7.1</v>
      </c>
      <c r="F33" s="1" t="s">
        <v>18</v>
      </c>
      <c r="G33" s="1" t="s">
        <v>19</v>
      </c>
      <c r="H33" s="1" t="s">
        <v>19</v>
      </c>
      <c r="I33" s="1" t="s">
        <v>20</v>
      </c>
      <c r="J33" s="2">
        <v>86.8</v>
      </c>
      <c r="K33" s="3">
        <v>90</v>
      </c>
      <c r="L33" s="3" t="str">
        <f t="shared" si="0"/>
        <v>90-94</v>
      </c>
      <c r="M33" s="1" t="s">
        <v>28</v>
      </c>
    </row>
    <row r="34" spans="1:13" x14ac:dyDescent="0.35">
      <c r="A34">
        <v>31</v>
      </c>
      <c r="B34" s="1" t="s">
        <v>17</v>
      </c>
      <c r="C34" s="2">
        <v>5.8</v>
      </c>
      <c r="D34" s="3">
        <v>85.6</v>
      </c>
      <c r="E34" s="2">
        <v>7.5</v>
      </c>
      <c r="F34" s="1" t="s">
        <v>18</v>
      </c>
      <c r="G34" s="1" t="s">
        <v>19</v>
      </c>
      <c r="H34" s="1" t="s">
        <v>20</v>
      </c>
      <c r="I34" s="1" t="s">
        <v>19</v>
      </c>
      <c r="J34" s="2">
        <v>66.400000000000006</v>
      </c>
      <c r="K34" s="3">
        <v>82</v>
      </c>
      <c r="L34" s="3" t="str">
        <f t="shared" si="0"/>
        <v>80-84</v>
      </c>
      <c r="M34" s="1" t="s">
        <v>28</v>
      </c>
    </row>
    <row r="35" spans="1:13" x14ac:dyDescent="0.35">
      <c r="A35">
        <v>32</v>
      </c>
      <c r="B35" s="1" t="s">
        <v>17</v>
      </c>
      <c r="C35" s="2">
        <v>3.7</v>
      </c>
      <c r="D35" s="3">
        <v>87.7</v>
      </c>
      <c r="E35" s="2">
        <v>7.2</v>
      </c>
      <c r="F35" s="1" t="s">
        <v>27</v>
      </c>
      <c r="G35" s="1" t="s">
        <v>19</v>
      </c>
      <c r="H35" s="1" t="s">
        <v>19</v>
      </c>
      <c r="I35" s="1" t="s">
        <v>20</v>
      </c>
      <c r="J35" s="2">
        <v>86.2</v>
      </c>
      <c r="K35" s="3">
        <v>88</v>
      </c>
      <c r="L35" s="3" t="str">
        <f t="shared" si="0"/>
        <v>85-89</v>
      </c>
      <c r="M35" s="1" t="s">
        <v>28</v>
      </c>
    </row>
    <row r="36" spans="1:13" x14ac:dyDescent="0.35">
      <c r="A36">
        <v>33</v>
      </c>
      <c r="B36" s="1" t="s">
        <v>23</v>
      </c>
      <c r="C36" s="2">
        <v>5.3</v>
      </c>
      <c r="D36" s="3">
        <v>100</v>
      </c>
      <c r="E36" s="2">
        <v>7.3</v>
      </c>
      <c r="F36" s="1" t="s">
        <v>33</v>
      </c>
      <c r="G36" s="1" t="s">
        <v>19</v>
      </c>
      <c r="H36" s="1" t="s">
        <v>19</v>
      </c>
      <c r="I36" s="1" t="s">
        <v>20</v>
      </c>
      <c r="J36" s="2">
        <v>67.7</v>
      </c>
      <c r="K36" s="3">
        <v>100</v>
      </c>
      <c r="L36" s="3" t="str">
        <f t="shared" si="0"/>
        <v>95-100</v>
      </c>
      <c r="M36" s="1" t="s">
        <v>21</v>
      </c>
    </row>
    <row r="37" spans="1:13" x14ac:dyDescent="0.35">
      <c r="A37">
        <v>34</v>
      </c>
      <c r="B37" s="1" t="s">
        <v>23</v>
      </c>
      <c r="C37" s="2">
        <v>3.6</v>
      </c>
      <c r="D37" s="3">
        <v>90.1</v>
      </c>
      <c r="E37" s="2">
        <v>5.2</v>
      </c>
      <c r="F37" s="1" t="s">
        <v>18</v>
      </c>
      <c r="G37" s="1" t="s">
        <v>20</v>
      </c>
      <c r="H37" s="1" t="s">
        <v>19</v>
      </c>
      <c r="I37" s="1" t="s">
        <v>20</v>
      </c>
      <c r="J37" s="2">
        <v>87.7</v>
      </c>
      <c r="K37" s="3">
        <v>93</v>
      </c>
      <c r="L37" s="3" t="str">
        <f t="shared" si="0"/>
        <v>90-94</v>
      </c>
      <c r="M37" s="1" t="s">
        <v>21</v>
      </c>
    </row>
    <row r="38" spans="1:13" x14ac:dyDescent="0.35">
      <c r="A38">
        <v>35</v>
      </c>
      <c r="B38" s="1" t="s">
        <v>23</v>
      </c>
      <c r="C38" s="2">
        <v>6.6</v>
      </c>
      <c r="D38" s="3">
        <v>90.4</v>
      </c>
      <c r="E38" s="2">
        <v>8.1</v>
      </c>
      <c r="F38" s="1" t="s">
        <v>33</v>
      </c>
      <c r="G38" s="1" t="s">
        <v>19</v>
      </c>
      <c r="H38" s="1" t="s">
        <v>19</v>
      </c>
      <c r="I38" s="1" t="s">
        <v>19</v>
      </c>
      <c r="J38" s="2">
        <v>69.7</v>
      </c>
      <c r="K38" s="3">
        <v>100</v>
      </c>
      <c r="L38" s="3" t="str">
        <f t="shared" si="0"/>
        <v>95-100</v>
      </c>
      <c r="M38" s="1" t="s">
        <v>21</v>
      </c>
    </row>
    <row r="39" spans="1:13" x14ac:dyDescent="0.35">
      <c r="A39">
        <v>36</v>
      </c>
      <c r="B39" s="1" t="s">
        <v>17</v>
      </c>
      <c r="C39" s="2">
        <v>6.1</v>
      </c>
      <c r="D39" s="3">
        <v>95.7</v>
      </c>
      <c r="E39" s="2">
        <v>8.1999999999999993</v>
      </c>
      <c r="F39" s="1" t="s">
        <v>27</v>
      </c>
      <c r="G39" s="1" t="s">
        <v>19</v>
      </c>
      <c r="H39" s="1" t="s">
        <v>19</v>
      </c>
      <c r="I39" s="1" t="s">
        <v>19</v>
      </c>
      <c r="J39" s="2">
        <v>78.5</v>
      </c>
      <c r="K39" s="3">
        <v>93</v>
      </c>
      <c r="L39" s="3" t="str">
        <f t="shared" si="0"/>
        <v>90-94</v>
      </c>
      <c r="M39" s="1" t="s">
        <v>21</v>
      </c>
    </row>
    <row r="40" spans="1:13" x14ac:dyDescent="0.35">
      <c r="A40">
        <v>37</v>
      </c>
      <c r="B40" s="1" t="s">
        <v>23</v>
      </c>
      <c r="C40" s="2">
        <v>3.1</v>
      </c>
      <c r="D40" s="3">
        <v>81.400000000000006</v>
      </c>
      <c r="E40" s="2">
        <v>6.5</v>
      </c>
      <c r="F40" s="1" t="s">
        <v>24</v>
      </c>
      <c r="G40" s="1" t="s">
        <v>19</v>
      </c>
      <c r="H40" s="1" t="s">
        <v>20</v>
      </c>
      <c r="I40" s="1" t="s">
        <v>19</v>
      </c>
      <c r="J40" s="2">
        <v>87.7</v>
      </c>
      <c r="K40" s="3">
        <v>83</v>
      </c>
      <c r="L40" s="3" t="str">
        <f t="shared" si="0"/>
        <v>80-84</v>
      </c>
      <c r="M40" s="1" t="s">
        <v>28</v>
      </c>
    </row>
    <row r="41" spans="1:13" x14ac:dyDescent="0.35">
      <c r="A41">
        <v>38</v>
      </c>
      <c r="B41" s="1" t="s">
        <v>17</v>
      </c>
      <c r="C41" s="2">
        <v>5</v>
      </c>
      <c r="D41" s="3">
        <v>76.599999999999994</v>
      </c>
      <c r="E41" s="2">
        <v>6.7</v>
      </c>
      <c r="F41" s="1" t="s">
        <v>27</v>
      </c>
      <c r="G41" s="1" t="s">
        <v>19</v>
      </c>
      <c r="H41" s="1" t="s">
        <v>19</v>
      </c>
      <c r="I41" s="1" t="s">
        <v>20</v>
      </c>
      <c r="J41" s="2">
        <v>67.7</v>
      </c>
      <c r="K41" s="3">
        <v>81</v>
      </c>
      <c r="L41" s="3" t="str">
        <f t="shared" si="0"/>
        <v>80-84</v>
      </c>
      <c r="M41" s="1" t="s">
        <v>28</v>
      </c>
    </row>
    <row r="42" spans="1:13" x14ac:dyDescent="0.35">
      <c r="A42">
        <v>39</v>
      </c>
      <c r="B42" s="1" t="s">
        <v>17</v>
      </c>
      <c r="C42" s="2">
        <v>4.5</v>
      </c>
      <c r="D42" s="3">
        <v>74.599999999999994</v>
      </c>
      <c r="E42" s="2">
        <v>5</v>
      </c>
      <c r="F42" s="1" t="s">
        <v>24</v>
      </c>
      <c r="G42" s="1" t="s">
        <v>19</v>
      </c>
      <c r="H42" s="1" t="s">
        <v>19</v>
      </c>
      <c r="I42" s="1" t="s">
        <v>19</v>
      </c>
      <c r="J42" s="2">
        <v>72.599999999999994</v>
      </c>
      <c r="K42" s="3">
        <v>90</v>
      </c>
      <c r="L42" s="3" t="str">
        <f t="shared" si="0"/>
        <v>90-94</v>
      </c>
      <c r="M42" s="1" t="s">
        <v>28</v>
      </c>
    </row>
    <row r="43" spans="1:13" x14ac:dyDescent="0.35">
      <c r="A43">
        <v>40</v>
      </c>
      <c r="B43" s="1" t="s">
        <v>17</v>
      </c>
      <c r="C43" s="2">
        <v>5.6</v>
      </c>
      <c r="D43" s="3">
        <v>65.3</v>
      </c>
      <c r="E43" s="2">
        <v>7.4</v>
      </c>
      <c r="F43" s="1" t="s">
        <v>33</v>
      </c>
      <c r="G43" s="1" t="s">
        <v>19</v>
      </c>
      <c r="H43" s="1" t="s">
        <v>19</v>
      </c>
      <c r="I43" s="1" t="s">
        <v>20</v>
      </c>
      <c r="J43" s="2">
        <v>85.5</v>
      </c>
      <c r="K43" s="3">
        <v>92</v>
      </c>
      <c r="L43" s="3" t="str">
        <f t="shared" si="0"/>
        <v>90-94</v>
      </c>
      <c r="M43" s="1" t="s">
        <v>21</v>
      </c>
    </row>
    <row r="44" spans="1:13" x14ac:dyDescent="0.35">
      <c r="A44">
        <v>41</v>
      </c>
      <c r="B44" s="1" t="s">
        <v>17</v>
      </c>
      <c r="C44" s="2">
        <v>2.1</v>
      </c>
      <c r="D44" s="3">
        <v>100</v>
      </c>
      <c r="E44" s="2">
        <v>7.5</v>
      </c>
      <c r="F44" s="1" t="s">
        <v>24</v>
      </c>
      <c r="G44" s="1" t="s">
        <v>19</v>
      </c>
      <c r="H44" s="1" t="s">
        <v>19</v>
      </c>
      <c r="I44" s="1" t="s">
        <v>19</v>
      </c>
      <c r="J44" s="2">
        <v>68.400000000000006</v>
      </c>
      <c r="K44" s="3">
        <v>75</v>
      </c>
      <c r="L44" s="3" t="str">
        <f t="shared" si="0"/>
        <v>75-79</v>
      </c>
      <c r="M44" s="1" t="s">
        <v>32</v>
      </c>
    </row>
    <row r="45" spans="1:13" x14ac:dyDescent="0.35">
      <c r="A45">
        <v>42</v>
      </c>
      <c r="B45" s="1" t="s">
        <v>17</v>
      </c>
      <c r="C45" s="2">
        <v>4.5</v>
      </c>
      <c r="D45" s="3">
        <v>74</v>
      </c>
      <c r="E45" s="2">
        <v>6.7</v>
      </c>
      <c r="F45" s="1" t="s">
        <v>24</v>
      </c>
      <c r="G45" s="1" t="s">
        <v>19</v>
      </c>
      <c r="H45" s="1" t="s">
        <v>20</v>
      </c>
      <c r="I45" s="1" t="s">
        <v>20</v>
      </c>
      <c r="J45" s="2">
        <v>54.1</v>
      </c>
      <c r="K45" s="3">
        <v>79</v>
      </c>
      <c r="L45" s="3" t="str">
        <f t="shared" si="0"/>
        <v>75-79</v>
      </c>
      <c r="M45" s="1" t="s">
        <v>32</v>
      </c>
    </row>
    <row r="46" spans="1:13" x14ac:dyDescent="0.35">
      <c r="A46">
        <v>43</v>
      </c>
      <c r="B46" s="1" t="s">
        <v>23</v>
      </c>
      <c r="C46" s="2">
        <v>5.0999999999999996</v>
      </c>
      <c r="D46" s="3">
        <v>82.8</v>
      </c>
      <c r="E46" s="2">
        <v>8.1</v>
      </c>
      <c r="F46" s="1" t="s">
        <v>18</v>
      </c>
      <c r="G46" s="1" t="s">
        <v>19</v>
      </c>
      <c r="H46" s="1" t="s">
        <v>19</v>
      </c>
      <c r="I46" s="1" t="s">
        <v>20</v>
      </c>
      <c r="J46" s="2">
        <v>95.7</v>
      </c>
      <c r="K46" s="3">
        <v>100</v>
      </c>
      <c r="L46" s="3" t="str">
        <f t="shared" si="0"/>
        <v>95-100</v>
      </c>
      <c r="M46" s="1" t="s">
        <v>21</v>
      </c>
    </row>
    <row r="47" spans="1:13" x14ac:dyDescent="0.35">
      <c r="A47">
        <v>44</v>
      </c>
      <c r="B47" s="1" t="s">
        <v>23</v>
      </c>
      <c r="C47" s="2">
        <v>0.9</v>
      </c>
      <c r="D47" s="3">
        <v>82.2</v>
      </c>
      <c r="E47" s="2">
        <v>6.4</v>
      </c>
      <c r="F47" s="1" t="s">
        <v>18</v>
      </c>
      <c r="G47" s="1" t="s">
        <v>19</v>
      </c>
      <c r="H47" s="1" t="s">
        <v>19</v>
      </c>
      <c r="I47" s="1" t="s">
        <v>20</v>
      </c>
      <c r="J47" s="2">
        <v>64.400000000000006</v>
      </c>
      <c r="K47" s="3">
        <v>79</v>
      </c>
      <c r="L47" s="3" t="str">
        <f t="shared" si="0"/>
        <v>75-79</v>
      </c>
      <c r="M47" s="1" t="s">
        <v>32</v>
      </c>
    </row>
    <row r="48" spans="1:13" x14ac:dyDescent="0.35">
      <c r="A48">
        <v>45</v>
      </c>
      <c r="B48" s="1" t="s">
        <v>23</v>
      </c>
      <c r="C48" s="2">
        <v>1.7</v>
      </c>
      <c r="D48" s="3">
        <v>88.1</v>
      </c>
      <c r="E48" s="2">
        <v>7.5</v>
      </c>
      <c r="F48" s="1" t="s">
        <v>18</v>
      </c>
      <c r="G48" s="1" t="s">
        <v>20</v>
      </c>
      <c r="H48" s="1" t="s">
        <v>19</v>
      </c>
      <c r="I48" s="1" t="s">
        <v>20</v>
      </c>
      <c r="J48" s="2">
        <v>71.900000000000006</v>
      </c>
      <c r="K48" s="3">
        <v>71</v>
      </c>
      <c r="L48" s="3" t="str">
        <f t="shared" si="0"/>
        <v>70-74</v>
      </c>
      <c r="M48" s="1" t="s">
        <v>32</v>
      </c>
    </row>
    <row r="49" spans="1:13" x14ac:dyDescent="0.35">
      <c r="A49">
        <v>46</v>
      </c>
      <c r="B49" s="1" t="s">
        <v>23</v>
      </c>
      <c r="C49" s="2">
        <v>0.5</v>
      </c>
      <c r="D49" s="3">
        <v>93.2</v>
      </c>
      <c r="E49" s="2">
        <v>5.6</v>
      </c>
      <c r="F49" s="1" t="s">
        <v>24</v>
      </c>
      <c r="G49" s="1" t="s">
        <v>20</v>
      </c>
      <c r="H49" s="1" t="s">
        <v>20</v>
      </c>
      <c r="I49" s="1" t="s">
        <v>19</v>
      </c>
      <c r="J49" s="2">
        <v>83.9</v>
      </c>
      <c r="K49" s="3">
        <v>62</v>
      </c>
      <c r="L49" s="3" t="str">
        <f t="shared" si="0"/>
        <v>60-64</v>
      </c>
      <c r="M49" s="1" t="s">
        <v>30</v>
      </c>
    </row>
    <row r="50" spans="1:13" x14ac:dyDescent="0.35">
      <c r="A50">
        <v>47</v>
      </c>
      <c r="B50" s="1" t="s">
        <v>23</v>
      </c>
      <c r="C50" s="2">
        <v>3.1</v>
      </c>
      <c r="D50" s="3">
        <v>93.6</v>
      </c>
      <c r="E50" s="2">
        <v>6.8</v>
      </c>
      <c r="F50" s="1" t="s">
        <v>18</v>
      </c>
      <c r="G50" s="1" t="s">
        <v>19</v>
      </c>
      <c r="H50" s="1" t="s">
        <v>19</v>
      </c>
      <c r="I50" s="1" t="s">
        <v>19</v>
      </c>
      <c r="J50" s="2">
        <v>62.7</v>
      </c>
      <c r="K50" s="3">
        <v>68</v>
      </c>
      <c r="L50" s="3" t="str">
        <f t="shared" si="0"/>
        <v>65-69</v>
      </c>
      <c r="M50" s="1" t="s">
        <v>30</v>
      </c>
    </row>
    <row r="51" spans="1:13" x14ac:dyDescent="0.35">
      <c r="A51">
        <v>48</v>
      </c>
      <c r="B51" s="1" t="s">
        <v>17</v>
      </c>
      <c r="C51" s="2">
        <v>4.5999999999999996</v>
      </c>
      <c r="D51" s="3">
        <v>79.2</v>
      </c>
      <c r="E51" s="2">
        <v>6.6</v>
      </c>
      <c r="F51" s="1" t="s">
        <v>27</v>
      </c>
      <c r="G51" s="1" t="s">
        <v>19</v>
      </c>
      <c r="H51" s="1" t="s">
        <v>19</v>
      </c>
      <c r="I51" s="1" t="s">
        <v>19</v>
      </c>
      <c r="J51" s="2">
        <v>57.9</v>
      </c>
      <c r="K51" s="3">
        <v>80</v>
      </c>
      <c r="L51" s="3" t="str">
        <f t="shared" si="0"/>
        <v>80-84</v>
      </c>
      <c r="M51" s="1" t="s">
        <v>28</v>
      </c>
    </row>
    <row r="52" spans="1:13" x14ac:dyDescent="0.35">
      <c r="A52">
        <v>49</v>
      </c>
      <c r="B52" s="1" t="s">
        <v>23</v>
      </c>
      <c r="C52" s="2">
        <v>5.8</v>
      </c>
      <c r="D52" s="3">
        <v>83.3</v>
      </c>
      <c r="E52" s="2">
        <v>7.1</v>
      </c>
      <c r="F52" s="1" t="s">
        <v>18</v>
      </c>
      <c r="G52" s="1" t="s">
        <v>20</v>
      </c>
      <c r="H52" s="1" t="s">
        <v>19</v>
      </c>
      <c r="I52" s="1" t="s">
        <v>20</v>
      </c>
      <c r="J52" s="2">
        <v>73</v>
      </c>
      <c r="K52" s="3">
        <v>89</v>
      </c>
      <c r="L52" s="3" t="str">
        <f t="shared" si="0"/>
        <v>85-89</v>
      </c>
      <c r="M52" s="1" t="s">
        <v>28</v>
      </c>
    </row>
    <row r="53" spans="1:13" x14ac:dyDescent="0.35">
      <c r="A53">
        <v>50</v>
      </c>
      <c r="B53" s="1" t="s">
        <v>23</v>
      </c>
      <c r="C53" s="2">
        <v>3.6</v>
      </c>
      <c r="D53" s="3">
        <v>87.8</v>
      </c>
      <c r="E53" s="2">
        <v>6.4</v>
      </c>
      <c r="F53" s="1" t="s">
        <v>24</v>
      </c>
      <c r="G53" s="1" t="s">
        <v>19</v>
      </c>
      <c r="H53" s="1" t="s">
        <v>19</v>
      </c>
      <c r="I53" s="1" t="s">
        <v>20</v>
      </c>
      <c r="J53" s="2">
        <v>48.5</v>
      </c>
      <c r="K53" s="3">
        <v>69</v>
      </c>
      <c r="L53" s="3" t="str">
        <f t="shared" si="0"/>
        <v>65-69</v>
      </c>
      <c r="M53" s="1" t="s">
        <v>30</v>
      </c>
    </row>
    <row r="54" spans="1:13" x14ac:dyDescent="0.35">
      <c r="A54">
        <v>51</v>
      </c>
      <c r="B54" s="1" t="s">
        <v>17</v>
      </c>
      <c r="C54" s="2">
        <v>5.9</v>
      </c>
      <c r="D54" s="3">
        <v>82.5</v>
      </c>
      <c r="E54" s="2">
        <v>6.6</v>
      </c>
      <c r="F54" s="1" t="s">
        <v>18</v>
      </c>
      <c r="G54" s="1" t="s">
        <v>19</v>
      </c>
      <c r="H54" s="1" t="s">
        <v>19</v>
      </c>
      <c r="I54" s="1" t="s">
        <v>20</v>
      </c>
      <c r="J54" s="2">
        <v>66.5</v>
      </c>
      <c r="K54" s="3">
        <v>100</v>
      </c>
      <c r="L54" s="3" t="str">
        <f t="shared" si="0"/>
        <v>95-100</v>
      </c>
      <c r="M54" s="1" t="s">
        <v>21</v>
      </c>
    </row>
    <row r="55" spans="1:13" x14ac:dyDescent="0.35">
      <c r="A55">
        <v>52</v>
      </c>
      <c r="B55" s="1" t="s">
        <v>23</v>
      </c>
      <c r="C55" s="2">
        <v>1.4</v>
      </c>
      <c r="D55" s="3">
        <v>100</v>
      </c>
      <c r="E55" s="2">
        <v>7.8</v>
      </c>
      <c r="F55" s="1" t="s">
        <v>24</v>
      </c>
      <c r="G55" s="1" t="s">
        <v>20</v>
      </c>
      <c r="H55" s="1" t="s">
        <v>20</v>
      </c>
      <c r="I55" s="1" t="s">
        <v>20</v>
      </c>
      <c r="J55" s="2">
        <v>72.900000000000006</v>
      </c>
      <c r="K55" s="3">
        <v>82</v>
      </c>
      <c r="L55" s="3" t="str">
        <f t="shared" si="0"/>
        <v>80-84</v>
      </c>
      <c r="M55" s="1" t="s">
        <v>28</v>
      </c>
    </row>
    <row r="56" spans="1:13" x14ac:dyDescent="0.35">
      <c r="A56">
        <v>53</v>
      </c>
      <c r="B56" s="1" t="s">
        <v>17</v>
      </c>
      <c r="C56" s="2">
        <v>0.9</v>
      </c>
      <c r="D56" s="3">
        <v>89.9</v>
      </c>
      <c r="E56" s="2">
        <v>6.3</v>
      </c>
      <c r="F56" s="1" t="s">
        <v>33</v>
      </c>
      <c r="G56" s="1" t="s">
        <v>19</v>
      </c>
      <c r="H56" s="1" t="s">
        <v>20</v>
      </c>
      <c r="I56" s="1" t="s">
        <v>20</v>
      </c>
      <c r="J56" s="2">
        <v>66.8</v>
      </c>
      <c r="K56" s="3">
        <v>73</v>
      </c>
      <c r="L56" s="3" t="str">
        <f t="shared" si="0"/>
        <v>70-74</v>
      </c>
      <c r="M56" s="1" t="s">
        <v>32</v>
      </c>
    </row>
    <row r="57" spans="1:13" x14ac:dyDescent="0.35">
      <c r="A57">
        <v>54</v>
      </c>
      <c r="B57" s="1" t="s">
        <v>23</v>
      </c>
      <c r="C57" s="2">
        <v>3.4</v>
      </c>
      <c r="D57" s="3">
        <v>92.3</v>
      </c>
      <c r="E57" s="2">
        <v>4.9000000000000004</v>
      </c>
      <c r="F57" s="1" t="s">
        <v>33</v>
      </c>
      <c r="G57" s="1" t="s">
        <v>19</v>
      </c>
      <c r="H57" s="1" t="s">
        <v>20</v>
      </c>
      <c r="I57" s="1" t="s">
        <v>20</v>
      </c>
      <c r="J57" s="2">
        <v>51.5</v>
      </c>
      <c r="K57" s="3">
        <v>85</v>
      </c>
      <c r="L57" s="3" t="str">
        <f t="shared" si="0"/>
        <v>85-89</v>
      </c>
      <c r="M57" s="1" t="s">
        <v>28</v>
      </c>
    </row>
    <row r="58" spans="1:13" x14ac:dyDescent="0.35">
      <c r="A58">
        <v>55</v>
      </c>
      <c r="B58" s="1" t="s">
        <v>17</v>
      </c>
      <c r="C58" s="2">
        <v>4.0999999999999996</v>
      </c>
      <c r="D58" s="3">
        <v>91.6</v>
      </c>
      <c r="E58" s="2">
        <v>8.9</v>
      </c>
      <c r="F58" s="1" t="s">
        <v>18</v>
      </c>
      <c r="G58" s="1" t="s">
        <v>20</v>
      </c>
      <c r="H58" s="1" t="s">
        <v>19</v>
      </c>
      <c r="I58" s="1" t="s">
        <v>20</v>
      </c>
      <c r="J58" s="2">
        <v>89.1</v>
      </c>
      <c r="K58" s="3">
        <v>100</v>
      </c>
      <c r="L58" s="3" t="str">
        <f t="shared" si="0"/>
        <v>95-100</v>
      </c>
      <c r="M58" s="1" t="s">
        <v>21</v>
      </c>
    </row>
    <row r="59" spans="1:13" x14ac:dyDescent="0.35">
      <c r="A59">
        <v>56</v>
      </c>
      <c r="B59" s="1" t="s">
        <v>23</v>
      </c>
      <c r="C59" s="2">
        <v>3.5</v>
      </c>
      <c r="D59" s="3">
        <v>96.7</v>
      </c>
      <c r="E59" s="2">
        <v>8.5</v>
      </c>
      <c r="F59" s="1" t="s">
        <v>18</v>
      </c>
      <c r="G59" s="1" t="s">
        <v>19</v>
      </c>
      <c r="H59" s="1" t="s">
        <v>19</v>
      </c>
      <c r="I59" s="1" t="s">
        <v>19</v>
      </c>
      <c r="J59" s="2">
        <v>71.2</v>
      </c>
      <c r="K59" s="3">
        <v>84</v>
      </c>
      <c r="L59" s="3" t="str">
        <f t="shared" si="0"/>
        <v>80-84</v>
      </c>
      <c r="M59" s="1" t="s">
        <v>28</v>
      </c>
    </row>
    <row r="60" spans="1:13" x14ac:dyDescent="0.35">
      <c r="A60">
        <v>57</v>
      </c>
      <c r="B60" s="1" t="s">
        <v>23</v>
      </c>
      <c r="C60" s="2">
        <v>0.5</v>
      </c>
      <c r="D60" s="3">
        <v>86.8</v>
      </c>
      <c r="E60" s="2">
        <v>5.2</v>
      </c>
      <c r="F60" s="1" t="s">
        <v>33</v>
      </c>
      <c r="G60" s="1" t="s">
        <v>19</v>
      </c>
      <c r="H60" s="1" t="s">
        <v>19</v>
      </c>
      <c r="I60" s="1" t="s">
        <v>20</v>
      </c>
      <c r="J60" s="2">
        <v>87.2</v>
      </c>
      <c r="K60" s="3">
        <v>72</v>
      </c>
      <c r="L60" s="3" t="str">
        <f t="shared" si="0"/>
        <v>70-74</v>
      </c>
      <c r="M60" s="1" t="s">
        <v>32</v>
      </c>
    </row>
    <row r="61" spans="1:13" x14ac:dyDescent="0.35">
      <c r="A61">
        <v>58</v>
      </c>
      <c r="B61" s="1" t="s">
        <v>17</v>
      </c>
      <c r="C61" s="2">
        <v>3.4</v>
      </c>
      <c r="D61" s="3">
        <v>72</v>
      </c>
      <c r="E61" s="2">
        <v>7.6</v>
      </c>
      <c r="F61" s="1" t="s">
        <v>18</v>
      </c>
      <c r="G61" s="1" t="s">
        <v>19</v>
      </c>
      <c r="H61" s="1" t="s">
        <v>20</v>
      </c>
      <c r="I61" s="1" t="s">
        <v>20</v>
      </c>
      <c r="J61" s="2">
        <v>66.900000000000006</v>
      </c>
      <c r="K61" s="3">
        <v>84</v>
      </c>
      <c r="L61" s="3" t="str">
        <f t="shared" si="0"/>
        <v>80-84</v>
      </c>
      <c r="M61" s="1" t="s">
        <v>28</v>
      </c>
    </row>
    <row r="62" spans="1:13" x14ac:dyDescent="0.35">
      <c r="A62">
        <v>59</v>
      </c>
      <c r="B62" s="1" t="s">
        <v>17</v>
      </c>
      <c r="C62" s="2">
        <v>1.5</v>
      </c>
      <c r="D62" s="3">
        <v>89</v>
      </c>
      <c r="E62" s="2">
        <v>6.2</v>
      </c>
      <c r="F62" s="1" t="s">
        <v>33</v>
      </c>
      <c r="G62" s="1" t="s">
        <v>19</v>
      </c>
      <c r="H62" s="1" t="s">
        <v>20</v>
      </c>
      <c r="I62" s="1" t="s">
        <v>20</v>
      </c>
      <c r="J62" s="2">
        <v>59.4</v>
      </c>
      <c r="K62" s="3">
        <v>75</v>
      </c>
      <c r="L62" s="3" t="str">
        <f t="shared" si="0"/>
        <v>75-79</v>
      </c>
      <c r="M62" s="1" t="s">
        <v>32</v>
      </c>
    </row>
    <row r="63" spans="1:13" x14ac:dyDescent="0.35">
      <c r="A63">
        <v>60</v>
      </c>
      <c r="B63" s="1" t="s">
        <v>17</v>
      </c>
      <c r="C63" s="2">
        <v>4.5</v>
      </c>
      <c r="D63" s="3">
        <v>78.5</v>
      </c>
      <c r="E63" s="2">
        <v>7.1</v>
      </c>
      <c r="F63" s="1" t="s">
        <v>18</v>
      </c>
      <c r="G63" s="1" t="s">
        <v>19</v>
      </c>
      <c r="H63" s="1" t="s">
        <v>20</v>
      </c>
      <c r="I63" s="1" t="s">
        <v>20</v>
      </c>
      <c r="J63" s="2">
        <v>73.2</v>
      </c>
      <c r="K63" s="3">
        <v>90</v>
      </c>
      <c r="L63" s="3" t="str">
        <f t="shared" si="0"/>
        <v>90-94</v>
      </c>
      <c r="M63" s="1" t="s">
        <v>28</v>
      </c>
    </row>
    <row r="64" spans="1:13" x14ac:dyDescent="0.35">
      <c r="A64">
        <v>61</v>
      </c>
      <c r="B64" s="1" t="s">
        <v>17</v>
      </c>
      <c r="C64" s="2">
        <v>4</v>
      </c>
      <c r="D64" s="3">
        <v>79.7</v>
      </c>
      <c r="E64" s="2">
        <v>7.2</v>
      </c>
      <c r="F64" s="1" t="s">
        <v>33</v>
      </c>
      <c r="G64" s="1" t="s">
        <v>19</v>
      </c>
      <c r="H64" s="1" t="s">
        <v>19</v>
      </c>
      <c r="I64" s="1" t="s">
        <v>20</v>
      </c>
      <c r="J64" s="2">
        <v>67.400000000000006</v>
      </c>
      <c r="K64" s="3">
        <v>80</v>
      </c>
      <c r="L64" s="3" t="str">
        <f t="shared" si="0"/>
        <v>80-84</v>
      </c>
      <c r="M64" s="1" t="s">
        <v>28</v>
      </c>
    </row>
    <row r="65" spans="1:13" x14ac:dyDescent="0.35">
      <c r="A65">
        <v>62</v>
      </c>
      <c r="B65" s="1" t="s">
        <v>17</v>
      </c>
      <c r="C65" s="2">
        <v>2.1</v>
      </c>
      <c r="D65" s="3">
        <v>90.9</v>
      </c>
      <c r="E65" s="2">
        <v>6.5</v>
      </c>
      <c r="F65" s="1" t="s">
        <v>18</v>
      </c>
      <c r="G65" s="1" t="s">
        <v>20</v>
      </c>
      <c r="H65" s="1" t="s">
        <v>19</v>
      </c>
      <c r="I65" s="1" t="s">
        <v>19</v>
      </c>
      <c r="J65" s="2">
        <v>55.9</v>
      </c>
      <c r="K65" s="3">
        <v>71</v>
      </c>
      <c r="L65" s="3" t="str">
        <f t="shared" si="0"/>
        <v>70-74</v>
      </c>
      <c r="M65" s="1" t="s">
        <v>32</v>
      </c>
    </row>
    <row r="66" spans="1:13" x14ac:dyDescent="0.35">
      <c r="A66">
        <v>63</v>
      </c>
      <c r="B66" s="1" t="s">
        <v>17</v>
      </c>
      <c r="C66" s="2">
        <v>2.7</v>
      </c>
      <c r="D66" s="3">
        <v>97.4</v>
      </c>
      <c r="E66" s="2">
        <v>5.9</v>
      </c>
      <c r="F66" s="1" t="s">
        <v>18</v>
      </c>
      <c r="G66" s="1" t="s">
        <v>19</v>
      </c>
      <c r="H66" s="1" t="s">
        <v>19</v>
      </c>
      <c r="I66" s="1" t="s">
        <v>20</v>
      </c>
      <c r="J66" s="2">
        <v>87.6</v>
      </c>
      <c r="K66" s="3">
        <v>88</v>
      </c>
      <c r="L66" s="3" t="str">
        <f t="shared" si="0"/>
        <v>85-89</v>
      </c>
      <c r="M66" s="1" t="s">
        <v>28</v>
      </c>
    </row>
    <row r="67" spans="1:13" x14ac:dyDescent="0.35">
      <c r="A67">
        <v>64</v>
      </c>
      <c r="B67" s="1" t="s">
        <v>17</v>
      </c>
      <c r="C67" s="2">
        <v>1.9</v>
      </c>
      <c r="D67" s="3">
        <v>85.2</v>
      </c>
      <c r="E67" s="2">
        <v>6</v>
      </c>
      <c r="F67" s="1" t="s">
        <v>27</v>
      </c>
      <c r="G67" s="1" t="s">
        <v>19</v>
      </c>
      <c r="H67" s="1" t="s">
        <v>20</v>
      </c>
      <c r="I67" s="1" t="s">
        <v>20</v>
      </c>
      <c r="J67" s="2">
        <v>62.5</v>
      </c>
      <c r="K67" s="3">
        <v>73</v>
      </c>
      <c r="L67" s="3" t="str">
        <f t="shared" si="0"/>
        <v>70-74</v>
      </c>
      <c r="M67" s="1" t="s">
        <v>32</v>
      </c>
    </row>
    <row r="68" spans="1:13" x14ac:dyDescent="0.35">
      <c r="A68">
        <v>65</v>
      </c>
      <c r="B68" s="1" t="s">
        <v>17</v>
      </c>
      <c r="C68" s="2">
        <v>3.4</v>
      </c>
      <c r="D68" s="3">
        <v>88.1</v>
      </c>
      <c r="E68" s="2">
        <v>5.7</v>
      </c>
      <c r="F68" s="1" t="s">
        <v>18</v>
      </c>
      <c r="G68" s="1" t="s">
        <v>19</v>
      </c>
      <c r="H68" s="1" t="s">
        <v>20</v>
      </c>
      <c r="I68" s="1" t="s">
        <v>19</v>
      </c>
      <c r="J68" s="2">
        <v>47.9</v>
      </c>
      <c r="K68" s="3">
        <v>81</v>
      </c>
      <c r="L68" s="3" t="str">
        <f t="shared" si="0"/>
        <v>80-84</v>
      </c>
      <c r="M68" s="1" t="s">
        <v>28</v>
      </c>
    </row>
    <row r="69" spans="1:13" x14ac:dyDescent="0.35">
      <c r="A69">
        <v>66</v>
      </c>
      <c r="B69" s="1" t="s">
        <v>23</v>
      </c>
      <c r="C69" s="2">
        <v>4.9000000000000004</v>
      </c>
      <c r="D69" s="3">
        <v>100</v>
      </c>
      <c r="E69" s="2">
        <v>5.8</v>
      </c>
      <c r="F69" s="1" t="s">
        <v>18</v>
      </c>
      <c r="G69" s="1" t="s">
        <v>19</v>
      </c>
      <c r="H69" s="1" t="s">
        <v>20</v>
      </c>
      <c r="I69" s="1" t="s">
        <v>20</v>
      </c>
      <c r="J69" s="2">
        <v>85.9</v>
      </c>
      <c r="K69" s="3">
        <v>97</v>
      </c>
      <c r="L69" s="3" t="str">
        <f t="shared" ref="L69:L132" si="1">IF(K69&gt;=95,"95-100",IF(K69&gt;=90,"90-94",IF(K69&gt;=85,"85-89",IF(K69&gt;=80,"80-84",IF(K69&gt;=75,"75-79",IF(K69&gt;=70,"70-74",IF(K69&gt;=65,"65-69",IF(K69&gt;=60,"60-64",IF(K69&gt;=55,"55-59","Below 55")))))))))</f>
        <v>95-100</v>
      </c>
      <c r="M69" s="1" t="s">
        <v>21</v>
      </c>
    </row>
    <row r="70" spans="1:13" x14ac:dyDescent="0.35">
      <c r="A70">
        <v>67</v>
      </c>
      <c r="B70" s="1" t="s">
        <v>23</v>
      </c>
      <c r="C70" s="2">
        <v>2</v>
      </c>
      <c r="D70" s="3">
        <v>87.4</v>
      </c>
      <c r="E70" s="2">
        <v>6.7</v>
      </c>
      <c r="F70" s="1" t="s">
        <v>24</v>
      </c>
      <c r="G70" s="1" t="s">
        <v>19</v>
      </c>
      <c r="H70" s="1" t="s">
        <v>19</v>
      </c>
      <c r="I70" s="1" t="s">
        <v>20</v>
      </c>
      <c r="J70" s="2">
        <v>63.9</v>
      </c>
      <c r="K70" s="3">
        <v>68</v>
      </c>
      <c r="L70" s="3" t="str">
        <f t="shared" si="1"/>
        <v>65-69</v>
      </c>
      <c r="M70" s="1" t="s">
        <v>30</v>
      </c>
    </row>
    <row r="71" spans="1:13" x14ac:dyDescent="0.35">
      <c r="A71">
        <v>68</v>
      </c>
      <c r="B71" s="1" t="s">
        <v>17</v>
      </c>
      <c r="C71" s="2">
        <v>4.3</v>
      </c>
      <c r="D71" s="3">
        <v>100</v>
      </c>
      <c r="E71" s="2">
        <v>5.9</v>
      </c>
      <c r="F71" s="1" t="s">
        <v>18</v>
      </c>
      <c r="G71" s="1" t="s">
        <v>20</v>
      </c>
      <c r="H71" s="1" t="s">
        <v>19</v>
      </c>
      <c r="I71" s="1" t="s">
        <v>20</v>
      </c>
      <c r="J71" s="2">
        <v>62.7</v>
      </c>
      <c r="K71" s="3">
        <v>79</v>
      </c>
      <c r="L71" s="3" t="str">
        <f t="shared" si="1"/>
        <v>75-79</v>
      </c>
      <c r="M71" s="1" t="s">
        <v>32</v>
      </c>
    </row>
    <row r="72" spans="1:13" x14ac:dyDescent="0.35">
      <c r="A72">
        <v>69</v>
      </c>
      <c r="B72" s="1" t="s">
        <v>23</v>
      </c>
      <c r="C72" s="2">
        <v>2.7</v>
      </c>
      <c r="D72" s="3">
        <v>90.7</v>
      </c>
      <c r="E72" s="2">
        <v>7.6</v>
      </c>
      <c r="F72" s="1" t="s">
        <v>18</v>
      </c>
      <c r="G72" s="1" t="s">
        <v>20</v>
      </c>
      <c r="H72" s="1" t="s">
        <v>20</v>
      </c>
      <c r="I72" s="1" t="s">
        <v>19</v>
      </c>
      <c r="J72" s="2">
        <v>48.8</v>
      </c>
      <c r="K72" s="3">
        <v>74</v>
      </c>
      <c r="L72" s="3" t="str">
        <f t="shared" si="1"/>
        <v>70-74</v>
      </c>
      <c r="M72" s="1" t="s">
        <v>32</v>
      </c>
    </row>
    <row r="73" spans="1:13" x14ac:dyDescent="0.35">
      <c r="A73">
        <v>70</v>
      </c>
      <c r="B73" s="1" t="s">
        <v>23</v>
      </c>
      <c r="C73" s="2">
        <v>2.2999999999999998</v>
      </c>
      <c r="D73" s="3">
        <v>67.400000000000006</v>
      </c>
      <c r="E73" s="2">
        <v>8.6</v>
      </c>
      <c r="F73" s="1" t="s">
        <v>24</v>
      </c>
      <c r="G73" s="1" t="s">
        <v>19</v>
      </c>
      <c r="H73" s="1" t="s">
        <v>20</v>
      </c>
      <c r="I73" s="1" t="s">
        <v>20</v>
      </c>
      <c r="J73" s="2">
        <v>90.9</v>
      </c>
      <c r="K73" s="3">
        <v>85</v>
      </c>
      <c r="L73" s="3" t="str">
        <f t="shared" si="1"/>
        <v>85-89</v>
      </c>
      <c r="M73" s="1" t="s">
        <v>28</v>
      </c>
    </row>
    <row r="74" spans="1:13" x14ac:dyDescent="0.35">
      <c r="A74">
        <v>71</v>
      </c>
      <c r="B74" s="1" t="s">
        <v>23</v>
      </c>
      <c r="C74" s="2">
        <v>3.3</v>
      </c>
      <c r="D74" s="3">
        <v>92.5</v>
      </c>
      <c r="E74" s="2">
        <v>6.1</v>
      </c>
      <c r="F74" s="1" t="s">
        <v>24</v>
      </c>
      <c r="G74" s="1" t="s">
        <v>19</v>
      </c>
      <c r="H74" s="1" t="s">
        <v>19</v>
      </c>
      <c r="I74" s="1" t="s">
        <v>20</v>
      </c>
      <c r="J74" s="2">
        <v>54.5</v>
      </c>
      <c r="K74" s="3">
        <v>80</v>
      </c>
      <c r="L74" s="3" t="str">
        <f t="shared" si="1"/>
        <v>80-84</v>
      </c>
      <c r="M74" s="1" t="s">
        <v>32</v>
      </c>
    </row>
    <row r="75" spans="1:13" x14ac:dyDescent="0.35">
      <c r="A75">
        <v>72</v>
      </c>
      <c r="B75" s="1" t="s">
        <v>23</v>
      </c>
      <c r="C75" s="2">
        <v>1.9</v>
      </c>
      <c r="D75" s="3">
        <v>88.8</v>
      </c>
      <c r="E75" s="2">
        <v>7.1</v>
      </c>
      <c r="F75" s="1" t="s">
        <v>18</v>
      </c>
      <c r="G75" s="1" t="s">
        <v>19</v>
      </c>
      <c r="H75" s="1" t="s">
        <v>19</v>
      </c>
      <c r="I75" s="1" t="s">
        <v>20</v>
      </c>
      <c r="J75" s="2">
        <v>70.7</v>
      </c>
      <c r="K75" s="3">
        <v>77</v>
      </c>
      <c r="L75" s="3" t="str">
        <f t="shared" si="1"/>
        <v>75-79</v>
      </c>
      <c r="M75" s="1" t="s">
        <v>32</v>
      </c>
    </row>
    <row r="76" spans="1:13" x14ac:dyDescent="0.35">
      <c r="A76">
        <v>73</v>
      </c>
      <c r="B76" s="1" t="s">
        <v>17</v>
      </c>
      <c r="C76" s="2">
        <v>2.7</v>
      </c>
      <c r="D76" s="3">
        <v>97.9</v>
      </c>
      <c r="E76" s="2">
        <v>7.4</v>
      </c>
      <c r="F76" s="1" t="s">
        <v>33</v>
      </c>
      <c r="G76" s="1" t="s">
        <v>19</v>
      </c>
      <c r="H76" s="1" t="s">
        <v>19</v>
      </c>
      <c r="I76" s="1" t="s">
        <v>20</v>
      </c>
      <c r="J76" s="2">
        <v>81</v>
      </c>
      <c r="K76" s="3">
        <v>95</v>
      </c>
      <c r="L76" s="3" t="str">
        <f t="shared" si="1"/>
        <v>95-100</v>
      </c>
      <c r="M76" s="1" t="s">
        <v>21</v>
      </c>
    </row>
    <row r="77" spans="1:13" x14ac:dyDescent="0.35">
      <c r="A77">
        <v>74</v>
      </c>
      <c r="B77" s="1" t="s">
        <v>23</v>
      </c>
      <c r="C77" s="2">
        <v>1.7</v>
      </c>
      <c r="D77" s="3">
        <v>91.7</v>
      </c>
      <c r="E77" s="2">
        <v>7.4</v>
      </c>
      <c r="F77" s="1" t="s">
        <v>18</v>
      </c>
      <c r="G77" s="1" t="s">
        <v>19</v>
      </c>
      <c r="H77" s="1" t="s">
        <v>19</v>
      </c>
      <c r="I77" s="1" t="s">
        <v>20</v>
      </c>
      <c r="J77" s="2">
        <v>75.099999999999994</v>
      </c>
      <c r="K77" s="3">
        <v>78</v>
      </c>
      <c r="L77" s="3" t="str">
        <f t="shared" si="1"/>
        <v>75-79</v>
      </c>
      <c r="M77" s="1" t="s">
        <v>32</v>
      </c>
    </row>
    <row r="78" spans="1:13" x14ac:dyDescent="0.35">
      <c r="A78">
        <v>75</v>
      </c>
      <c r="B78" s="1" t="s">
        <v>17</v>
      </c>
      <c r="C78" s="2">
        <v>6.4</v>
      </c>
      <c r="D78" s="3">
        <v>83.6</v>
      </c>
      <c r="E78" s="2">
        <v>6.9</v>
      </c>
      <c r="F78" s="1" t="s">
        <v>24</v>
      </c>
      <c r="G78" s="1" t="s">
        <v>19</v>
      </c>
      <c r="H78" s="1" t="s">
        <v>19</v>
      </c>
      <c r="I78" s="1" t="s">
        <v>20</v>
      </c>
      <c r="J78" s="2">
        <v>69.3</v>
      </c>
      <c r="K78" s="3">
        <v>100</v>
      </c>
      <c r="L78" s="3" t="str">
        <f t="shared" si="1"/>
        <v>95-100</v>
      </c>
      <c r="M78" s="1" t="s">
        <v>21</v>
      </c>
    </row>
    <row r="79" spans="1:13" x14ac:dyDescent="0.35">
      <c r="A79">
        <v>76</v>
      </c>
      <c r="B79" s="1" t="s">
        <v>23</v>
      </c>
      <c r="C79" s="2">
        <v>3.6</v>
      </c>
      <c r="D79" s="3">
        <v>72.8</v>
      </c>
      <c r="E79" s="2">
        <v>7.7</v>
      </c>
      <c r="F79" s="1" t="s">
        <v>33</v>
      </c>
      <c r="G79" s="1" t="s">
        <v>20</v>
      </c>
      <c r="H79" s="1" t="s">
        <v>20</v>
      </c>
      <c r="I79" s="1" t="s">
        <v>20</v>
      </c>
      <c r="J79" s="2">
        <v>49.6</v>
      </c>
      <c r="K79" s="3">
        <v>64</v>
      </c>
      <c r="L79" s="3" t="str">
        <f t="shared" si="1"/>
        <v>60-64</v>
      </c>
      <c r="M79" s="1" t="s">
        <v>30</v>
      </c>
    </row>
    <row r="80" spans="1:13" x14ac:dyDescent="0.35">
      <c r="A80">
        <v>77</v>
      </c>
      <c r="B80" s="1" t="s">
        <v>23</v>
      </c>
      <c r="C80" s="2">
        <v>2.5</v>
      </c>
      <c r="D80" s="3">
        <v>82.9</v>
      </c>
      <c r="E80" s="2">
        <v>7.4</v>
      </c>
      <c r="F80" s="1" t="s">
        <v>24</v>
      </c>
      <c r="G80" s="1" t="s">
        <v>19</v>
      </c>
      <c r="H80" s="1" t="s">
        <v>19</v>
      </c>
      <c r="I80" s="1" t="s">
        <v>20</v>
      </c>
      <c r="J80" s="2">
        <v>60.3</v>
      </c>
      <c r="K80" s="3">
        <v>72</v>
      </c>
      <c r="L80" s="3" t="str">
        <f t="shared" si="1"/>
        <v>70-74</v>
      </c>
      <c r="M80" s="1" t="s">
        <v>32</v>
      </c>
    </row>
    <row r="81" spans="1:13" x14ac:dyDescent="0.35">
      <c r="A81">
        <v>78</v>
      </c>
      <c r="B81" s="1" t="s">
        <v>23</v>
      </c>
      <c r="C81" s="2">
        <v>3.8</v>
      </c>
      <c r="D81" s="3">
        <v>76.5</v>
      </c>
      <c r="E81" s="2">
        <v>5.3</v>
      </c>
      <c r="F81" s="1" t="s">
        <v>18</v>
      </c>
      <c r="G81" s="1" t="s">
        <v>19</v>
      </c>
      <c r="H81" s="1" t="s">
        <v>19</v>
      </c>
      <c r="I81" s="1" t="s">
        <v>20</v>
      </c>
      <c r="J81" s="2">
        <v>72.3</v>
      </c>
      <c r="K81" s="3">
        <v>79</v>
      </c>
      <c r="L81" s="3" t="str">
        <f t="shared" si="1"/>
        <v>75-79</v>
      </c>
      <c r="M81" s="1" t="s">
        <v>32</v>
      </c>
    </row>
    <row r="82" spans="1:13" x14ac:dyDescent="0.35">
      <c r="A82">
        <v>79</v>
      </c>
      <c r="B82" s="1" t="s">
        <v>17</v>
      </c>
      <c r="C82" s="2">
        <v>3.3</v>
      </c>
      <c r="D82" s="3">
        <v>79.2</v>
      </c>
      <c r="E82" s="2">
        <v>7.8</v>
      </c>
      <c r="F82" s="1" t="s">
        <v>24</v>
      </c>
      <c r="G82" s="1" t="s">
        <v>19</v>
      </c>
      <c r="H82" s="1" t="s">
        <v>19</v>
      </c>
      <c r="I82" s="1" t="s">
        <v>19</v>
      </c>
      <c r="J82" s="2">
        <v>60.6</v>
      </c>
      <c r="K82" s="3">
        <v>75</v>
      </c>
      <c r="L82" s="3" t="str">
        <f t="shared" si="1"/>
        <v>75-79</v>
      </c>
      <c r="M82" s="1" t="s">
        <v>32</v>
      </c>
    </row>
    <row r="83" spans="1:13" x14ac:dyDescent="0.35">
      <c r="A83">
        <v>80</v>
      </c>
      <c r="B83" s="1" t="s">
        <v>23</v>
      </c>
      <c r="C83" s="2">
        <v>3.2</v>
      </c>
      <c r="D83" s="3">
        <v>90.9</v>
      </c>
      <c r="E83" s="2">
        <v>7.9</v>
      </c>
      <c r="F83" s="1" t="s">
        <v>24</v>
      </c>
      <c r="G83" s="1" t="s">
        <v>19</v>
      </c>
      <c r="H83" s="1" t="s">
        <v>20</v>
      </c>
      <c r="I83" s="1" t="s">
        <v>20</v>
      </c>
      <c r="J83" s="2">
        <v>72.400000000000006</v>
      </c>
      <c r="K83" s="3">
        <v>87</v>
      </c>
      <c r="L83" s="3" t="str">
        <f t="shared" si="1"/>
        <v>85-89</v>
      </c>
      <c r="M83" s="1" t="s">
        <v>28</v>
      </c>
    </row>
    <row r="84" spans="1:13" x14ac:dyDescent="0.35">
      <c r="A84">
        <v>81</v>
      </c>
      <c r="B84" s="1" t="s">
        <v>17</v>
      </c>
      <c r="C84" s="2">
        <v>4.4000000000000004</v>
      </c>
      <c r="D84" s="3">
        <v>100</v>
      </c>
      <c r="E84" s="2">
        <v>5.9</v>
      </c>
      <c r="F84" s="1" t="s">
        <v>24</v>
      </c>
      <c r="G84" s="1" t="s">
        <v>19</v>
      </c>
      <c r="H84" s="1" t="s">
        <v>20</v>
      </c>
      <c r="I84" s="1" t="s">
        <v>20</v>
      </c>
      <c r="J84" s="2">
        <v>78.2</v>
      </c>
      <c r="K84" s="3">
        <v>98</v>
      </c>
      <c r="L84" s="3" t="str">
        <f t="shared" si="1"/>
        <v>95-100</v>
      </c>
      <c r="M84" s="1" t="s">
        <v>21</v>
      </c>
    </row>
    <row r="85" spans="1:13" x14ac:dyDescent="0.35">
      <c r="A85">
        <v>82</v>
      </c>
      <c r="B85" s="1" t="s">
        <v>23</v>
      </c>
      <c r="C85" s="2">
        <v>4.5999999999999996</v>
      </c>
      <c r="D85" s="3">
        <v>88.9</v>
      </c>
      <c r="E85" s="2">
        <v>6.8</v>
      </c>
      <c r="F85" s="1" t="s">
        <v>18</v>
      </c>
      <c r="G85" s="1" t="s">
        <v>19</v>
      </c>
      <c r="H85" s="1" t="s">
        <v>19</v>
      </c>
      <c r="I85" s="1" t="s">
        <v>20</v>
      </c>
      <c r="J85" s="2">
        <v>81.599999999999994</v>
      </c>
      <c r="K85" s="3">
        <v>75</v>
      </c>
      <c r="L85" s="3" t="str">
        <f t="shared" si="1"/>
        <v>75-79</v>
      </c>
      <c r="M85" s="1" t="s">
        <v>32</v>
      </c>
    </row>
    <row r="86" spans="1:13" x14ac:dyDescent="0.35">
      <c r="A86">
        <v>83</v>
      </c>
      <c r="B86" s="1" t="s">
        <v>17</v>
      </c>
      <c r="C86" s="2">
        <v>2.7</v>
      </c>
      <c r="D86" s="3">
        <v>73</v>
      </c>
      <c r="E86" s="2">
        <v>7.6</v>
      </c>
      <c r="F86" s="1" t="s">
        <v>24</v>
      </c>
      <c r="G86" s="1" t="s">
        <v>19</v>
      </c>
      <c r="H86" s="1" t="s">
        <v>20</v>
      </c>
      <c r="I86" s="1" t="s">
        <v>19</v>
      </c>
      <c r="J86" s="2">
        <v>55.3</v>
      </c>
      <c r="K86" s="3">
        <v>64</v>
      </c>
      <c r="L86" s="3" t="str">
        <f t="shared" si="1"/>
        <v>60-64</v>
      </c>
      <c r="M86" s="1" t="s">
        <v>30</v>
      </c>
    </row>
    <row r="87" spans="1:13" x14ac:dyDescent="0.35">
      <c r="A87">
        <v>84</v>
      </c>
      <c r="B87" s="1" t="s">
        <v>23</v>
      </c>
      <c r="C87" s="2">
        <v>2.6</v>
      </c>
      <c r="D87" s="3">
        <v>89.4</v>
      </c>
      <c r="E87" s="2">
        <v>6.5</v>
      </c>
      <c r="F87" s="1" t="s">
        <v>18</v>
      </c>
      <c r="G87" s="1" t="s">
        <v>19</v>
      </c>
      <c r="H87" s="1" t="s">
        <v>20</v>
      </c>
      <c r="I87" s="1" t="s">
        <v>20</v>
      </c>
      <c r="J87" s="2">
        <v>96.4</v>
      </c>
      <c r="K87" s="3">
        <v>90</v>
      </c>
      <c r="L87" s="3" t="str">
        <f t="shared" si="1"/>
        <v>90-94</v>
      </c>
      <c r="M87" s="1" t="s">
        <v>21</v>
      </c>
    </row>
    <row r="88" spans="1:13" x14ac:dyDescent="0.35">
      <c r="A88">
        <v>85</v>
      </c>
      <c r="B88" s="1" t="s">
        <v>17</v>
      </c>
      <c r="C88" s="2">
        <v>3.1</v>
      </c>
      <c r="D88" s="3">
        <v>97</v>
      </c>
      <c r="E88" s="2">
        <v>8.1</v>
      </c>
      <c r="F88" s="1" t="s">
        <v>18</v>
      </c>
      <c r="G88" s="1" t="s">
        <v>19</v>
      </c>
      <c r="H88" s="1" t="s">
        <v>19</v>
      </c>
      <c r="I88" s="1" t="s">
        <v>19</v>
      </c>
      <c r="J88" s="2">
        <v>79.2</v>
      </c>
      <c r="K88" s="3">
        <v>99</v>
      </c>
      <c r="L88" s="3" t="str">
        <f t="shared" si="1"/>
        <v>95-100</v>
      </c>
      <c r="M88" s="1" t="s">
        <v>21</v>
      </c>
    </row>
    <row r="89" spans="1:13" x14ac:dyDescent="0.35">
      <c r="A89">
        <v>86</v>
      </c>
      <c r="B89" s="1" t="s">
        <v>17</v>
      </c>
      <c r="C89" s="2">
        <v>0.5</v>
      </c>
      <c r="D89" s="3">
        <v>78.900000000000006</v>
      </c>
      <c r="E89" s="2">
        <v>9.6</v>
      </c>
      <c r="F89" s="1" t="s">
        <v>18</v>
      </c>
      <c r="G89" s="1" t="s">
        <v>19</v>
      </c>
      <c r="H89" s="1" t="s">
        <v>19</v>
      </c>
      <c r="I89" s="1" t="s">
        <v>19</v>
      </c>
      <c r="J89" s="2">
        <v>70</v>
      </c>
      <c r="K89" s="3">
        <v>64</v>
      </c>
      <c r="L89" s="3" t="str">
        <f t="shared" si="1"/>
        <v>60-64</v>
      </c>
      <c r="M89" s="1" t="s">
        <v>30</v>
      </c>
    </row>
    <row r="90" spans="1:13" x14ac:dyDescent="0.35">
      <c r="A90">
        <v>87</v>
      </c>
      <c r="B90" s="1" t="s">
        <v>23</v>
      </c>
      <c r="C90" s="2">
        <v>1.2</v>
      </c>
      <c r="D90" s="3">
        <v>83.7</v>
      </c>
      <c r="E90" s="2">
        <v>5.9</v>
      </c>
      <c r="F90" s="1" t="s">
        <v>18</v>
      </c>
      <c r="G90" s="1" t="s">
        <v>19</v>
      </c>
      <c r="H90" s="1" t="s">
        <v>20</v>
      </c>
      <c r="I90" s="1" t="s">
        <v>20</v>
      </c>
      <c r="J90" s="2">
        <v>83.1</v>
      </c>
      <c r="K90" s="3">
        <v>79</v>
      </c>
      <c r="L90" s="3" t="str">
        <f t="shared" si="1"/>
        <v>75-79</v>
      </c>
      <c r="M90" s="1" t="s">
        <v>32</v>
      </c>
    </row>
    <row r="91" spans="1:13" x14ac:dyDescent="0.35">
      <c r="A91">
        <v>88</v>
      </c>
      <c r="B91" s="1" t="s">
        <v>17</v>
      </c>
      <c r="C91" s="2">
        <v>5.6</v>
      </c>
      <c r="D91" s="3">
        <v>85.1</v>
      </c>
      <c r="E91" s="2">
        <v>5.0999999999999996</v>
      </c>
      <c r="F91" s="1" t="s">
        <v>33</v>
      </c>
      <c r="G91" s="1" t="s">
        <v>19</v>
      </c>
      <c r="H91" s="1" t="s">
        <v>20</v>
      </c>
      <c r="I91" s="1" t="s">
        <v>20</v>
      </c>
      <c r="J91" s="2">
        <v>98.4</v>
      </c>
      <c r="K91" s="3">
        <v>100</v>
      </c>
      <c r="L91" s="3" t="str">
        <f t="shared" si="1"/>
        <v>95-100</v>
      </c>
      <c r="M91" s="1" t="s">
        <v>21</v>
      </c>
    </row>
    <row r="92" spans="1:13" x14ac:dyDescent="0.35">
      <c r="A92">
        <v>89</v>
      </c>
      <c r="B92" s="1" t="s">
        <v>23</v>
      </c>
      <c r="C92" s="2">
        <v>6</v>
      </c>
      <c r="D92" s="3">
        <v>77.2</v>
      </c>
      <c r="E92" s="2">
        <v>7.2</v>
      </c>
      <c r="F92" s="1" t="s">
        <v>24</v>
      </c>
      <c r="G92" s="1" t="s">
        <v>19</v>
      </c>
      <c r="H92" s="1" t="s">
        <v>20</v>
      </c>
      <c r="I92" s="1" t="s">
        <v>20</v>
      </c>
      <c r="J92" s="2">
        <v>52.7</v>
      </c>
      <c r="K92" s="3">
        <v>79</v>
      </c>
      <c r="L92" s="3" t="str">
        <f t="shared" si="1"/>
        <v>75-79</v>
      </c>
      <c r="M92" s="1" t="s">
        <v>32</v>
      </c>
    </row>
    <row r="93" spans="1:13" x14ac:dyDescent="0.35">
      <c r="A93">
        <v>90</v>
      </c>
      <c r="B93" s="1" t="s">
        <v>23</v>
      </c>
      <c r="C93" s="2">
        <v>3.1</v>
      </c>
      <c r="D93" s="3">
        <v>91.5</v>
      </c>
      <c r="E93" s="2">
        <v>7.7</v>
      </c>
      <c r="F93" s="1" t="s">
        <v>18</v>
      </c>
      <c r="G93" s="1" t="s">
        <v>19</v>
      </c>
      <c r="H93" s="1" t="s">
        <v>20</v>
      </c>
      <c r="I93" s="1" t="s">
        <v>19</v>
      </c>
      <c r="J93" s="2">
        <v>67.3</v>
      </c>
      <c r="K93" s="3">
        <v>85</v>
      </c>
      <c r="L93" s="3" t="str">
        <f t="shared" si="1"/>
        <v>85-89</v>
      </c>
      <c r="M93" s="1" t="s">
        <v>28</v>
      </c>
    </row>
    <row r="94" spans="1:13" x14ac:dyDescent="0.35">
      <c r="A94">
        <v>91</v>
      </c>
      <c r="B94" s="1" t="s">
        <v>23</v>
      </c>
      <c r="C94" s="2">
        <v>4.4000000000000004</v>
      </c>
      <c r="D94" s="3">
        <v>83.8</v>
      </c>
      <c r="E94" s="2">
        <v>6.5</v>
      </c>
      <c r="F94" s="1" t="s">
        <v>24</v>
      </c>
      <c r="G94" s="1" t="s">
        <v>19</v>
      </c>
      <c r="H94" s="1" t="s">
        <v>20</v>
      </c>
      <c r="I94" s="1" t="s">
        <v>20</v>
      </c>
      <c r="J94" s="2">
        <v>41.5</v>
      </c>
      <c r="K94" s="3">
        <v>72</v>
      </c>
      <c r="L94" s="3" t="str">
        <f t="shared" si="1"/>
        <v>70-74</v>
      </c>
      <c r="M94" s="1" t="s">
        <v>32</v>
      </c>
    </row>
    <row r="95" spans="1:13" x14ac:dyDescent="0.35">
      <c r="A95">
        <v>92</v>
      </c>
      <c r="B95" s="1" t="s">
        <v>23</v>
      </c>
      <c r="C95" s="2">
        <v>4</v>
      </c>
      <c r="D95" s="3">
        <v>89.2</v>
      </c>
      <c r="E95" s="2">
        <v>8.5</v>
      </c>
      <c r="F95" s="1" t="s">
        <v>24</v>
      </c>
      <c r="G95" s="1" t="s">
        <v>19</v>
      </c>
      <c r="H95" s="1" t="s">
        <v>19</v>
      </c>
      <c r="I95" s="1" t="s">
        <v>19</v>
      </c>
      <c r="J95" s="2">
        <v>72.3</v>
      </c>
      <c r="K95" s="3">
        <v>86</v>
      </c>
      <c r="L95" s="3" t="str">
        <f t="shared" si="1"/>
        <v>85-89</v>
      </c>
      <c r="M95" s="1" t="s">
        <v>28</v>
      </c>
    </row>
    <row r="96" spans="1:13" x14ac:dyDescent="0.35">
      <c r="A96">
        <v>93</v>
      </c>
      <c r="B96" s="1" t="s">
        <v>23</v>
      </c>
      <c r="C96" s="2">
        <v>8.1</v>
      </c>
      <c r="D96" s="3">
        <v>76.099999999999994</v>
      </c>
      <c r="E96" s="2">
        <v>5.2</v>
      </c>
      <c r="F96" s="1" t="s">
        <v>18</v>
      </c>
      <c r="G96" s="1" t="s">
        <v>19</v>
      </c>
      <c r="H96" s="1" t="s">
        <v>19</v>
      </c>
      <c r="I96" s="1" t="s">
        <v>20</v>
      </c>
      <c r="J96" s="2">
        <v>74.400000000000006</v>
      </c>
      <c r="K96" s="3">
        <v>98</v>
      </c>
      <c r="L96" s="3" t="str">
        <f t="shared" si="1"/>
        <v>95-100</v>
      </c>
      <c r="M96" s="1" t="s">
        <v>21</v>
      </c>
    </row>
    <row r="97" spans="1:13" x14ac:dyDescent="0.35">
      <c r="A97">
        <v>94</v>
      </c>
      <c r="B97" s="1" t="s">
        <v>23</v>
      </c>
      <c r="C97" s="2">
        <v>5.2</v>
      </c>
      <c r="D97" s="3">
        <v>80.599999999999994</v>
      </c>
      <c r="E97" s="2">
        <v>7.6</v>
      </c>
      <c r="F97" s="1" t="s">
        <v>18</v>
      </c>
      <c r="G97" s="1" t="s">
        <v>19</v>
      </c>
      <c r="H97" s="1" t="s">
        <v>19</v>
      </c>
      <c r="I97" s="1" t="s">
        <v>20</v>
      </c>
      <c r="J97" s="2">
        <v>69.5</v>
      </c>
      <c r="K97" s="3">
        <v>88</v>
      </c>
      <c r="L97" s="3" t="str">
        <f t="shared" si="1"/>
        <v>85-89</v>
      </c>
      <c r="M97" s="1" t="s">
        <v>28</v>
      </c>
    </row>
    <row r="98" spans="1:13" x14ac:dyDescent="0.35">
      <c r="A98">
        <v>95</v>
      </c>
      <c r="B98" s="1" t="s">
        <v>23</v>
      </c>
      <c r="C98" s="2">
        <v>3.3</v>
      </c>
      <c r="D98" s="3">
        <v>92.2</v>
      </c>
      <c r="E98" s="2">
        <v>6.1</v>
      </c>
      <c r="F98" s="1" t="s">
        <v>34</v>
      </c>
      <c r="G98" s="1" t="s">
        <v>19</v>
      </c>
      <c r="H98" s="1" t="s">
        <v>19</v>
      </c>
      <c r="I98" s="1" t="s">
        <v>20</v>
      </c>
      <c r="J98" s="2">
        <v>62.1</v>
      </c>
      <c r="K98" s="3">
        <v>100</v>
      </c>
      <c r="L98" s="3" t="str">
        <f t="shared" si="1"/>
        <v>95-100</v>
      </c>
      <c r="M98" s="1" t="s">
        <v>21</v>
      </c>
    </row>
    <row r="99" spans="1:13" x14ac:dyDescent="0.35">
      <c r="A99">
        <v>96</v>
      </c>
      <c r="B99" s="1" t="s">
        <v>23</v>
      </c>
      <c r="C99" s="2">
        <v>2.1</v>
      </c>
      <c r="D99" s="3">
        <v>81.3</v>
      </c>
      <c r="E99" s="2">
        <v>8.9</v>
      </c>
      <c r="F99" s="1" t="s">
        <v>18</v>
      </c>
      <c r="G99" s="1" t="s">
        <v>19</v>
      </c>
      <c r="H99" s="1" t="s">
        <v>20</v>
      </c>
      <c r="I99" s="1" t="s">
        <v>20</v>
      </c>
      <c r="J99" s="2">
        <v>45.4</v>
      </c>
      <c r="K99" s="3">
        <v>75</v>
      </c>
      <c r="L99" s="3" t="str">
        <f t="shared" si="1"/>
        <v>75-79</v>
      </c>
      <c r="M99" s="1" t="s">
        <v>32</v>
      </c>
    </row>
    <row r="100" spans="1:13" x14ac:dyDescent="0.35">
      <c r="A100">
        <v>97</v>
      </c>
      <c r="B100" s="1" t="s">
        <v>23</v>
      </c>
      <c r="C100" s="2">
        <v>1.1000000000000001</v>
      </c>
      <c r="D100" s="3">
        <v>100</v>
      </c>
      <c r="E100" s="2">
        <v>9.1999999999999993</v>
      </c>
      <c r="F100" s="1" t="s">
        <v>27</v>
      </c>
      <c r="G100" s="1" t="s">
        <v>19</v>
      </c>
      <c r="H100" s="1" t="s">
        <v>20</v>
      </c>
      <c r="I100" s="1" t="s">
        <v>19</v>
      </c>
      <c r="J100" s="2">
        <v>74.5</v>
      </c>
      <c r="K100" s="3">
        <v>87</v>
      </c>
      <c r="L100" s="3" t="str">
        <f t="shared" si="1"/>
        <v>85-89</v>
      </c>
      <c r="M100" s="1" t="s">
        <v>28</v>
      </c>
    </row>
    <row r="101" spans="1:13" x14ac:dyDescent="0.35">
      <c r="A101">
        <v>98</v>
      </c>
      <c r="B101" s="1" t="s">
        <v>23</v>
      </c>
      <c r="C101" s="2">
        <v>3.8</v>
      </c>
      <c r="D101" s="3">
        <v>81</v>
      </c>
      <c r="E101" s="2">
        <v>5.9</v>
      </c>
      <c r="F101" s="1" t="s">
        <v>24</v>
      </c>
      <c r="G101" s="1" t="s">
        <v>20</v>
      </c>
      <c r="H101" s="1" t="s">
        <v>20</v>
      </c>
      <c r="I101" s="1" t="s">
        <v>20</v>
      </c>
      <c r="J101" s="2">
        <v>87.5</v>
      </c>
      <c r="K101" s="3">
        <v>89</v>
      </c>
      <c r="L101" s="3" t="str">
        <f t="shared" si="1"/>
        <v>85-89</v>
      </c>
      <c r="M101" s="1" t="s">
        <v>28</v>
      </c>
    </row>
    <row r="102" spans="1:13" x14ac:dyDescent="0.35">
      <c r="A102">
        <v>99</v>
      </c>
      <c r="B102" s="1" t="s">
        <v>23</v>
      </c>
      <c r="C102" s="2">
        <v>2.4</v>
      </c>
      <c r="D102" s="3">
        <v>87.2</v>
      </c>
      <c r="E102" s="2">
        <v>6.1</v>
      </c>
      <c r="F102" s="1" t="s">
        <v>24</v>
      </c>
      <c r="G102" s="1" t="s">
        <v>19</v>
      </c>
      <c r="H102" s="1" t="s">
        <v>19</v>
      </c>
      <c r="I102" s="1" t="s">
        <v>19</v>
      </c>
      <c r="J102" s="2">
        <v>62.9</v>
      </c>
      <c r="K102" s="3">
        <v>65</v>
      </c>
      <c r="L102" s="3" t="str">
        <f t="shared" si="1"/>
        <v>65-69</v>
      </c>
      <c r="M102" s="1" t="s">
        <v>30</v>
      </c>
    </row>
    <row r="103" spans="1:13" x14ac:dyDescent="0.35">
      <c r="A103">
        <v>100</v>
      </c>
      <c r="B103" s="1" t="s">
        <v>17</v>
      </c>
      <c r="C103" s="2">
        <v>1.4</v>
      </c>
      <c r="D103" s="3">
        <v>94.3</v>
      </c>
      <c r="E103" s="2">
        <v>7.8</v>
      </c>
      <c r="F103" s="1" t="s">
        <v>24</v>
      </c>
      <c r="G103" s="1" t="s">
        <v>20</v>
      </c>
      <c r="H103" s="1" t="s">
        <v>20</v>
      </c>
      <c r="I103" s="1" t="s">
        <v>20</v>
      </c>
      <c r="J103" s="2">
        <v>75.3</v>
      </c>
      <c r="K103" s="3">
        <v>79</v>
      </c>
      <c r="L103" s="3" t="str">
        <f t="shared" si="1"/>
        <v>75-79</v>
      </c>
      <c r="M103" s="1" t="s">
        <v>32</v>
      </c>
    </row>
    <row r="104" spans="1:13" x14ac:dyDescent="0.35">
      <c r="A104">
        <v>101</v>
      </c>
      <c r="B104" s="1" t="s">
        <v>17</v>
      </c>
      <c r="C104" s="2">
        <v>2.5</v>
      </c>
      <c r="D104" s="3">
        <v>70.8</v>
      </c>
      <c r="E104" s="2">
        <v>6.3</v>
      </c>
      <c r="F104" s="1" t="s">
        <v>24</v>
      </c>
      <c r="G104" s="1" t="s">
        <v>19</v>
      </c>
      <c r="H104" s="1" t="s">
        <v>19</v>
      </c>
      <c r="I104" s="1" t="s">
        <v>20</v>
      </c>
      <c r="J104" s="2">
        <v>51.2</v>
      </c>
      <c r="K104" s="3">
        <v>75</v>
      </c>
      <c r="L104" s="3" t="str">
        <f t="shared" si="1"/>
        <v>75-79</v>
      </c>
      <c r="M104" s="1" t="s">
        <v>32</v>
      </c>
    </row>
    <row r="105" spans="1:13" x14ac:dyDescent="0.35">
      <c r="A105">
        <v>102</v>
      </c>
      <c r="B105" s="1" t="s">
        <v>23</v>
      </c>
      <c r="C105" s="2">
        <v>1.9</v>
      </c>
      <c r="D105" s="3">
        <v>67.400000000000006</v>
      </c>
      <c r="E105" s="2">
        <v>6.7</v>
      </c>
      <c r="F105" s="1" t="s">
        <v>18</v>
      </c>
      <c r="G105" s="1" t="s">
        <v>19</v>
      </c>
      <c r="H105" s="1" t="s">
        <v>19</v>
      </c>
      <c r="I105" s="1" t="s">
        <v>19</v>
      </c>
      <c r="J105" s="2">
        <v>75.5</v>
      </c>
      <c r="K105" s="3">
        <v>66</v>
      </c>
      <c r="L105" s="3" t="str">
        <f t="shared" si="1"/>
        <v>65-69</v>
      </c>
      <c r="M105" s="1" t="s">
        <v>30</v>
      </c>
    </row>
    <row r="106" spans="1:13" x14ac:dyDescent="0.35">
      <c r="A106">
        <v>103</v>
      </c>
      <c r="B106" s="1" t="s">
        <v>23</v>
      </c>
      <c r="C106" s="2">
        <v>6</v>
      </c>
      <c r="D106" s="3">
        <v>69.7</v>
      </c>
      <c r="E106" s="2">
        <v>6.8</v>
      </c>
      <c r="F106" s="1" t="s">
        <v>18</v>
      </c>
      <c r="G106" s="1" t="s">
        <v>20</v>
      </c>
      <c r="H106" s="1" t="s">
        <v>20</v>
      </c>
      <c r="I106" s="1" t="s">
        <v>20</v>
      </c>
      <c r="J106" s="2">
        <v>65.3</v>
      </c>
      <c r="K106" s="3">
        <v>90</v>
      </c>
      <c r="L106" s="3" t="str">
        <f t="shared" si="1"/>
        <v>90-94</v>
      </c>
      <c r="M106" s="1" t="s">
        <v>28</v>
      </c>
    </row>
    <row r="107" spans="1:13" x14ac:dyDescent="0.35">
      <c r="A107">
        <v>104</v>
      </c>
      <c r="B107" s="1" t="s">
        <v>23</v>
      </c>
      <c r="C107" s="2">
        <v>4.8</v>
      </c>
      <c r="D107" s="3">
        <v>97.6</v>
      </c>
      <c r="E107" s="2">
        <v>4.5</v>
      </c>
      <c r="F107" s="1" t="s">
        <v>24</v>
      </c>
      <c r="G107" s="1" t="s">
        <v>19</v>
      </c>
      <c r="H107" s="1" t="s">
        <v>20</v>
      </c>
      <c r="I107" s="1" t="s">
        <v>20</v>
      </c>
      <c r="J107" s="2">
        <v>60.9</v>
      </c>
      <c r="K107" s="3">
        <v>93</v>
      </c>
      <c r="L107" s="3" t="str">
        <f t="shared" si="1"/>
        <v>90-94</v>
      </c>
      <c r="M107" s="1" t="s">
        <v>21</v>
      </c>
    </row>
    <row r="108" spans="1:13" x14ac:dyDescent="0.35">
      <c r="A108">
        <v>105</v>
      </c>
      <c r="B108" s="1" t="s">
        <v>23</v>
      </c>
      <c r="C108" s="2">
        <v>3.5</v>
      </c>
      <c r="D108" s="3">
        <v>79.5</v>
      </c>
      <c r="E108" s="2">
        <v>6.8</v>
      </c>
      <c r="F108" s="1" t="s">
        <v>27</v>
      </c>
      <c r="G108" s="1" t="s">
        <v>19</v>
      </c>
      <c r="H108" s="1" t="s">
        <v>20</v>
      </c>
      <c r="I108" s="1" t="s">
        <v>19</v>
      </c>
      <c r="J108" s="2">
        <v>60.9</v>
      </c>
      <c r="K108" s="3">
        <v>87</v>
      </c>
      <c r="L108" s="3" t="str">
        <f t="shared" si="1"/>
        <v>85-89</v>
      </c>
      <c r="M108" s="1" t="s">
        <v>28</v>
      </c>
    </row>
    <row r="109" spans="1:13" x14ac:dyDescent="0.35">
      <c r="A109">
        <v>106</v>
      </c>
      <c r="B109" s="1" t="s">
        <v>23</v>
      </c>
      <c r="C109" s="2">
        <v>5.7</v>
      </c>
      <c r="D109" s="3">
        <v>100</v>
      </c>
      <c r="E109" s="2">
        <v>6</v>
      </c>
      <c r="F109" s="1" t="s">
        <v>33</v>
      </c>
      <c r="G109" s="1" t="s">
        <v>19</v>
      </c>
      <c r="H109" s="1" t="s">
        <v>19</v>
      </c>
      <c r="I109" s="1" t="s">
        <v>19</v>
      </c>
      <c r="J109" s="2">
        <v>65.3</v>
      </c>
      <c r="K109" s="3">
        <v>93</v>
      </c>
      <c r="L109" s="3" t="str">
        <f t="shared" si="1"/>
        <v>90-94</v>
      </c>
      <c r="M109" s="1" t="s">
        <v>21</v>
      </c>
    </row>
    <row r="110" spans="1:13" x14ac:dyDescent="0.35">
      <c r="A110">
        <v>107</v>
      </c>
      <c r="B110" s="1" t="s">
        <v>23</v>
      </c>
      <c r="C110" s="2">
        <v>3.6</v>
      </c>
      <c r="D110" s="3">
        <v>79.400000000000006</v>
      </c>
      <c r="E110" s="2">
        <v>6.2</v>
      </c>
      <c r="F110" s="1" t="s">
        <v>24</v>
      </c>
      <c r="G110" s="1" t="s">
        <v>19</v>
      </c>
      <c r="H110" s="1" t="s">
        <v>19</v>
      </c>
      <c r="I110" s="1" t="s">
        <v>19</v>
      </c>
      <c r="J110" s="2">
        <v>74.599999999999994</v>
      </c>
      <c r="K110" s="3">
        <v>76</v>
      </c>
      <c r="L110" s="3" t="str">
        <f t="shared" si="1"/>
        <v>75-79</v>
      </c>
      <c r="M110" s="1" t="s">
        <v>32</v>
      </c>
    </row>
    <row r="111" spans="1:13" x14ac:dyDescent="0.35">
      <c r="A111">
        <v>108</v>
      </c>
      <c r="B111" s="1" t="s">
        <v>23</v>
      </c>
      <c r="C111" s="2">
        <v>2.2000000000000002</v>
      </c>
      <c r="D111" s="3">
        <v>86.8</v>
      </c>
      <c r="E111" s="2">
        <v>8.5</v>
      </c>
      <c r="F111" s="1" t="s">
        <v>24</v>
      </c>
      <c r="G111" s="1" t="s">
        <v>19</v>
      </c>
      <c r="H111" s="1" t="s">
        <v>19</v>
      </c>
      <c r="I111" s="1" t="s">
        <v>20</v>
      </c>
      <c r="J111" s="2">
        <v>54.3</v>
      </c>
      <c r="K111" s="3">
        <v>74</v>
      </c>
      <c r="L111" s="3" t="str">
        <f t="shared" si="1"/>
        <v>70-74</v>
      </c>
      <c r="M111" s="1" t="s">
        <v>32</v>
      </c>
    </row>
    <row r="112" spans="1:13" x14ac:dyDescent="0.35">
      <c r="A112">
        <v>109</v>
      </c>
      <c r="B112" s="1" t="s">
        <v>23</v>
      </c>
      <c r="C112" s="2">
        <v>5.8</v>
      </c>
      <c r="D112" s="3">
        <v>100</v>
      </c>
      <c r="E112" s="2">
        <v>5.3</v>
      </c>
      <c r="F112" s="1" t="s">
        <v>24</v>
      </c>
      <c r="G112" s="1" t="s">
        <v>19</v>
      </c>
      <c r="H112" s="1" t="s">
        <v>19</v>
      </c>
      <c r="I112" s="1" t="s">
        <v>20</v>
      </c>
      <c r="J112" s="2">
        <v>65.2</v>
      </c>
      <c r="K112" s="3">
        <v>100</v>
      </c>
      <c r="L112" s="3" t="str">
        <f t="shared" si="1"/>
        <v>95-100</v>
      </c>
      <c r="M112" s="1" t="s">
        <v>21</v>
      </c>
    </row>
    <row r="113" spans="1:13" x14ac:dyDescent="0.35">
      <c r="A113">
        <v>110</v>
      </c>
      <c r="B113" s="1" t="s">
        <v>17</v>
      </c>
      <c r="C113" s="2">
        <v>4.3</v>
      </c>
      <c r="D113" s="3">
        <v>100</v>
      </c>
      <c r="E113" s="2">
        <v>7.8</v>
      </c>
      <c r="F113" s="1" t="s">
        <v>24</v>
      </c>
      <c r="G113" s="1" t="s">
        <v>20</v>
      </c>
      <c r="H113" s="1" t="s">
        <v>20</v>
      </c>
      <c r="I113" s="1" t="s">
        <v>19</v>
      </c>
      <c r="J113" s="2">
        <v>69.5</v>
      </c>
      <c r="K113" s="3">
        <v>76</v>
      </c>
      <c r="L113" s="3" t="str">
        <f t="shared" si="1"/>
        <v>75-79</v>
      </c>
      <c r="M113" s="1" t="s">
        <v>32</v>
      </c>
    </row>
    <row r="114" spans="1:13" x14ac:dyDescent="0.35">
      <c r="A114">
        <v>111</v>
      </c>
      <c r="B114" s="1" t="s">
        <v>23</v>
      </c>
      <c r="C114" s="2">
        <v>1.9</v>
      </c>
      <c r="D114" s="3">
        <v>100</v>
      </c>
      <c r="E114" s="2">
        <v>6.5</v>
      </c>
      <c r="F114" s="1" t="s">
        <v>24</v>
      </c>
      <c r="G114" s="1" t="s">
        <v>19</v>
      </c>
      <c r="H114" s="1" t="s">
        <v>20</v>
      </c>
      <c r="I114" s="1" t="s">
        <v>19</v>
      </c>
      <c r="J114" s="2">
        <v>56.8</v>
      </c>
      <c r="K114" s="3">
        <v>62</v>
      </c>
      <c r="L114" s="3" t="str">
        <f t="shared" si="1"/>
        <v>60-64</v>
      </c>
      <c r="M114" s="1" t="s">
        <v>30</v>
      </c>
    </row>
    <row r="115" spans="1:13" x14ac:dyDescent="0.35">
      <c r="A115">
        <v>112</v>
      </c>
      <c r="B115" s="1" t="s">
        <v>17</v>
      </c>
      <c r="C115" s="2">
        <v>3.2</v>
      </c>
      <c r="D115" s="3">
        <v>97.1</v>
      </c>
      <c r="E115" s="2">
        <v>6.5</v>
      </c>
      <c r="F115" s="1" t="s">
        <v>18</v>
      </c>
      <c r="G115" s="1" t="s">
        <v>20</v>
      </c>
      <c r="H115" s="1" t="s">
        <v>20</v>
      </c>
      <c r="I115" s="1" t="s">
        <v>20</v>
      </c>
      <c r="J115" s="2">
        <v>91.6</v>
      </c>
      <c r="K115" s="3">
        <v>91</v>
      </c>
      <c r="L115" s="3" t="str">
        <f t="shared" si="1"/>
        <v>90-94</v>
      </c>
      <c r="M115" s="1" t="s">
        <v>21</v>
      </c>
    </row>
    <row r="116" spans="1:13" x14ac:dyDescent="0.35">
      <c r="A116">
        <v>113</v>
      </c>
      <c r="B116" s="1" t="s">
        <v>23</v>
      </c>
      <c r="C116" s="2">
        <v>2.2000000000000002</v>
      </c>
      <c r="D116" s="3">
        <v>95.2</v>
      </c>
      <c r="E116" s="2">
        <v>7.7</v>
      </c>
      <c r="F116" s="1" t="s">
        <v>24</v>
      </c>
      <c r="G116" s="1" t="s">
        <v>20</v>
      </c>
      <c r="H116" s="1" t="s">
        <v>19</v>
      </c>
      <c r="I116" s="1" t="s">
        <v>20</v>
      </c>
      <c r="J116" s="2">
        <v>59.8</v>
      </c>
      <c r="K116" s="3">
        <v>73</v>
      </c>
      <c r="L116" s="3" t="str">
        <f t="shared" si="1"/>
        <v>70-74</v>
      </c>
      <c r="M116" s="1" t="s">
        <v>32</v>
      </c>
    </row>
    <row r="117" spans="1:13" x14ac:dyDescent="0.35">
      <c r="A117">
        <v>114</v>
      </c>
      <c r="B117" s="1" t="s">
        <v>23</v>
      </c>
      <c r="C117" s="2">
        <v>1.4</v>
      </c>
      <c r="D117" s="3">
        <v>90.9</v>
      </c>
      <c r="E117" s="2">
        <v>7.2</v>
      </c>
      <c r="F117" s="1" t="s">
        <v>18</v>
      </c>
      <c r="G117" s="1" t="s">
        <v>19</v>
      </c>
      <c r="H117" s="1" t="s">
        <v>20</v>
      </c>
      <c r="I117" s="1" t="s">
        <v>20</v>
      </c>
      <c r="J117" s="2">
        <v>62</v>
      </c>
      <c r="K117" s="3">
        <v>75</v>
      </c>
      <c r="L117" s="3" t="str">
        <f t="shared" si="1"/>
        <v>75-79</v>
      </c>
      <c r="M117" s="1" t="s">
        <v>32</v>
      </c>
    </row>
    <row r="118" spans="1:13" x14ac:dyDescent="0.35">
      <c r="A118">
        <v>115</v>
      </c>
      <c r="B118" s="1" t="s">
        <v>17</v>
      </c>
      <c r="C118" s="2">
        <v>4.9000000000000004</v>
      </c>
      <c r="D118" s="3">
        <v>92.8</v>
      </c>
      <c r="E118" s="2">
        <v>7.5</v>
      </c>
      <c r="F118" s="1" t="s">
        <v>27</v>
      </c>
      <c r="G118" s="1" t="s">
        <v>19</v>
      </c>
      <c r="H118" s="1" t="s">
        <v>19</v>
      </c>
      <c r="I118" s="1" t="s">
        <v>20</v>
      </c>
      <c r="J118" s="2">
        <v>58.3</v>
      </c>
      <c r="K118" s="3">
        <v>97</v>
      </c>
      <c r="L118" s="3" t="str">
        <f t="shared" si="1"/>
        <v>95-100</v>
      </c>
      <c r="M118" s="1" t="s">
        <v>21</v>
      </c>
    </row>
    <row r="119" spans="1:13" x14ac:dyDescent="0.35">
      <c r="A119">
        <v>116</v>
      </c>
      <c r="B119" s="1" t="s">
        <v>23</v>
      </c>
      <c r="C119" s="2">
        <v>6.4</v>
      </c>
      <c r="D119" s="3">
        <v>79.5</v>
      </c>
      <c r="E119" s="2">
        <v>8</v>
      </c>
      <c r="F119" s="1" t="s">
        <v>33</v>
      </c>
      <c r="G119" s="1" t="s">
        <v>20</v>
      </c>
      <c r="H119" s="1" t="s">
        <v>20</v>
      </c>
      <c r="I119" s="1" t="s">
        <v>19</v>
      </c>
      <c r="J119" s="2">
        <v>91.6</v>
      </c>
      <c r="K119" s="3">
        <v>95</v>
      </c>
      <c r="L119" s="3" t="str">
        <f t="shared" si="1"/>
        <v>95-100</v>
      </c>
      <c r="M119" s="1" t="s">
        <v>21</v>
      </c>
    </row>
    <row r="120" spans="1:13" x14ac:dyDescent="0.35">
      <c r="A120">
        <v>117</v>
      </c>
      <c r="B120" s="1" t="s">
        <v>17</v>
      </c>
      <c r="C120" s="2">
        <v>1.4</v>
      </c>
      <c r="D120" s="3">
        <v>76.8</v>
      </c>
      <c r="E120" s="2">
        <v>6.4</v>
      </c>
      <c r="F120" s="1" t="s">
        <v>27</v>
      </c>
      <c r="G120" s="1" t="s">
        <v>20</v>
      </c>
      <c r="H120" s="1" t="s">
        <v>19</v>
      </c>
      <c r="I120" s="1" t="s">
        <v>20</v>
      </c>
      <c r="J120" s="2">
        <v>76.599999999999994</v>
      </c>
      <c r="K120" s="3">
        <v>59</v>
      </c>
      <c r="L120" s="3" t="str">
        <f t="shared" si="1"/>
        <v>55-59</v>
      </c>
      <c r="M120" s="1" t="s">
        <v>35</v>
      </c>
    </row>
    <row r="121" spans="1:13" x14ac:dyDescent="0.35">
      <c r="A121">
        <v>118</v>
      </c>
      <c r="B121" s="1" t="s">
        <v>23</v>
      </c>
      <c r="C121" s="2">
        <v>4.3</v>
      </c>
      <c r="D121" s="3">
        <v>85</v>
      </c>
      <c r="E121" s="2">
        <v>6.1</v>
      </c>
      <c r="F121" s="1" t="s">
        <v>24</v>
      </c>
      <c r="G121" s="1" t="s">
        <v>19</v>
      </c>
      <c r="H121" s="1" t="s">
        <v>19</v>
      </c>
      <c r="I121" s="1" t="s">
        <v>20</v>
      </c>
      <c r="J121" s="2">
        <v>58.8</v>
      </c>
      <c r="K121" s="3">
        <v>96</v>
      </c>
      <c r="L121" s="3" t="str">
        <f t="shared" si="1"/>
        <v>95-100</v>
      </c>
      <c r="M121" s="1" t="s">
        <v>21</v>
      </c>
    </row>
    <row r="122" spans="1:13" x14ac:dyDescent="0.35">
      <c r="A122">
        <v>119</v>
      </c>
      <c r="B122" s="1" t="s">
        <v>23</v>
      </c>
      <c r="C122" s="2">
        <v>2.5</v>
      </c>
      <c r="D122" s="3">
        <v>83.3</v>
      </c>
      <c r="E122" s="2">
        <v>5.5</v>
      </c>
      <c r="F122" s="1" t="s">
        <v>18</v>
      </c>
      <c r="G122" s="1" t="s">
        <v>19</v>
      </c>
      <c r="H122" s="1" t="s">
        <v>19</v>
      </c>
      <c r="I122" s="1" t="s">
        <v>19</v>
      </c>
      <c r="J122" s="2">
        <v>83.3</v>
      </c>
      <c r="K122" s="3">
        <v>75</v>
      </c>
      <c r="L122" s="3" t="str">
        <f t="shared" si="1"/>
        <v>75-79</v>
      </c>
      <c r="M122" s="1" t="s">
        <v>32</v>
      </c>
    </row>
    <row r="123" spans="1:13" x14ac:dyDescent="0.35">
      <c r="A123">
        <v>120</v>
      </c>
      <c r="B123" s="1" t="s">
        <v>17</v>
      </c>
      <c r="C123" s="2">
        <v>2.8</v>
      </c>
      <c r="D123" s="3">
        <v>80.5</v>
      </c>
      <c r="E123" s="2">
        <v>5.8</v>
      </c>
      <c r="F123" s="1" t="s">
        <v>18</v>
      </c>
      <c r="G123" s="1" t="s">
        <v>19</v>
      </c>
      <c r="H123" s="1" t="s">
        <v>20</v>
      </c>
      <c r="I123" s="1" t="s">
        <v>20</v>
      </c>
      <c r="J123" s="2">
        <v>72.400000000000006</v>
      </c>
      <c r="K123" s="3">
        <v>73</v>
      </c>
      <c r="L123" s="3" t="str">
        <f t="shared" si="1"/>
        <v>70-74</v>
      </c>
      <c r="M123" s="1" t="s">
        <v>32</v>
      </c>
    </row>
    <row r="124" spans="1:13" x14ac:dyDescent="0.35">
      <c r="A124">
        <v>121</v>
      </c>
      <c r="B124" s="1" t="s">
        <v>23</v>
      </c>
      <c r="C124" s="2">
        <v>2.6</v>
      </c>
      <c r="D124" s="3">
        <v>92</v>
      </c>
      <c r="E124" s="2">
        <v>10</v>
      </c>
      <c r="F124" s="1" t="s">
        <v>24</v>
      </c>
      <c r="G124" s="1" t="s">
        <v>19</v>
      </c>
      <c r="H124" s="1" t="s">
        <v>19</v>
      </c>
      <c r="I124" s="1" t="s">
        <v>20</v>
      </c>
      <c r="J124" s="2">
        <v>73.099999999999994</v>
      </c>
      <c r="K124" s="3">
        <v>96</v>
      </c>
      <c r="L124" s="3" t="str">
        <f t="shared" si="1"/>
        <v>95-100</v>
      </c>
      <c r="M124" s="1" t="s">
        <v>21</v>
      </c>
    </row>
    <row r="125" spans="1:13" x14ac:dyDescent="0.35">
      <c r="A125">
        <v>122</v>
      </c>
      <c r="B125" s="1" t="s">
        <v>17</v>
      </c>
      <c r="C125" s="2">
        <v>2.2000000000000002</v>
      </c>
      <c r="D125" s="3">
        <v>94.6</v>
      </c>
      <c r="E125" s="2">
        <v>8.3000000000000007</v>
      </c>
      <c r="F125" s="1" t="s">
        <v>24</v>
      </c>
      <c r="G125" s="1" t="s">
        <v>19</v>
      </c>
      <c r="H125" s="1" t="s">
        <v>19</v>
      </c>
      <c r="I125" s="1" t="s">
        <v>20</v>
      </c>
      <c r="J125" s="2">
        <v>65.900000000000006</v>
      </c>
      <c r="K125" s="3">
        <v>81</v>
      </c>
      <c r="L125" s="3" t="str">
        <f t="shared" si="1"/>
        <v>80-84</v>
      </c>
      <c r="M125" s="1" t="s">
        <v>28</v>
      </c>
    </row>
    <row r="126" spans="1:13" x14ac:dyDescent="0.35">
      <c r="A126">
        <v>123</v>
      </c>
      <c r="B126" s="1" t="s">
        <v>23</v>
      </c>
      <c r="C126" s="2">
        <v>3.6</v>
      </c>
      <c r="D126" s="3">
        <v>85.9</v>
      </c>
      <c r="E126" s="2">
        <v>5.2</v>
      </c>
      <c r="F126" s="1" t="s">
        <v>33</v>
      </c>
      <c r="G126" s="1" t="s">
        <v>19</v>
      </c>
      <c r="H126" s="1" t="s">
        <v>20</v>
      </c>
      <c r="I126" s="1" t="s">
        <v>19</v>
      </c>
      <c r="J126" s="2">
        <v>61</v>
      </c>
      <c r="K126" s="3">
        <v>77</v>
      </c>
      <c r="L126" s="3" t="str">
        <f t="shared" si="1"/>
        <v>75-79</v>
      </c>
      <c r="M126" s="1" t="s">
        <v>32</v>
      </c>
    </row>
    <row r="127" spans="1:13" x14ac:dyDescent="0.35">
      <c r="A127">
        <v>124</v>
      </c>
      <c r="B127" s="1" t="s">
        <v>17</v>
      </c>
      <c r="C127" s="2">
        <v>2.2999999999999998</v>
      </c>
      <c r="D127" s="3">
        <v>99.8</v>
      </c>
      <c r="E127" s="2">
        <v>5.2</v>
      </c>
      <c r="F127" s="1" t="s">
        <v>18</v>
      </c>
      <c r="G127" s="1" t="s">
        <v>19</v>
      </c>
      <c r="H127" s="1" t="s">
        <v>19</v>
      </c>
      <c r="I127" s="1" t="s">
        <v>20</v>
      </c>
      <c r="J127" s="2">
        <v>74.099999999999994</v>
      </c>
      <c r="K127" s="3">
        <v>88</v>
      </c>
      <c r="L127" s="3" t="str">
        <f t="shared" si="1"/>
        <v>85-89</v>
      </c>
      <c r="M127" s="1" t="s">
        <v>28</v>
      </c>
    </row>
    <row r="128" spans="1:13" x14ac:dyDescent="0.35">
      <c r="A128">
        <v>125</v>
      </c>
      <c r="B128" s="1" t="s">
        <v>17</v>
      </c>
      <c r="C128" s="2">
        <v>3.9</v>
      </c>
      <c r="D128" s="3">
        <v>73.599999999999994</v>
      </c>
      <c r="E128" s="2">
        <v>7.4</v>
      </c>
      <c r="F128" s="1" t="s">
        <v>18</v>
      </c>
      <c r="G128" s="1" t="s">
        <v>19</v>
      </c>
      <c r="H128" s="1" t="s">
        <v>19</v>
      </c>
      <c r="I128" s="1" t="s">
        <v>20</v>
      </c>
      <c r="J128" s="2">
        <v>63.5</v>
      </c>
      <c r="K128" s="3">
        <v>88</v>
      </c>
      <c r="L128" s="3" t="str">
        <f t="shared" si="1"/>
        <v>85-89</v>
      </c>
      <c r="M128" s="1" t="s">
        <v>28</v>
      </c>
    </row>
    <row r="129" spans="1:13" x14ac:dyDescent="0.35">
      <c r="A129">
        <v>126</v>
      </c>
      <c r="B129" s="1" t="s">
        <v>23</v>
      </c>
      <c r="C129" s="2">
        <v>3.4</v>
      </c>
      <c r="D129" s="3">
        <v>83.1</v>
      </c>
      <c r="E129" s="2">
        <v>7.5</v>
      </c>
      <c r="F129" s="1" t="s">
        <v>18</v>
      </c>
      <c r="G129" s="1" t="s">
        <v>19</v>
      </c>
      <c r="H129" s="1" t="s">
        <v>19</v>
      </c>
      <c r="I129" s="1" t="s">
        <v>20</v>
      </c>
      <c r="J129" s="2">
        <v>91.8</v>
      </c>
      <c r="K129" s="3">
        <v>92</v>
      </c>
      <c r="L129" s="3" t="str">
        <f t="shared" si="1"/>
        <v>90-94</v>
      </c>
      <c r="M129" s="1" t="s">
        <v>21</v>
      </c>
    </row>
    <row r="130" spans="1:13" x14ac:dyDescent="0.35">
      <c r="A130">
        <v>127</v>
      </c>
      <c r="B130" s="1" t="s">
        <v>23</v>
      </c>
      <c r="C130" s="2">
        <v>3.1</v>
      </c>
      <c r="D130" s="3">
        <v>77.8</v>
      </c>
      <c r="E130" s="2">
        <v>7.5</v>
      </c>
      <c r="F130" s="1" t="s">
        <v>18</v>
      </c>
      <c r="G130" s="1" t="s">
        <v>19</v>
      </c>
      <c r="H130" s="1" t="s">
        <v>19</v>
      </c>
      <c r="I130" s="1" t="s">
        <v>20</v>
      </c>
      <c r="J130" s="2">
        <v>54.8</v>
      </c>
      <c r="K130" s="3">
        <v>85</v>
      </c>
      <c r="L130" s="3" t="str">
        <f t="shared" si="1"/>
        <v>85-89</v>
      </c>
      <c r="M130" s="1" t="s">
        <v>28</v>
      </c>
    </row>
    <row r="131" spans="1:13" x14ac:dyDescent="0.35">
      <c r="A131">
        <v>128</v>
      </c>
      <c r="B131" s="1" t="s">
        <v>17</v>
      </c>
      <c r="C131" s="2">
        <v>2.1</v>
      </c>
      <c r="D131" s="3">
        <v>66.3</v>
      </c>
      <c r="E131" s="2">
        <v>6.5</v>
      </c>
      <c r="F131" s="1" t="s">
        <v>24</v>
      </c>
      <c r="G131" s="1" t="s">
        <v>19</v>
      </c>
      <c r="H131" s="1" t="s">
        <v>20</v>
      </c>
      <c r="I131" s="1" t="s">
        <v>19</v>
      </c>
      <c r="J131" s="2">
        <v>88.4</v>
      </c>
      <c r="K131" s="3">
        <v>63</v>
      </c>
      <c r="L131" s="3" t="str">
        <f t="shared" si="1"/>
        <v>60-64</v>
      </c>
      <c r="M131" s="1" t="s">
        <v>30</v>
      </c>
    </row>
    <row r="132" spans="1:13" x14ac:dyDescent="0.35">
      <c r="A132">
        <v>129</v>
      </c>
      <c r="B132" s="1" t="s">
        <v>23</v>
      </c>
      <c r="C132" s="2">
        <v>2.6</v>
      </c>
      <c r="D132" s="3">
        <v>84.2</v>
      </c>
      <c r="E132" s="2">
        <v>6.6</v>
      </c>
      <c r="F132" s="1" t="s">
        <v>24</v>
      </c>
      <c r="G132" s="1" t="s">
        <v>19</v>
      </c>
      <c r="H132" s="1" t="s">
        <v>20</v>
      </c>
      <c r="I132" s="1" t="s">
        <v>19</v>
      </c>
      <c r="J132" s="2">
        <v>68.7</v>
      </c>
      <c r="K132" s="3">
        <v>81</v>
      </c>
      <c r="L132" s="3" t="str">
        <f t="shared" si="1"/>
        <v>80-84</v>
      </c>
      <c r="M132" s="1" t="s">
        <v>28</v>
      </c>
    </row>
    <row r="133" spans="1:13" x14ac:dyDescent="0.35">
      <c r="A133">
        <v>130</v>
      </c>
      <c r="B133" s="1" t="s">
        <v>23</v>
      </c>
      <c r="C133" s="2">
        <v>4.5999999999999996</v>
      </c>
      <c r="D133" s="3">
        <v>83.8</v>
      </c>
      <c r="E133" s="2">
        <v>7.2</v>
      </c>
      <c r="F133" s="1" t="s">
        <v>24</v>
      </c>
      <c r="G133" s="1" t="s">
        <v>19</v>
      </c>
      <c r="H133" s="1" t="s">
        <v>19</v>
      </c>
      <c r="I133" s="1" t="s">
        <v>20</v>
      </c>
      <c r="J133" s="2">
        <v>73.599999999999994</v>
      </c>
      <c r="K133" s="3">
        <v>87</v>
      </c>
      <c r="L133" s="3" t="str">
        <f t="shared" ref="L133:L196" si="2">IF(K133&gt;=95,"95-100",IF(K133&gt;=90,"90-94",IF(K133&gt;=85,"85-89",IF(K133&gt;=80,"80-84",IF(K133&gt;=75,"75-79",IF(K133&gt;=70,"70-74",IF(K133&gt;=65,"65-69",IF(K133&gt;=60,"60-64",IF(K133&gt;=55,"55-59","Below 55")))))))))</f>
        <v>85-89</v>
      </c>
      <c r="M133" s="1" t="s">
        <v>28</v>
      </c>
    </row>
    <row r="134" spans="1:13" x14ac:dyDescent="0.35">
      <c r="A134">
        <v>131</v>
      </c>
      <c r="B134" s="1" t="s">
        <v>23</v>
      </c>
      <c r="C134" s="2">
        <v>4.3</v>
      </c>
      <c r="D134" s="3">
        <v>100</v>
      </c>
      <c r="E134" s="2">
        <v>6.9</v>
      </c>
      <c r="F134" s="1" t="s">
        <v>24</v>
      </c>
      <c r="G134" s="1" t="s">
        <v>19</v>
      </c>
      <c r="H134" s="1" t="s">
        <v>20</v>
      </c>
      <c r="I134" s="1" t="s">
        <v>19</v>
      </c>
      <c r="J134" s="2">
        <v>80</v>
      </c>
      <c r="K134" s="3">
        <v>100</v>
      </c>
      <c r="L134" s="3" t="str">
        <f t="shared" si="2"/>
        <v>95-100</v>
      </c>
      <c r="M134" s="1" t="s">
        <v>21</v>
      </c>
    </row>
    <row r="135" spans="1:13" x14ac:dyDescent="0.35">
      <c r="A135">
        <v>132</v>
      </c>
      <c r="B135" s="1" t="s">
        <v>17</v>
      </c>
      <c r="C135" s="2">
        <v>2</v>
      </c>
      <c r="D135" s="3">
        <v>91.3</v>
      </c>
      <c r="E135" s="2">
        <v>4.0999999999999996</v>
      </c>
      <c r="F135" s="1" t="s">
        <v>27</v>
      </c>
      <c r="G135" s="1" t="s">
        <v>19</v>
      </c>
      <c r="H135" s="1" t="s">
        <v>19</v>
      </c>
      <c r="I135" s="1" t="s">
        <v>20</v>
      </c>
      <c r="J135" s="2">
        <v>62.4</v>
      </c>
      <c r="K135" s="3">
        <v>76</v>
      </c>
      <c r="L135" s="3" t="str">
        <f t="shared" si="2"/>
        <v>75-79</v>
      </c>
      <c r="M135" s="1" t="s">
        <v>32</v>
      </c>
    </row>
    <row r="136" spans="1:13" x14ac:dyDescent="0.35">
      <c r="A136">
        <v>133</v>
      </c>
      <c r="B136" s="1" t="s">
        <v>17</v>
      </c>
      <c r="C136" s="2">
        <v>3.6</v>
      </c>
      <c r="D136" s="3">
        <v>74.8</v>
      </c>
      <c r="E136" s="2">
        <v>6.5</v>
      </c>
      <c r="F136" s="1" t="s">
        <v>18</v>
      </c>
      <c r="G136" s="1" t="s">
        <v>20</v>
      </c>
      <c r="H136" s="1" t="s">
        <v>19</v>
      </c>
      <c r="I136" s="1" t="s">
        <v>20</v>
      </c>
      <c r="J136" s="2">
        <v>80.400000000000006</v>
      </c>
      <c r="K136" s="3">
        <v>77</v>
      </c>
      <c r="L136" s="3" t="str">
        <f t="shared" si="2"/>
        <v>75-79</v>
      </c>
      <c r="M136" s="1" t="s">
        <v>32</v>
      </c>
    </row>
    <row r="137" spans="1:13" x14ac:dyDescent="0.35">
      <c r="A137">
        <v>134</v>
      </c>
      <c r="B137" s="1" t="s">
        <v>17</v>
      </c>
      <c r="C137" s="2">
        <v>4.5999999999999996</v>
      </c>
      <c r="D137" s="3">
        <v>100</v>
      </c>
      <c r="E137" s="2">
        <v>5.8</v>
      </c>
      <c r="F137" s="1" t="s">
        <v>33</v>
      </c>
      <c r="G137" s="1" t="s">
        <v>19</v>
      </c>
      <c r="H137" s="1" t="s">
        <v>19</v>
      </c>
      <c r="I137" s="1" t="s">
        <v>20</v>
      </c>
      <c r="J137" s="2">
        <v>37.5</v>
      </c>
      <c r="K137" s="3">
        <v>86</v>
      </c>
      <c r="L137" s="3" t="str">
        <f t="shared" si="2"/>
        <v>85-89</v>
      </c>
      <c r="M137" s="1" t="s">
        <v>28</v>
      </c>
    </row>
    <row r="138" spans="1:13" x14ac:dyDescent="0.35">
      <c r="A138">
        <v>135</v>
      </c>
      <c r="B138" s="1" t="s">
        <v>17</v>
      </c>
      <c r="C138" s="2">
        <v>1</v>
      </c>
      <c r="D138" s="3">
        <v>97.2</v>
      </c>
      <c r="E138" s="2">
        <v>7</v>
      </c>
      <c r="F138" s="1" t="s">
        <v>24</v>
      </c>
      <c r="G138" s="1" t="s">
        <v>19</v>
      </c>
      <c r="H138" s="1" t="s">
        <v>19</v>
      </c>
      <c r="I138" s="1" t="s">
        <v>20</v>
      </c>
      <c r="J138" s="2">
        <v>61.4</v>
      </c>
      <c r="K138" s="3">
        <v>81</v>
      </c>
      <c r="L138" s="3" t="str">
        <f t="shared" si="2"/>
        <v>80-84</v>
      </c>
      <c r="M138" s="1" t="s">
        <v>28</v>
      </c>
    </row>
    <row r="139" spans="1:13" x14ac:dyDescent="0.35">
      <c r="A139">
        <v>136</v>
      </c>
      <c r="B139" s="1" t="s">
        <v>17</v>
      </c>
      <c r="C139" s="2">
        <v>4.3</v>
      </c>
      <c r="D139" s="3">
        <v>90.8</v>
      </c>
      <c r="E139" s="2">
        <v>10</v>
      </c>
      <c r="F139" s="1" t="s">
        <v>18</v>
      </c>
      <c r="G139" s="1" t="s">
        <v>19</v>
      </c>
      <c r="H139" s="1" t="s">
        <v>19</v>
      </c>
      <c r="I139" s="1" t="s">
        <v>20</v>
      </c>
      <c r="J139" s="2">
        <v>58.9</v>
      </c>
      <c r="K139" s="3">
        <v>95</v>
      </c>
      <c r="L139" s="3" t="str">
        <f t="shared" si="2"/>
        <v>95-100</v>
      </c>
      <c r="M139" s="1" t="s">
        <v>21</v>
      </c>
    </row>
    <row r="140" spans="1:13" x14ac:dyDescent="0.35">
      <c r="A140">
        <v>137</v>
      </c>
      <c r="B140" s="1" t="s">
        <v>17</v>
      </c>
      <c r="C140" s="2">
        <v>2.5</v>
      </c>
      <c r="D140" s="3">
        <v>82.7</v>
      </c>
      <c r="E140" s="2">
        <v>7.2</v>
      </c>
      <c r="F140" s="1" t="s">
        <v>24</v>
      </c>
      <c r="G140" s="1" t="s">
        <v>20</v>
      </c>
      <c r="H140" s="1" t="s">
        <v>20</v>
      </c>
      <c r="I140" s="1" t="s">
        <v>19</v>
      </c>
      <c r="J140" s="2">
        <v>55</v>
      </c>
      <c r="K140" s="3">
        <v>60</v>
      </c>
      <c r="L140" s="3" t="str">
        <f t="shared" si="2"/>
        <v>60-64</v>
      </c>
      <c r="M140" s="1" t="s">
        <v>35</v>
      </c>
    </row>
    <row r="141" spans="1:13" x14ac:dyDescent="0.35">
      <c r="A141">
        <v>138</v>
      </c>
      <c r="B141" s="1" t="s">
        <v>17</v>
      </c>
      <c r="C141" s="2">
        <v>4.4000000000000004</v>
      </c>
      <c r="D141" s="3">
        <v>75.400000000000006</v>
      </c>
      <c r="E141" s="2">
        <v>6.4</v>
      </c>
      <c r="F141" s="1" t="s">
        <v>24</v>
      </c>
      <c r="G141" s="1" t="s">
        <v>19</v>
      </c>
      <c r="H141" s="1" t="s">
        <v>20</v>
      </c>
      <c r="I141" s="1" t="s">
        <v>20</v>
      </c>
      <c r="J141" s="2">
        <v>67.400000000000006</v>
      </c>
      <c r="K141" s="3">
        <v>81</v>
      </c>
      <c r="L141" s="3" t="str">
        <f t="shared" si="2"/>
        <v>80-84</v>
      </c>
      <c r="M141" s="1" t="s">
        <v>28</v>
      </c>
    </row>
    <row r="142" spans="1:13" x14ac:dyDescent="0.35">
      <c r="A142">
        <v>139</v>
      </c>
      <c r="B142" s="1" t="s">
        <v>17</v>
      </c>
      <c r="C142" s="2">
        <v>2.4</v>
      </c>
      <c r="D142" s="3">
        <v>81.3</v>
      </c>
      <c r="E142" s="2">
        <v>7.9</v>
      </c>
      <c r="F142" s="1" t="s">
        <v>24</v>
      </c>
      <c r="G142" s="1" t="s">
        <v>19</v>
      </c>
      <c r="H142" s="1" t="s">
        <v>19</v>
      </c>
      <c r="I142" s="1" t="s">
        <v>20</v>
      </c>
      <c r="J142" s="2">
        <v>74.599999999999994</v>
      </c>
      <c r="K142" s="3">
        <v>83</v>
      </c>
      <c r="L142" s="3" t="str">
        <f t="shared" si="2"/>
        <v>80-84</v>
      </c>
      <c r="M142" s="1" t="s">
        <v>28</v>
      </c>
    </row>
    <row r="143" spans="1:13" x14ac:dyDescent="0.35">
      <c r="A143">
        <v>140</v>
      </c>
      <c r="B143" s="1" t="s">
        <v>17</v>
      </c>
      <c r="C143" s="2">
        <v>0.8</v>
      </c>
      <c r="D143" s="3">
        <v>95.9</v>
      </c>
      <c r="E143" s="2">
        <v>7.4</v>
      </c>
      <c r="F143" s="1" t="s">
        <v>33</v>
      </c>
      <c r="G143" s="1" t="s">
        <v>19</v>
      </c>
      <c r="H143" s="1" t="s">
        <v>20</v>
      </c>
      <c r="I143" s="1" t="s">
        <v>20</v>
      </c>
      <c r="J143" s="2">
        <v>78.400000000000006</v>
      </c>
      <c r="K143" s="3">
        <v>80</v>
      </c>
      <c r="L143" s="3" t="str">
        <f t="shared" si="2"/>
        <v>80-84</v>
      </c>
      <c r="M143" s="1" t="s">
        <v>28</v>
      </c>
    </row>
    <row r="144" spans="1:13" x14ac:dyDescent="0.35">
      <c r="A144">
        <v>141</v>
      </c>
      <c r="B144" s="1" t="s">
        <v>23</v>
      </c>
      <c r="C144" s="2">
        <v>1.1000000000000001</v>
      </c>
      <c r="D144" s="3">
        <v>100</v>
      </c>
      <c r="E144" s="2">
        <v>7.3</v>
      </c>
      <c r="F144" s="1" t="s">
        <v>33</v>
      </c>
      <c r="G144" s="1" t="s">
        <v>19</v>
      </c>
      <c r="H144" s="1" t="s">
        <v>20</v>
      </c>
      <c r="I144" s="1" t="s">
        <v>19</v>
      </c>
      <c r="J144" s="2">
        <v>72.900000000000006</v>
      </c>
      <c r="K144" s="3">
        <v>82</v>
      </c>
      <c r="L144" s="3" t="str">
        <f t="shared" si="2"/>
        <v>80-84</v>
      </c>
      <c r="M144" s="1" t="s">
        <v>28</v>
      </c>
    </row>
    <row r="145" spans="1:13" x14ac:dyDescent="0.35">
      <c r="A145">
        <v>142</v>
      </c>
      <c r="B145" s="1" t="s">
        <v>17</v>
      </c>
      <c r="C145" s="2">
        <v>3.6</v>
      </c>
      <c r="D145" s="3">
        <v>100</v>
      </c>
      <c r="E145" s="2">
        <v>7.5</v>
      </c>
      <c r="F145" s="1" t="s">
        <v>18</v>
      </c>
      <c r="G145" s="1" t="s">
        <v>19</v>
      </c>
      <c r="H145" s="1" t="s">
        <v>20</v>
      </c>
      <c r="I145" s="1" t="s">
        <v>20</v>
      </c>
      <c r="J145" s="2">
        <v>62</v>
      </c>
      <c r="K145" s="3">
        <v>76</v>
      </c>
      <c r="L145" s="3" t="str">
        <f t="shared" si="2"/>
        <v>75-79</v>
      </c>
      <c r="M145" s="1" t="s">
        <v>32</v>
      </c>
    </row>
    <row r="146" spans="1:13" x14ac:dyDescent="0.35">
      <c r="A146">
        <v>143</v>
      </c>
      <c r="B146" s="1" t="s">
        <v>23</v>
      </c>
      <c r="C146" s="2">
        <v>3.9</v>
      </c>
      <c r="D146" s="3">
        <v>80.099999999999994</v>
      </c>
      <c r="E146" s="2">
        <v>9.3000000000000007</v>
      </c>
      <c r="F146" s="1" t="s">
        <v>18</v>
      </c>
      <c r="G146" s="1" t="s">
        <v>19</v>
      </c>
      <c r="H146" s="1" t="s">
        <v>20</v>
      </c>
      <c r="I146" s="1" t="s">
        <v>19</v>
      </c>
      <c r="J146" s="2">
        <v>74.400000000000006</v>
      </c>
      <c r="K146" s="3">
        <v>89</v>
      </c>
      <c r="L146" s="3" t="str">
        <f t="shared" si="2"/>
        <v>85-89</v>
      </c>
      <c r="M146" s="1" t="s">
        <v>28</v>
      </c>
    </row>
    <row r="147" spans="1:13" x14ac:dyDescent="0.35">
      <c r="A147">
        <v>144</v>
      </c>
      <c r="B147" s="1" t="s">
        <v>23</v>
      </c>
      <c r="C147" s="2">
        <v>2.1</v>
      </c>
      <c r="D147" s="3">
        <v>73.8</v>
      </c>
      <c r="E147" s="2">
        <v>5.4</v>
      </c>
      <c r="F147" s="1" t="s">
        <v>27</v>
      </c>
      <c r="G147" s="1" t="s">
        <v>19</v>
      </c>
      <c r="H147" s="1" t="s">
        <v>19</v>
      </c>
      <c r="I147" s="1" t="s">
        <v>19</v>
      </c>
      <c r="J147" s="2">
        <v>71.5</v>
      </c>
      <c r="K147" s="3">
        <v>70</v>
      </c>
      <c r="L147" s="3" t="str">
        <f t="shared" si="2"/>
        <v>70-74</v>
      </c>
      <c r="M147" s="1" t="s">
        <v>30</v>
      </c>
    </row>
    <row r="148" spans="1:13" x14ac:dyDescent="0.35">
      <c r="A148">
        <v>145</v>
      </c>
      <c r="B148" s="1" t="s">
        <v>23</v>
      </c>
      <c r="C148" s="2">
        <v>4.5</v>
      </c>
      <c r="D148" s="3">
        <v>86.4</v>
      </c>
      <c r="E148" s="2">
        <v>7.4</v>
      </c>
      <c r="F148" s="1" t="s">
        <v>24</v>
      </c>
      <c r="G148" s="1" t="s">
        <v>19</v>
      </c>
      <c r="H148" s="1" t="s">
        <v>20</v>
      </c>
      <c r="I148" s="1" t="s">
        <v>19</v>
      </c>
      <c r="J148" s="2">
        <v>81.2</v>
      </c>
      <c r="K148" s="3">
        <v>87</v>
      </c>
      <c r="L148" s="3" t="str">
        <f t="shared" si="2"/>
        <v>85-89</v>
      </c>
      <c r="M148" s="1" t="s">
        <v>28</v>
      </c>
    </row>
    <row r="149" spans="1:13" x14ac:dyDescent="0.35">
      <c r="A149">
        <v>146</v>
      </c>
      <c r="B149" s="1" t="s">
        <v>17</v>
      </c>
      <c r="C149" s="2">
        <v>1</v>
      </c>
      <c r="D149" s="3">
        <v>67.3</v>
      </c>
      <c r="E149" s="2">
        <v>5.7</v>
      </c>
      <c r="F149" s="1" t="s">
        <v>24</v>
      </c>
      <c r="G149" s="1" t="s">
        <v>19</v>
      </c>
      <c r="H149" s="1" t="s">
        <v>20</v>
      </c>
      <c r="I149" s="1" t="s">
        <v>20</v>
      </c>
      <c r="J149" s="2">
        <v>79.3</v>
      </c>
      <c r="K149" s="3">
        <v>65</v>
      </c>
      <c r="L149" s="3" t="str">
        <f t="shared" si="2"/>
        <v>65-69</v>
      </c>
      <c r="M149" s="1" t="s">
        <v>30</v>
      </c>
    </row>
    <row r="150" spans="1:13" x14ac:dyDescent="0.35">
      <c r="A150">
        <v>147</v>
      </c>
      <c r="B150" s="1" t="s">
        <v>17</v>
      </c>
      <c r="C150" s="2">
        <v>3.4</v>
      </c>
      <c r="D150" s="3">
        <v>88.2</v>
      </c>
      <c r="E150" s="2">
        <v>7.5</v>
      </c>
      <c r="F150" s="1" t="s">
        <v>24</v>
      </c>
      <c r="G150" s="1" t="s">
        <v>19</v>
      </c>
      <c r="H150" s="1" t="s">
        <v>20</v>
      </c>
      <c r="I150" s="1" t="s">
        <v>19</v>
      </c>
      <c r="J150" s="2">
        <v>70.400000000000006</v>
      </c>
      <c r="K150" s="3">
        <v>82</v>
      </c>
      <c r="L150" s="3" t="str">
        <f t="shared" si="2"/>
        <v>80-84</v>
      </c>
      <c r="M150" s="1" t="s">
        <v>28</v>
      </c>
    </row>
    <row r="151" spans="1:13" x14ac:dyDescent="0.35">
      <c r="A151">
        <v>148</v>
      </c>
      <c r="B151" s="1" t="s">
        <v>17</v>
      </c>
      <c r="C151" s="2">
        <v>1.7</v>
      </c>
      <c r="D151" s="3">
        <v>83.5</v>
      </c>
      <c r="E151" s="2">
        <v>5.7</v>
      </c>
      <c r="F151" s="1" t="s">
        <v>33</v>
      </c>
      <c r="G151" s="1" t="s">
        <v>19</v>
      </c>
      <c r="H151" s="1" t="s">
        <v>19</v>
      </c>
      <c r="I151" s="1" t="s">
        <v>19</v>
      </c>
      <c r="J151" s="2">
        <v>59.2</v>
      </c>
      <c r="K151" s="3">
        <v>47</v>
      </c>
      <c r="L151" s="3" t="str">
        <f t="shared" si="2"/>
        <v>Below 55</v>
      </c>
      <c r="M151" s="1" t="s">
        <v>35</v>
      </c>
    </row>
    <row r="152" spans="1:13" x14ac:dyDescent="0.35">
      <c r="A152">
        <v>149</v>
      </c>
      <c r="B152" s="1" t="s">
        <v>17</v>
      </c>
      <c r="C152" s="2">
        <v>2.5</v>
      </c>
      <c r="D152" s="3">
        <v>80.3</v>
      </c>
      <c r="E152" s="2">
        <v>6.3</v>
      </c>
      <c r="F152" s="1" t="s">
        <v>27</v>
      </c>
      <c r="G152" s="1" t="s">
        <v>19</v>
      </c>
      <c r="H152" s="1" t="s">
        <v>19</v>
      </c>
      <c r="I152" s="1" t="s">
        <v>19</v>
      </c>
      <c r="J152" s="2">
        <v>62.2</v>
      </c>
      <c r="K152" s="3">
        <v>69</v>
      </c>
      <c r="L152" s="3" t="str">
        <f t="shared" si="2"/>
        <v>65-69</v>
      </c>
      <c r="M152" s="1" t="s">
        <v>30</v>
      </c>
    </row>
    <row r="153" spans="1:13" x14ac:dyDescent="0.35">
      <c r="A153">
        <v>150</v>
      </c>
      <c r="B153" s="1" t="s">
        <v>23</v>
      </c>
      <c r="C153" s="2">
        <v>3.6</v>
      </c>
      <c r="D153" s="3">
        <v>69.099999999999994</v>
      </c>
      <c r="E153" s="2">
        <v>6.4</v>
      </c>
      <c r="F153" s="1" t="s">
        <v>24</v>
      </c>
      <c r="G153" s="1" t="s">
        <v>19</v>
      </c>
      <c r="H153" s="1" t="s">
        <v>19</v>
      </c>
      <c r="I153" s="1" t="s">
        <v>19</v>
      </c>
      <c r="J153" s="2">
        <v>63.4</v>
      </c>
      <c r="K153" s="3">
        <v>69</v>
      </c>
      <c r="L153" s="3" t="str">
        <f t="shared" si="2"/>
        <v>65-69</v>
      </c>
      <c r="M153" s="1" t="s">
        <v>30</v>
      </c>
    </row>
    <row r="154" spans="1:13" x14ac:dyDescent="0.35">
      <c r="A154">
        <v>151</v>
      </c>
      <c r="B154" s="1" t="s">
        <v>17</v>
      </c>
      <c r="C154" s="2">
        <v>2.2000000000000002</v>
      </c>
      <c r="D154" s="3">
        <v>90.1</v>
      </c>
      <c r="E154" s="2">
        <v>8</v>
      </c>
      <c r="F154" s="1" t="s">
        <v>34</v>
      </c>
      <c r="G154" s="1" t="s">
        <v>19</v>
      </c>
      <c r="H154" s="1" t="s">
        <v>19</v>
      </c>
      <c r="I154" s="1" t="s">
        <v>20</v>
      </c>
      <c r="J154" s="2">
        <v>66.2</v>
      </c>
      <c r="K154" s="3">
        <v>85</v>
      </c>
      <c r="L154" s="3" t="str">
        <f t="shared" si="2"/>
        <v>85-89</v>
      </c>
      <c r="M154" s="1" t="s">
        <v>28</v>
      </c>
    </row>
    <row r="155" spans="1:13" x14ac:dyDescent="0.35">
      <c r="A155">
        <v>152</v>
      </c>
      <c r="B155" s="1" t="s">
        <v>17</v>
      </c>
      <c r="C155" s="2">
        <v>2.9</v>
      </c>
      <c r="D155" s="3">
        <v>79.7</v>
      </c>
      <c r="E155" s="2">
        <v>7.9</v>
      </c>
      <c r="F155" s="1" t="s">
        <v>33</v>
      </c>
      <c r="G155" s="1" t="s">
        <v>19</v>
      </c>
      <c r="H155" s="1" t="s">
        <v>19</v>
      </c>
      <c r="I155" s="1" t="s">
        <v>19</v>
      </c>
      <c r="J155" s="2">
        <v>73.2</v>
      </c>
      <c r="K155" s="3">
        <v>76</v>
      </c>
      <c r="L155" s="3" t="str">
        <f t="shared" si="2"/>
        <v>75-79</v>
      </c>
      <c r="M155" s="1" t="s">
        <v>32</v>
      </c>
    </row>
    <row r="156" spans="1:13" x14ac:dyDescent="0.35">
      <c r="A156">
        <v>153</v>
      </c>
      <c r="B156" s="1" t="s">
        <v>17</v>
      </c>
      <c r="C156" s="2">
        <v>5</v>
      </c>
      <c r="D156" s="3">
        <v>73.3</v>
      </c>
      <c r="E156" s="2">
        <v>5.3</v>
      </c>
      <c r="F156" s="1" t="s">
        <v>24</v>
      </c>
      <c r="G156" s="1" t="s">
        <v>19</v>
      </c>
      <c r="H156" s="1" t="s">
        <v>20</v>
      </c>
      <c r="I156" s="1" t="s">
        <v>19</v>
      </c>
      <c r="J156" s="2">
        <v>78.599999999999994</v>
      </c>
      <c r="K156" s="3">
        <v>85</v>
      </c>
      <c r="L156" s="3" t="str">
        <f t="shared" si="2"/>
        <v>85-89</v>
      </c>
      <c r="M156" s="1" t="s">
        <v>28</v>
      </c>
    </row>
    <row r="157" spans="1:13" x14ac:dyDescent="0.35">
      <c r="A157">
        <v>154</v>
      </c>
      <c r="B157" s="1" t="s">
        <v>17</v>
      </c>
      <c r="C157" s="2">
        <v>2.6</v>
      </c>
      <c r="D157" s="3">
        <v>56.3</v>
      </c>
      <c r="E157" s="2">
        <v>6.9</v>
      </c>
      <c r="F157" s="1" t="s">
        <v>18</v>
      </c>
      <c r="G157" s="1" t="s">
        <v>20</v>
      </c>
      <c r="H157" s="1" t="s">
        <v>19</v>
      </c>
      <c r="I157" s="1" t="s">
        <v>20</v>
      </c>
      <c r="J157" s="2">
        <v>69.400000000000006</v>
      </c>
      <c r="K157" s="3">
        <v>76</v>
      </c>
      <c r="L157" s="3" t="str">
        <f t="shared" si="2"/>
        <v>75-79</v>
      </c>
      <c r="M157" s="1" t="s">
        <v>32</v>
      </c>
    </row>
    <row r="158" spans="1:13" x14ac:dyDescent="0.35">
      <c r="A158">
        <v>155</v>
      </c>
      <c r="B158" s="1" t="s">
        <v>17</v>
      </c>
      <c r="C158" s="2">
        <v>4.8</v>
      </c>
      <c r="D158" s="3">
        <v>84.7</v>
      </c>
      <c r="E158" s="2">
        <v>5.9</v>
      </c>
      <c r="F158" s="1" t="s">
        <v>18</v>
      </c>
      <c r="G158" s="1" t="s">
        <v>19</v>
      </c>
      <c r="H158" s="1" t="s">
        <v>20</v>
      </c>
      <c r="I158" s="1" t="s">
        <v>20</v>
      </c>
      <c r="J158" s="2">
        <v>70.2</v>
      </c>
      <c r="K158" s="3">
        <v>95</v>
      </c>
      <c r="L158" s="3" t="str">
        <f t="shared" si="2"/>
        <v>95-100</v>
      </c>
      <c r="M158" s="1" t="s">
        <v>21</v>
      </c>
    </row>
    <row r="159" spans="1:13" x14ac:dyDescent="0.35">
      <c r="A159">
        <v>156</v>
      </c>
      <c r="B159" s="1" t="s">
        <v>23</v>
      </c>
      <c r="C159" s="2">
        <v>1.8</v>
      </c>
      <c r="D159" s="3">
        <v>100</v>
      </c>
      <c r="E159" s="2">
        <v>5.3</v>
      </c>
      <c r="F159" s="1" t="s">
        <v>27</v>
      </c>
      <c r="G159" s="1" t="s">
        <v>19</v>
      </c>
      <c r="H159" s="1" t="s">
        <v>19</v>
      </c>
      <c r="I159" s="1" t="s">
        <v>20</v>
      </c>
      <c r="J159" s="2">
        <v>71.7</v>
      </c>
      <c r="K159" s="3">
        <v>88</v>
      </c>
      <c r="L159" s="3" t="str">
        <f t="shared" si="2"/>
        <v>85-89</v>
      </c>
      <c r="M159" s="1" t="s">
        <v>28</v>
      </c>
    </row>
    <row r="160" spans="1:13" x14ac:dyDescent="0.35">
      <c r="A160">
        <v>157</v>
      </c>
      <c r="B160" s="1" t="s">
        <v>17</v>
      </c>
      <c r="C160" s="2">
        <v>4.3</v>
      </c>
      <c r="D160" s="3">
        <v>100</v>
      </c>
      <c r="E160" s="2">
        <v>6.5</v>
      </c>
      <c r="F160" s="1" t="s">
        <v>24</v>
      </c>
      <c r="G160" s="1" t="s">
        <v>19</v>
      </c>
      <c r="H160" s="1" t="s">
        <v>20</v>
      </c>
      <c r="I160" s="1" t="s">
        <v>20</v>
      </c>
      <c r="J160" s="2">
        <v>63.8</v>
      </c>
      <c r="K160" s="3">
        <v>88</v>
      </c>
      <c r="L160" s="3" t="str">
        <f t="shared" si="2"/>
        <v>85-89</v>
      </c>
      <c r="M160" s="1" t="s">
        <v>28</v>
      </c>
    </row>
    <row r="161" spans="1:13" x14ac:dyDescent="0.35">
      <c r="A161">
        <v>158</v>
      </c>
      <c r="B161" s="1" t="s">
        <v>23</v>
      </c>
      <c r="C161" s="2">
        <v>5.7</v>
      </c>
      <c r="D161" s="3">
        <v>80.400000000000006</v>
      </c>
      <c r="E161" s="2">
        <v>6.4</v>
      </c>
      <c r="F161" s="1" t="s">
        <v>33</v>
      </c>
      <c r="G161" s="1" t="s">
        <v>19</v>
      </c>
      <c r="H161" s="1" t="s">
        <v>19</v>
      </c>
      <c r="I161" s="1" t="s">
        <v>19</v>
      </c>
      <c r="J161" s="2">
        <v>58.9</v>
      </c>
      <c r="K161" s="3">
        <v>89</v>
      </c>
      <c r="L161" s="3" t="str">
        <f t="shared" si="2"/>
        <v>85-89</v>
      </c>
      <c r="M161" s="1" t="s">
        <v>28</v>
      </c>
    </row>
    <row r="162" spans="1:13" x14ac:dyDescent="0.35">
      <c r="A162">
        <v>159</v>
      </c>
      <c r="B162" s="1" t="s">
        <v>17</v>
      </c>
      <c r="C162" s="2">
        <v>0.5</v>
      </c>
      <c r="D162" s="3">
        <v>79</v>
      </c>
      <c r="E162" s="2">
        <v>9.6999999999999993</v>
      </c>
      <c r="F162" s="1" t="s">
        <v>24</v>
      </c>
      <c r="G162" s="1" t="s">
        <v>19</v>
      </c>
      <c r="H162" s="1" t="s">
        <v>19</v>
      </c>
      <c r="I162" s="1" t="s">
        <v>20</v>
      </c>
      <c r="J162" s="2">
        <v>48.9</v>
      </c>
      <c r="K162" s="3">
        <v>64</v>
      </c>
      <c r="L162" s="3" t="str">
        <f t="shared" si="2"/>
        <v>60-64</v>
      </c>
      <c r="M162" s="1" t="s">
        <v>30</v>
      </c>
    </row>
    <row r="163" spans="1:13" x14ac:dyDescent="0.35">
      <c r="A163">
        <v>160</v>
      </c>
      <c r="B163" s="1" t="s">
        <v>23</v>
      </c>
      <c r="C163" s="2">
        <v>2.2999999999999998</v>
      </c>
      <c r="D163" s="3">
        <v>89.7</v>
      </c>
      <c r="E163" s="2">
        <v>7.3</v>
      </c>
      <c r="F163" s="1" t="s">
        <v>33</v>
      </c>
      <c r="G163" s="1" t="s">
        <v>19</v>
      </c>
      <c r="H163" s="1" t="s">
        <v>20</v>
      </c>
      <c r="I163" s="1" t="s">
        <v>19</v>
      </c>
      <c r="J163" s="2">
        <v>61.7</v>
      </c>
      <c r="K163" s="3">
        <v>74</v>
      </c>
      <c r="L163" s="3" t="str">
        <f t="shared" si="2"/>
        <v>70-74</v>
      </c>
      <c r="M163" s="1" t="s">
        <v>32</v>
      </c>
    </row>
    <row r="164" spans="1:13" x14ac:dyDescent="0.35">
      <c r="A164">
        <v>161</v>
      </c>
      <c r="B164" s="1" t="s">
        <v>17</v>
      </c>
      <c r="C164" s="2">
        <v>4.4000000000000004</v>
      </c>
      <c r="D164" s="3">
        <v>75</v>
      </c>
      <c r="E164" s="2">
        <v>5.0999999999999996</v>
      </c>
      <c r="F164" s="1" t="s">
        <v>18</v>
      </c>
      <c r="G164" s="1" t="s">
        <v>19</v>
      </c>
      <c r="H164" s="1" t="s">
        <v>20</v>
      </c>
      <c r="I164" s="1" t="s">
        <v>20</v>
      </c>
      <c r="J164" s="2">
        <v>75.7</v>
      </c>
      <c r="K164" s="3">
        <v>88</v>
      </c>
      <c r="L164" s="3" t="str">
        <f t="shared" si="2"/>
        <v>85-89</v>
      </c>
      <c r="M164" s="1" t="s">
        <v>28</v>
      </c>
    </row>
    <row r="165" spans="1:13" x14ac:dyDescent="0.35">
      <c r="A165">
        <v>162</v>
      </c>
      <c r="B165" s="1" t="s">
        <v>17</v>
      </c>
      <c r="C165" s="2">
        <v>3.2</v>
      </c>
      <c r="D165" s="3">
        <v>88</v>
      </c>
      <c r="E165" s="2">
        <v>6.1</v>
      </c>
      <c r="F165" s="1" t="s">
        <v>18</v>
      </c>
      <c r="G165" s="1" t="s">
        <v>19</v>
      </c>
      <c r="H165" s="1" t="s">
        <v>20</v>
      </c>
      <c r="I165" s="1" t="s">
        <v>20</v>
      </c>
      <c r="J165" s="2">
        <v>61.6</v>
      </c>
      <c r="K165" s="3">
        <v>77</v>
      </c>
      <c r="L165" s="3" t="str">
        <f t="shared" si="2"/>
        <v>75-79</v>
      </c>
      <c r="M165" s="1" t="s">
        <v>32</v>
      </c>
    </row>
    <row r="166" spans="1:13" x14ac:dyDescent="0.35">
      <c r="A166">
        <v>163</v>
      </c>
      <c r="B166" s="1" t="s">
        <v>23</v>
      </c>
      <c r="C166" s="2">
        <v>4.0999999999999996</v>
      </c>
      <c r="D166" s="3">
        <v>92.7</v>
      </c>
      <c r="E166" s="2">
        <v>8</v>
      </c>
      <c r="F166" s="1" t="s">
        <v>33</v>
      </c>
      <c r="G166" s="1" t="s">
        <v>19</v>
      </c>
      <c r="H166" s="1" t="s">
        <v>19</v>
      </c>
      <c r="I166" s="1" t="s">
        <v>19</v>
      </c>
      <c r="J166" s="2">
        <v>67.099999999999994</v>
      </c>
      <c r="K166" s="3">
        <v>97</v>
      </c>
      <c r="L166" s="3" t="str">
        <f t="shared" si="2"/>
        <v>95-100</v>
      </c>
      <c r="M166" s="1" t="s">
        <v>21</v>
      </c>
    </row>
    <row r="167" spans="1:13" x14ac:dyDescent="0.35">
      <c r="A167">
        <v>164</v>
      </c>
      <c r="B167" s="1" t="s">
        <v>23</v>
      </c>
      <c r="C167" s="2">
        <v>2.6</v>
      </c>
      <c r="D167" s="3">
        <v>97.3</v>
      </c>
      <c r="E167" s="2">
        <v>9.3000000000000007</v>
      </c>
      <c r="F167" s="1" t="s">
        <v>33</v>
      </c>
      <c r="G167" s="1" t="s">
        <v>19</v>
      </c>
      <c r="H167" s="1" t="s">
        <v>19</v>
      </c>
      <c r="I167" s="1" t="s">
        <v>20</v>
      </c>
      <c r="J167" s="2">
        <v>75.599999999999994</v>
      </c>
      <c r="K167" s="3">
        <v>90</v>
      </c>
      <c r="L167" s="3" t="str">
        <f t="shared" si="2"/>
        <v>90-94</v>
      </c>
      <c r="M167" s="1" t="s">
        <v>21</v>
      </c>
    </row>
    <row r="168" spans="1:13" x14ac:dyDescent="0.35">
      <c r="A168">
        <v>165</v>
      </c>
      <c r="B168" s="1" t="s">
        <v>23</v>
      </c>
      <c r="C168" s="2">
        <v>3.6</v>
      </c>
      <c r="D168" s="3">
        <v>84</v>
      </c>
      <c r="E168" s="2">
        <v>4.9000000000000004</v>
      </c>
      <c r="F168" s="1" t="s">
        <v>34</v>
      </c>
      <c r="G168" s="1" t="s">
        <v>19</v>
      </c>
      <c r="H168" s="1" t="s">
        <v>20</v>
      </c>
      <c r="I168" s="1" t="s">
        <v>20</v>
      </c>
      <c r="J168" s="2">
        <v>76.2</v>
      </c>
      <c r="K168" s="3">
        <v>89</v>
      </c>
      <c r="L168" s="3" t="str">
        <f t="shared" si="2"/>
        <v>85-89</v>
      </c>
      <c r="M168" s="1" t="s">
        <v>28</v>
      </c>
    </row>
    <row r="169" spans="1:13" x14ac:dyDescent="0.35">
      <c r="A169">
        <v>166</v>
      </c>
      <c r="B169" s="1" t="s">
        <v>17</v>
      </c>
      <c r="C169" s="2">
        <v>3.3</v>
      </c>
      <c r="D169" s="3">
        <v>83</v>
      </c>
      <c r="E169" s="2">
        <v>4.5</v>
      </c>
      <c r="F169" s="1" t="s">
        <v>24</v>
      </c>
      <c r="G169" s="1" t="s">
        <v>19</v>
      </c>
      <c r="H169" s="1" t="s">
        <v>19</v>
      </c>
      <c r="I169" s="1" t="s">
        <v>20</v>
      </c>
      <c r="J169" s="2">
        <v>57</v>
      </c>
      <c r="K169" s="3">
        <v>85</v>
      </c>
      <c r="L169" s="3" t="str">
        <f t="shared" si="2"/>
        <v>85-89</v>
      </c>
      <c r="M169" s="1" t="s">
        <v>28</v>
      </c>
    </row>
    <row r="170" spans="1:13" x14ac:dyDescent="0.35">
      <c r="A170">
        <v>167</v>
      </c>
      <c r="B170" s="1" t="s">
        <v>23</v>
      </c>
      <c r="C170" s="2">
        <v>5.3</v>
      </c>
      <c r="D170" s="3">
        <v>76.2</v>
      </c>
      <c r="E170" s="2">
        <v>9</v>
      </c>
      <c r="F170" s="1" t="s">
        <v>33</v>
      </c>
      <c r="G170" s="1" t="s">
        <v>19</v>
      </c>
      <c r="H170" s="1" t="s">
        <v>20</v>
      </c>
      <c r="I170" s="1" t="s">
        <v>20</v>
      </c>
      <c r="J170" s="2">
        <v>82</v>
      </c>
      <c r="K170" s="3">
        <v>100</v>
      </c>
      <c r="L170" s="3" t="str">
        <f t="shared" si="2"/>
        <v>95-100</v>
      </c>
      <c r="M170" s="1" t="s">
        <v>21</v>
      </c>
    </row>
    <row r="171" spans="1:13" x14ac:dyDescent="0.35">
      <c r="A171">
        <v>168</v>
      </c>
      <c r="B171" s="1" t="s">
        <v>17</v>
      </c>
      <c r="C171" s="2">
        <v>3.9</v>
      </c>
      <c r="D171" s="3">
        <v>76.7</v>
      </c>
      <c r="E171" s="2">
        <v>7.3</v>
      </c>
      <c r="F171" s="1" t="s">
        <v>24</v>
      </c>
      <c r="G171" s="1" t="s">
        <v>19</v>
      </c>
      <c r="H171" s="1" t="s">
        <v>19</v>
      </c>
      <c r="I171" s="1" t="s">
        <v>20</v>
      </c>
      <c r="J171" s="2">
        <v>83.5</v>
      </c>
      <c r="K171" s="3">
        <v>82</v>
      </c>
      <c r="L171" s="3" t="str">
        <f t="shared" si="2"/>
        <v>80-84</v>
      </c>
      <c r="M171" s="1" t="s">
        <v>28</v>
      </c>
    </row>
    <row r="172" spans="1:13" x14ac:dyDescent="0.35">
      <c r="A172">
        <v>169</v>
      </c>
      <c r="B172" s="1" t="s">
        <v>17</v>
      </c>
      <c r="C172" s="2">
        <v>4</v>
      </c>
      <c r="D172" s="3">
        <v>82.7</v>
      </c>
      <c r="E172" s="2">
        <v>5.8</v>
      </c>
      <c r="F172" s="1" t="s">
        <v>18</v>
      </c>
      <c r="G172" s="1" t="s">
        <v>20</v>
      </c>
      <c r="H172" s="1" t="s">
        <v>19</v>
      </c>
      <c r="I172" s="1" t="s">
        <v>19</v>
      </c>
      <c r="J172" s="2">
        <v>56.4</v>
      </c>
      <c r="K172" s="3">
        <v>75</v>
      </c>
      <c r="L172" s="3" t="str">
        <f t="shared" si="2"/>
        <v>75-79</v>
      </c>
      <c r="M172" s="1" t="s">
        <v>32</v>
      </c>
    </row>
    <row r="173" spans="1:13" x14ac:dyDescent="0.35">
      <c r="A173">
        <v>170</v>
      </c>
      <c r="B173" s="1" t="s">
        <v>23</v>
      </c>
      <c r="C173" s="2">
        <v>2.9</v>
      </c>
      <c r="D173" s="3">
        <v>88.7</v>
      </c>
      <c r="E173" s="2">
        <v>7.4</v>
      </c>
      <c r="F173" s="1" t="s">
        <v>18</v>
      </c>
      <c r="G173" s="1" t="s">
        <v>20</v>
      </c>
      <c r="H173" s="1" t="s">
        <v>19</v>
      </c>
      <c r="I173" s="1" t="s">
        <v>19</v>
      </c>
      <c r="J173" s="2">
        <v>60.1</v>
      </c>
      <c r="K173" s="3">
        <v>78</v>
      </c>
      <c r="L173" s="3" t="str">
        <f t="shared" si="2"/>
        <v>75-79</v>
      </c>
      <c r="M173" s="1" t="s">
        <v>32</v>
      </c>
    </row>
    <row r="174" spans="1:13" x14ac:dyDescent="0.35">
      <c r="A174">
        <v>171</v>
      </c>
      <c r="B174" s="1" t="s">
        <v>23</v>
      </c>
      <c r="C174" s="2">
        <v>2.8</v>
      </c>
      <c r="D174" s="3">
        <v>94.1</v>
      </c>
      <c r="E174" s="2">
        <v>3.6</v>
      </c>
      <c r="F174" s="1" t="s">
        <v>18</v>
      </c>
      <c r="G174" s="1" t="s">
        <v>19</v>
      </c>
      <c r="H174" s="1" t="s">
        <v>19</v>
      </c>
      <c r="I174" s="1" t="s">
        <v>20</v>
      </c>
      <c r="J174" s="2">
        <v>84.3</v>
      </c>
      <c r="K174" s="3">
        <v>93</v>
      </c>
      <c r="L174" s="3" t="str">
        <f t="shared" si="2"/>
        <v>90-94</v>
      </c>
      <c r="M174" s="1" t="s">
        <v>21</v>
      </c>
    </row>
    <row r="175" spans="1:13" x14ac:dyDescent="0.35">
      <c r="A175">
        <v>172</v>
      </c>
      <c r="B175" s="1" t="s">
        <v>17</v>
      </c>
      <c r="C175" s="2">
        <v>2.9</v>
      </c>
      <c r="D175" s="3">
        <v>77</v>
      </c>
      <c r="E175" s="2">
        <v>6.8</v>
      </c>
      <c r="F175" s="1" t="s">
        <v>18</v>
      </c>
      <c r="G175" s="1" t="s">
        <v>19</v>
      </c>
      <c r="H175" s="1" t="s">
        <v>20</v>
      </c>
      <c r="I175" s="1" t="s">
        <v>20</v>
      </c>
      <c r="J175" s="2">
        <v>68.2</v>
      </c>
      <c r="K175" s="3">
        <v>72</v>
      </c>
      <c r="L175" s="3" t="str">
        <f t="shared" si="2"/>
        <v>70-74</v>
      </c>
      <c r="M175" s="1" t="s">
        <v>32</v>
      </c>
    </row>
    <row r="176" spans="1:13" x14ac:dyDescent="0.35">
      <c r="A176">
        <v>173</v>
      </c>
      <c r="B176" s="1" t="s">
        <v>17</v>
      </c>
      <c r="C176" s="2">
        <v>4.0999999999999996</v>
      </c>
      <c r="D176" s="3">
        <v>99.9</v>
      </c>
      <c r="E176" s="2">
        <v>7.2</v>
      </c>
      <c r="F176" s="1" t="s">
        <v>27</v>
      </c>
      <c r="G176" s="1" t="s">
        <v>19</v>
      </c>
      <c r="H176" s="1" t="s">
        <v>20</v>
      </c>
      <c r="I176" s="1" t="s">
        <v>20</v>
      </c>
      <c r="J176" s="2">
        <v>43.4</v>
      </c>
      <c r="K176" s="3">
        <v>79</v>
      </c>
      <c r="L176" s="3" t="str">
        <f t="shared" si="2"/>
        <v>75-79</v>
      </c>
      <c r="M176" s="1" t="s">
        <v>32</v>
      </c>
    </row>
    <row r="177" spans="1:13" x14ac:dyDescent="0.35">
      <c r="A177">
        <v>174</v>
      </c>
      <c r="B177" s="1" t="s">
        <v>23</v>
      </c>
      <c r="C177" s="2">
        <v>2.9</v>
      </c>
      <c r="D177" s="3">
        <v>82.3</v>
      </c>
      <c r="E177" s="2">
        <v>7.9</v>
      </c>
      <c r="F177" s="1" t="s">
        <v>24</v>
      </c>
      <c r="G177" s="1" t="s">
        <v>19</v>
      </c>
      <c r="H177" s="1" t="s">
        <v>19</v>
      </c>
      <c r="I177" s="1" t="s">
        <v>20</v>
      </c>
      <c r="J177" s="2">
        <v>53.2</v>
      </c>
      <c r="K177" s="3">
        <v>83</v>
      </c>
      <c r="L177" s="3" t="str">
        <f t="shared" si="2"/>
        <v>80-84</v>
      </c>
      <c r="M177" s="1" t="s">
        <v>28</v>
      </c>
    </row>
    <row r="178" spans="1:13" x14ac:dyDescent="0.35">
      <c r="A178">
        <v>175</v>
      </c>
      <c r="B178" s="1" t="s">
        <v>23</v>
      </c>
      <c r="C178" s="2">
        <v>3.9</v>
      </c>
      <c r="D178" s="3">
        <v>84.8</v>
      </c>
      <c r="E178" s="2">
        <v>5.6</v>
      </c>
      <c r="F178" s="1" t="s">
        <v>33</v>
      </c>
      <c r="G178" s="1" t="s">
        <v>19</v>
      </c>
      <c r="H178" s="1" t="s">
        <v>20</v>
      </c>
      <c r="I178" s="1" t="s">
        <v>20</v>
      </c>
      <c r="J178" s="2">
        <v>67</v>
      </c>
      <c r="K178" s="3">
        <v>79</v>
      </c>
      <c r="L178" s="3" t="str">
        <f t="shared" si="2"/>
        <v>75-79</v>
      </c>
      <c r="M178" s="1" t="s">
        <v>32</v>
      </c>
    </row>
    <row r="179" spans="1:13" x14ac:dyDescent="0.35">
      <c r="A179">
        <v>176</v>
      </c>
      <c r="B179" s="1" t="s">
        <v>23</v>
      </c>
      <c r="C179" s="2">
        <v>6.6</v>
      </c>
      <c r="D179" s="3">
        <v>77.5</v>
      </c>
      <c r="E179" s="2">
        <v>6.9</v>
      </c>
      <c r="F179" s="1" t="s">
        <v>18</v>
      </c>
      <c r="G179" s="1" t="s">
        <v>19</v>
      </c>
      <c r="H179" s="1" t="s">
        <v>19</v>
      </c>
      <c r="I179" s="1" t="s">
        <v>20</v>
      </c>
      <c r="J179" s="2">
        <v>56</v>
      </c>
      <c r="K179" s="3">
        <v>90</v>
      </c>
      <c r="L179" s="3" t="str">
        <f t="shared" si="2"/>
        <v>90-94</v>
      </c>
      <c r="M179" s="1" t="s">
        <v>28</v>
      </c>
    </row>
    <row r="180" spans="1:13" x14ac:dyDescent="0.35">
      <c r="A180">
        <v>177</v>
      </c>
      <c r="B180" s="1" t="s">
        <v>17</v>
      </c>
      <c r="C180" s="2">
        <v>4.8</v>
      </c>
      <c r="D180" s="3">
        <v>60.8</v>
      </c>
      <c r="E180" s="2">
        <v>5.7</v>
      </c>
      <c r="F180" s="1" t="s">
        <v>24</v>
      </c>
      <c r="G180" s="1" t="s">
        <v>19</v>
      </c>
      <c r="H180" s="1" t="s">
        <v>19</v>
      </c>
      <c r="I180" s="1" t="s">
        <v>20</v>
      </c>
      <c r="J180" s="2">
        <v>65</v>
      </c>
      <c r="K180" s="3">
        <v>89</v>
      </c>
      <c r="L180" s="3" t="str">
        <f t="shared" si="2"/>
        <v>85-89</v>
      </c>
      <c r="M180" s="1" t="s">
        <v>28</v>
      </c>
    </row>
    <row r="181" spans="1:13" x14ac:dyDescent="0.35">
      <c r="A181">
        <v>178</v>
      </c>
      <c r="B181" s="1" t="s">
        <v>17</v>
      </c>
      <c r="C181" s="2">
        <v>3</v>
      </c>
      <c r="D181" s="3">
        <v>93.8</v>
      </c>
      <c r="E181" s="2">
        <v>7.1</v>
      </c>
      <c r="F181" s="1" t="s">
        <v>24</v>
      </c>
      <c r="G181" s="1" t="s">
        <v>20</v>
      </c>
      <c r="H181" s="1" t="s">
        <v>19</v>
      </c>
      <c r="I181" s="1" t="s">
        <v>20</v>
      </c>
      <c r="J181" s="2">
        <v>70.400000000000006</v>
      </c>
      <c r="K181" s="3">
        <v>82</v>
      </c>
      <c r="L181" s="3" t="str">
        <f t="shared" si="2"/>
        <v>80-84</v>
      </c>
      <c r="M181" s="1" t="s">
        <v>28</v>
      </c>
    </row>
    <row r="182" spans="1:13" x14ac:dyDescent="0.35">
      <c r="A182">
        <v>179</v>
      </c>
      <c r="B182" s="1" t="s">
        <v>17</v>
      </c>
      <c r="C182" s="2">
        <v>5.3</v>
      </c>
      <c r="D182" s="3">
        <v>92.4</v>
      </c>
      <c r="E182" s="2">
        <v>5.7</v>
      </c>
      <c r="F182" s="1" t="s">
        <v>27</v>
      </c>
      <c r="G182" s="1" t="s">
        <v>19</v>
      </c>
      <c r="H182" s="1" t="s">
        <v>20</v>
      </c>
      <c r="I182" s="1" t="s">
        <v>20</v>
      </c>
      <c r="J182" s="2">
        <v>87.5</v>
      </c>
      <c r="K182" s="3">
        <v>97</v>
      </c>
      <c r="L182" s="3" t="str">
        <f t="shared" si="2"/>
        <v>95-100</v>
      </c>
      <c r="M182" s="1" t="s">
        <v>21</v>
      </c>
    </row>
    <row r="183" spans="1:13" x14ac:dyDescent="0.35">
      <c r="A183">
        <v>180</v>
      </c>
      <c r="B183" s="1" t="s">
        <v>17</v>
      </c>
      <c r="C183" s="2">
        <v>2.9</v>
      </c>
      <c r="D183" s="3">
        <v>82.2</v>
      </c>
      <c r="E183" s="2">
        <v>6.3</v>
      </c>
      <c r="F183" s="1" t="s">
        <v>34</v>
      </c>
      <c r="G183" s="1" t="s">
        <v>19</v>
      </c>
      <c r="H183" s="1" t="s">
        <v>20</v>
      </c>
      <c r="I183" s="1" t="s">
        <v>20</v>
      </c>
      <c r="J183" s="2">
        <v>66.5</v>
      </c>
      <c r="K183" s="3">
        <v>74</v>
      </c>
      <c r="L183" s="3" t="str">
        <f t="shared" si="2"/>
        <v>70-74</v>
      </c>
      <c r="M183" s="1" t="s">
        <v>32</v>
      </c>
    </row>
    <row r="184" spans="1:13" x14ac:dyDescent="0.35">
      <c r="A184">
        <v>181</v>
      </c>
      <c r="B184" s="1" t="s">
        <v>17</v>
      </c>
      <c r="C184" s="2">
        <v>0.5</v>
      </c>
      <c r="D184" s="3">
        <v>85.7</v>
      </c>
      <c r="E184" s="2">
        <v>5.6</v>
      </c>
      <c r="F184" s="1" t="s">
        <v>27</v>
      </c>
      <c r="G184" s="1" t="s">
        <v>19</v>
      </c>
      <c r="H184" s="1" t="s">
        <v>20</v>
      </c>
      <c r="I184" s="1" t="s">
        <v>20</v>
      </c>
      <c r="J184" s="2">
        <v>82.9</v>
      </c>
      <c r="K184" s="3">
        <v>77</v>
      </c>
      <c r="L184" s="3" t="str">
        <f t="shared" si="2"/>
        <v>75-79</v>
      </c>
      <c r="M184" s="1" t="s">
        <v>32</v>
      </c>
    </row>
    <row r="185" spans="1:13" x14ac:dyDescent="0.35">
      <c r="A185">
        <v>182</v>
      </c>
      <c r="B185" s="1" t="s">
        <v>17</v>
      </c>
      <c r="C185" s="2">
        <v>2</v>
      </c>
      <c r="D185" s="3">
        <v>90.2</v>
      </c>
      <c r="E185" s="2">
        <v>7.6</v>
      </c>
      <c r="F185" s="1" t="s">
        <v>27</v>
      </c>
      <c r="G185" s="1" t="s">
        <v>19</v>
      </c>
      <c r="H185" s="1" t="s">
        <v>20</v>
      </c>
      <c r="I185" s="1" t="s">
        <v>19</v>
      </c>
      <c r="J185" s="2">
        <v>87.1</v>
      </c>
      <c r="K185" s="3">
        <v>77</v>
      </c>
      <c r="L185" s="3" t="str">
        <f t="shared" si="2"/>
        <v>75-79</v>
      </c>
      <c r="M185" s="1" t="s">
        <v>32</v>
      </c>
    </row>
    <row r="186" spans="1:13" x14ac:dyDescent="0.35">
      <c r="A186">
        <v>183</v>
      </c>
      <c r="B186" s="1" t="s">
        <v>23</v>
      </c>
      <c r="C186" s="2">
        <v>0.7</v>
      </c>
      <c r="D186" s="3">
        <v>69.400000000000006</v>
      </c>
      <c r="E186" s="2">
        <v>7.8</v>
      </c>
      <c r="F186" s="1" t="s">
        <v>24</v>
      </c>
      <c r="G186" s="1" t="s">
        <v>19</v>
      </c>
      <c r="H186" s="1" t="s">
        <v>20</v>
      </c>
      <c r="I186" s="1" t="s">
        <v>20</v>
      </c>
      <c r="J186" s="2">
        <v>87.2</v>
      </c>
      <c r="K186" s="3">
        <v>73</v>
      </c>
      <c r="L186" s="3" t="str">
        <f t="shared" si="2"/>
        <v>70-74</v>
      </c>
      <c r="M186" s="1" t="s">
        <v>32</v>
      </c>
    </row>
    <row r="187" spans="1:13" x14ac:dyDescent="0.35">
      <c r="A187">
        <v>184</v>
      </c>
      <c r="B187" s="1" t="s">
        <v>17</v>
      </c>
      <c r="C187" s="2">
        <v>3</v>
      </c>
      <c r="D187" s="3">
        <v>79.7</v>
      </c>
      <c r="E187" s="2">
        <v>6.5</v>
      </c>
      <c r="F187" s="1" t="s">
        <v>18</v>
      </c>
      <c r="G187" s="1" t="s">
        <v>19</v>
      </c>
      <c r="H187" s="1" t="s">
        <v>20</v>
      </c>
      <c r="I187" s="1" t="s">
        <v>20</v>
      </c>
      <c r="J187" s="2">
        <v>73.400000000000006</v>
      </c>
      <c r="K187" s="3">
        <v>84</v>
      </c>
      <c r="L187" s="3" t="str">
        <f t="shared" si="2"/>
        <v>80-84</v>
      </c>
      <c r="M187" s="1" t="s">
        <v>28</v>
      </c>
    </row>
    <row r="188" spans="1:13" x14ac:dyDescent="0.35">
      <c r="A188">
        <v>185</v>
      </c>
      <c r="B188" s="1" t="s">
        <v>17</v>
      </c>
      <c r="C188" s="2">
        <v>3.5</v>
      </c>
      <c r="D188" s="3">
        <v>92.9</v>
      </c>
      <c r="E188" s="2">
        <v>6.8</v>
      </c>
      <c r="F188" s="1" t="s">
        <v>33</v>
      </c>
      <c r="G188" s="1" t="s">
        <v>19</v>
      </c>
      <c r="H188" s="1" t="s">
        <v>20</v>
      </c>
      <c r="I188" s="1" t="s">
        <v>20</v>
      </c>
      <c r="J188" s="2">
        <v>46.4</v>
      </c>
      <c r="K188" s="3">
        <v>86</v>
      </c>
      <c r="L188" s="3" t="str">
        <f t="shared" si="2"/>
        <v>85-89</v>
      </c>
      <c r="M188" s="1" t="s">
        <v>28</v>
      </c>
    </row>
    <row r="189" spans="1:13" x14ac:dyDescent="0.35">
      <c r="A189">
        <v>186</v>
      </c>
      <c r="B189" s="1" t="s">
        <v>17</v>
      </c>
      <c r="C189" s="2">
        <v>6</v>
      </c>
      <c r="D189" s="3">
        <v>72.5</v>
      </c>
      <c r="E189" s="2">
        <v>5.0999999999999996</v>
      </c>
      <c r="F189" s="1" t="s">
        <v>18</v>
      </c>
      <c r="G189" s="1" t="s">
        <v>19</v>
      </c>
      <c r="H189" s="1" t="s">
        <v>20</v>
      </c>
      <c r="I189" s="1" t="s">
        <v>20</v>
      </c>
      <c r="J189" s="2">
        <v>75.5</v>
      </c>
      <c r="K189" s="3">
        <v>96</v>
      </c>
      <c r="L189" s="3" t="str">
        <f t="shared" si="2"/>
        <v>95-100</v>
      </c>
      <c r="M189" s="1" t="s">
        <v>21</v>
      </c>
    </row>
    <row r="190" spans="1:13" x14ac:dyDescent="0.35">
      <c r="A190">
        <v>187</v>
      </c>
      <c r="B190" s="1" t="s">
        <v>23</v>
      </c>
      <c r="C190" s="2">
        <v>4</v>
      </c>
      <c r="D190" s="3">
        <v>87.9</v>
      </c>
      <c r="E190" s="2">
        <v>6.4</v>
      </c>
      <c r="F190" s="1" t="s">
        <v>18</v>
      </c>
      <c r="G190" s="1" t="s">
        <v>19</v>
      </c>
      <c r="H190" s="1" t="s">
        <v>19</v>
      </c>
      <c r="I190" s="1" t="s">
        <v>20</v>
      </c>
      <c r="J190" s="2">
        <v>82.6</v>
      </c>
      <c r="K190" s="3">
        <v>89</v>
      </c>
      <c r="L190" s="3" t="str">
        <f t="shared" si="2"/>
        <v>85-89</v>
      </c>
      <c r="M190" s="1" t="s">
        <v>28</v>
      </c>
    </row>
    <row r="191" spans="1:13" x14ac:dyDescent="0.35">
      <c r="A191">
        <v>188</v>
      </c>
      <c r="B191" s="1" t="s">
        <v>17</v>
      </c>
      <c r="C191" s="2">
        <v>3.2</v>
      </c>
      <c r="D191" s="3">
        <v>71.400000000000006</v>
      </c>
      <c r="E191" s="2">
        <v>6.7</v>
      </c>
      <c r="F191" s="1" t="s">
        <v>18</v>
      </c>
      <c r="G191" s="1" t="s">
        <v>19</v>
      </c>
      <c r="H191" s="1" t="s">
        <v>19</v>
      </c>
      <c r="I191" s="1" t="s">
        <v>19</v>
      </c>
      <c r="J191" s="2">
        <v>69</v>
      </c>
      <c r="K191" s="3">
        <v>83</v>
      </c>
      <c r="L191" s="3" t="str">
        <f t="shared" si="2"/>
        <v>80-84</v>
      </c>
      <c r="M191" s="1" t="s">
        <v>28</v>
      </c>
    </row>
    <row r="192" spans="1:13" x14ac:dyDescent="0.35">
      <c r="A192">
        <v>189</v>
      </c>
      <c r="B192" s="1" t="s">
        <v>17</v>
      </c>
      <c r="C192" s="2">
        <v>4.7</v>
      </c>
      <c r="D192" s="3">
        <v>89.7</v>
      </c>
      <c r="E192" s="2">
        <v>9.9</v>
      </c>
      <c r="F192" s="1" t="s">
        <v>18</v>
      </c>
      <c r="G192" s="1" t="s">
        <v>19</v>
      </c>
      <c r="H192" s="1" t="s">
        <v>19</v>
      </c>
      <c r="I192" s="1" t="s">
        <v>20</v>
      </c>
      <c r="J192" s="2">
        <v>90.9</v>
      </c>
      <c r="K192" s="3">
        <v>100</v>
      </c>
      <c r="L192" s="3" t="str">
        <f t="shared" si="2"/>
        <v>95-100</v>
      </c>
      <c r="M192" s="1" t="s">
        <v>21</v>
      </c>
    </row>
    <row r="193" spans="1:13" x14ac:dyDescent="0.35">
      <c r="A193">
        <v>190</v>
      </c>
      <c r="B193" s="1" t="s">
        <v>23</v>
      </c>
      <c r="C193" s="2">
        <v>0.5</v>
      </c>
      <c r="D193" s="3">
        <v>84.6</v>
      </c>
      <c r="E193" s="2">
        <v>5.5</v>
      </c>
      <c r="F193" s="1" t="s">
        <v>18</v>
      </c>
      <c r="G193" s="1" t="s">
        <v>19</v>
      </c>
      <c r="H193" s="1" t="s">
        <v>19</v>
      </c>
      <c r="I193" s="1" t="s">
        <v>20</v>
      </c>
      <c r="J193" s="2">
        <v>80.3</v>
      </c>
      <c r="K193" s="3">
        <v>67</v>
      </c>
      <c r="L193" s="3" t="str">
        <f t="shared" si="2"/>
        <v>65-69</v>
      </c>
      <c r="M193" s="1" t="s">
        <v>30</v>
      </c>
    </row>
    <row r="194" spans="1:13" x14ac:dyDescent="0.35">
      <c r="A194">
        <v>191</v>
      </c>
      <c r="B194" s="1" t="s">
        <v>17</v>
      </c>
      <c r="C194" s="2">
        <v>3.9</v>
      </c>
      <c r="D194" s="3">
        <v>68.8</v>
      </c>
      <c r="E194" s="2">
        <v>8.6</v>
      </c>
      <c r="F194" s="1" t="s">
        <v>24</v>
      </c>
      <c r="G194" s="1" t="s">
        <v>19</v>
      </c>
      <c r="H194" s="1" t="s">
        <v>20</v>
      </c>
      <c r="I194" s="1" t="s">
        <v>20</v>
      </c>
      <c r="J194" s="2">
        <v>76.8</v>
      </c>
      <c r="K194" s="3">
        <v>85</v>
      </c>
      <c r="L194" s="3" t="str">
        <f t="shared" si="2"/>
        <v>85-89</v>
      </c>
      <c r="M194" s="1" t="s">
        <v>28</v>
      </c>
    </row>
    <row r="195" spans="1:13" x14ac:dyDescent="0.35">
      <c r="A195">
        <v>192</v>
      </c>
      <c r="B195" s="1" t="s">
        <v>17</v>
      </c>
      <c r="C195" s="2">
        <v>4.7</v>
      </c>
      <c r="D195" s="3">
        <v>96.6</v>
      </c>
      <c r="E195" s="2">
        <v>8</v>
      </c>
      <c r="F195" s="1" t="s">
        <v>18</v>
      </c>
      <c r="G195" s="1" t="s">
        <v>19</v>
      </c>
      <c r="H195" s="1" t="s">
        <v>19</v>
      </c>
      <c r="I195" s="1" t="s">
        <v>19</v>
      </c>
      <c r="J195" s="2">
        <v>83</v>
      </c>
      <c r="K195" s="3">
        <v>100</v>
      </c>
      <c r="L195" s="3" t="str">
        <f t="shared" si="2"/>
        <v>95-100</v>
      </c>
      <c r="M195" s="1" t="s">
        <v>21</v>
      </c>
    </row>
    <row r="196" spans="1:13" x14ac:dyDescent="0.35">
      <c r="A196">
        <v>193</v>
      </c>
      <c r="B196" s="1" t="s">
        <v>17</v>
      </c>
      <c r="C196" s="2">
        <v>1.3</v>
      </c>
      <c r="D196" s="3">
        <v>77.7</v>
      </c>
      <c r="E196" s="2">
        <v>7.1</v>
      </c>
      <c r="F196" s="1" t="s">
        <v>18</v>
      </c>
      <c r="G196" s="1" t="s">
        <v>19</v>
      </c>
      <c r="H196" s="1" t="s">
        <v>20</v>
      </c>
      <c r="I196" s="1" t="s">
        <v>20</v>
      </c>
      <c r="J196" s="2">
        <v>74</v>
      </c>
      <c r="K196" s="3">
        <v>75</v>
      </c>
      <c r="L196" s="3" t="str">
        <f t="shared" si="2"/>
        <v>75-79</v>
      </c>
      <c r="M196" s="1" t="s">
        <v>32</v>
      </c>
    </row>
    <row r="197" spans="1:13" x14ac:dyDescent="0.35">
      <c r="A197">
        <v>194</v>
      </c>
      <c r="B197" s="1" t="s">
        <v>17</v>
      </c>
      <c r="C197" s="2">
        <v>5.2</v>
      </c>
      <c r="D197" s="3">
        <v>76.900000000000006</v>
      </c>
      <c r="E197" s="2">
        <v>8.9</v>
      </c>
      <c r="F197" s="1" t="s">
        <v>18</v>
      </c>
      <c r="G197" s="1" t="s">
        <v>19</v>
      </c>
      <c r="H197" s="1" t="s">
        <v>19</v>
      </c>
      <c r="I197" s="1" t="s">
        <v>20</v>
      </c>
      <c r="J197" s="2">
        <v>40.1</v>
      </c>
      <c r="K197" s="3">
        <v>81</v>
      </c>
      <c r="L197" s="3" t="str">
        <f t="shared" ref="L197:L260" si="3">IF(K197&gt;=95,"95-100",IF(K197&gt;=90,"90-94",IF(K197&gt;=85,"85-89",IF(K197&gt;=80,"80-84",IF(K197&gt;=75,"75-79",IF(K197&gt;=70,"70-74",IF(K197&gt;=65,"65-69",IF(K197&gt;=60,"60-64",IF(K197&gt;=55,"55-59","Below 55")))))))))</f>
        <v>80-84</v>
      </c>
      <c r="M197" s="1" t="s">
        <v>28</v>
      </c>
    </row>
    <row r="198" spans="1:13" x14ac:dyDescent="0.35">
      <c r="A198">
        <v>195</v>
      </c>
      <c r="B198" s="1" t="s">
        <v>17</v>
      </c>
      <c r="C198" s="2">
        <v>4</v>
      </c>
      <c r="D198" s="3">
        <v>87</v>
      </c>
      <c r="E198" s="2">
        <v>7.2</v>
      </c>
      <c r="F198" s="1" t="s">
        <v>24</v>
      </c>
      <c r="G198" s="1" t="s">
        <v>19</v>
      </c>
      <c r="H198" s="1" t="s">
        <v>19</v>
      </c>
      <c r="I198" s="1" t="s">
        <v>20</v>
      </c>
      <c r="J198" s="2">
        <v>64</v>
      </c>
      <c r="K198" s="3">
        <v>97</v>
      </c>
      <c r="L198" s="3" t="str">
        <f t="shared" si="3"/>
        <v>95-100</v>
      </c>
      <c r="M198" s="1" t="s">
        <v>21</v>
      </c>
    </row>
    <row r="199" spans="1:13" x14ac:dyDescent="0.35">
      <c r="A199">
        <v>196</v>
      </c>
      <c r="B199" s="1" t="s">
        <v>23</v>
      </c>
      <c r="C199" s="2">
        <v>2.9</v>
      </c>
      <c r="D199" s="3">
        <v>96.5</v>
      </c>
      <c r="E199" s="2">
        <v>7.3</v>
      </c>
      <c r="F199" s="1" t="s">
        <v>33</v>
      </c>
      <c r="G199" s="1" t="s">
        <v>20</v>
      </c>
      <c r="H199" s="1" t="s">
        <v>19</v>
      </c>
      <c r="I199" s="1" t="s">
        <v>20</v>
      </c>
      <c r="J199" s="2">
        <v>84.4</v>
      </c>
      <c r="K199" s="3">
        <v>80</v>
      </c>
      <c r="L199" s="3" t="str">
        <f t="shared" si="3"/>
        <v>80-84</v>
      </c>
      <c r="M199" s="1" t="s">
        <v>32</v>
      </c>
    </row>
    <row r="200" spans="1:13" x14ac:dyDescent="0.35">
      <c r="A200">
        <v>197</v>
      </c>
      <c r="B200" s="1" t="s">
        <v>23</v>
      </c>
      <c r="C200" s="2">
        <v>4.4000000000000004</v>
      </c>
      <c r="D200" s="3">
        <v>74.8</v>
      </c>
      <c r="E200" s="2">
        <v>6.7</v>
      </c>
      <c r="F200" s="1" t="s">
        <v>24</v>
      </c>
      <c r="G200" s="1" t="s">
        <v>19</v>
      </c>
      <c r="H200" s="1" t="s">
        <v>20</v>
      </c>
      <c r="I200" s="1" t="s">
        <v>20</v>
      </c>
      <c r="J200" s="2">
        <v>60.3</v>
      </c>
      <c r="K200" s="3">
        <v>73</v>
      </c>
      <c r="L200" s="3" t="str">
        <f t="shared" si="3"/>
        <v>70-74</v>
      </c>
      <c r="M200" s="1" t="s">
        <v>32</v>
      </c>
    </row>
    <row r="201" spans="1:13" x14ac:dyDescent="0.35">
      <c r="A201">
        <v>198</v>
      </c>
      <c r="B201" s="1" t="s">
        <v>23</v>
      </c>
      <c r="C201" s="2">
        <v>6.9</v>
      </c>
      <c r="D201" s="3">
        <v>85.6</v>
      </c>
      <c r="E201" s="2">
        <v>8.3000000000000007</v>
      </c>
      <c r="F201" s="1" t="s">
        <v>18</v>
      </c>
      <c r="G201" s="1" t="s">
        <v>19</v>
      </c>
      <c r="H201" s="1" t="s">
        <v>19</v>
      </c>
      <c r="I201" s="1" t="s">
        <v>20</v>
      </c>
      <c r="J201" s="2">
        <v>67.3</v>
      </c>
      <c r="K201" s="3">
        <v>92</v>
      </c>
      <c r="L201" s="3" t="str">
        <f t="shared" si="3"/>
        <v>90-94</v>
      </c>
      <c r="M201" s="1" t="s">
        <v>21</v>
      </c>
    </row>
    <row r="202" spans="1:13" x14ac:dyDescent="0.35">
      <c r="A202">
        <v>199</v>
      </c>
      <c r="B202" s="1" t="s">
        <v>17</v>
      </c>
      <c r="C202" s="2">
        <v>3.8</v>
      </c>
      <c r="D202" s="3">
        <v>89.3</v>
      </c>
      <c r="E202" s="2">
        <v>8.1</v>
      </c>
      <c r="F202" s="1" t="s">
        <v>33</v>
      </c>
      <c r="G202" s="1" t="s">
        <v>19</v>
      </c>
      <c r="H202" s="1" t="s">
        <v>19</v>
      </c>
      <c r="I202" s="1" t="s">
        <v>20</v>
      </c>
      <c r="J202" s="2">
        <v>57.5</v>
      </c>
      <c r="K202" s="3">
        <v>87</v>
      </c>
      <c r="L202" s="3" t="str">
        <f t="shared" si="3"/>
        <v>85-89</v>
      </c>
      <c r="M202" s="1" t="s">
        <v>28</v>
      </c>
    </row>
    <row r="203" spans="1:13" x14ac:dyDescent="0.35">
      <c r="A203">
        <v>200</v>
      </c>
      <c r="B203" s="1" t="s">
        <v>17</v>
      </c>
      <c r="C203" s="2">
        <v>3.9</v>
      </c>
      <c r="D203" s="3">
        <v>91.9</v>
      </c>
      <c r="E203" s="2">
        <v>6</v>
      </c>
      <c r="F203" s="1" t="s">
        <v>18</v>
      </c>
      <c r="G203" s="1" t="s">
        <v>20</v>
      </c>
      <c r="H203" s="1" t="s">
        <v>20</v>
      </c>
      <c r="I203" s="1" t="s">
        <v>20</v>
      </c>
      <c r="J203" s="2">
        <v>91.4</v>
      </c>
      <c r="K203" s="3">
        <v>93</v>
      </c>
      <c r="L203" s="3" t="str">
        <f t="shared" si="3"/>
        <v>90-94</v>
      </c>
      <c r="M203" s="1" t="s">
        <v>21</v>
      </c>
    </row>
    <row r="204" spans="1:13" x14ac:dyDescent="0.35">
      <c r="A204">
        <v>201</v>
      </c>
      <c r="B204" s="1" t="s">
        <v>17</v>
      </c>
      <c r="C204" s="2">
        <v>2.8</v>
      </c>
      <c r="D204" s="3">
        <v>86.8</v>
      </c>
      <c r="E204" s="2">
        <v>5.2</v>
      </c>
      <c r="F204" s="1" t="s">
        <v>24</v>
      </c>
      <c r="G204" s="1" t="s">
        <v>19</v>
      </c>
      <c r="H204" s="1" t="s">
        <v>20</v>
      </c>
      <c r="I204" s="1" t="s">
        <v>19</v>
      </c>
      <c r="J204" s="2">
        <v>90.2</v>
      </c>
      <c r="K204" s="3">
        <v>95</v>
      </c>
      <c r="L204" s="3" t="str">
        <f t="shared" si="3"/>
        <v>95-100</v>
      </c>
      <c r="M204" s="1" t="s">
        <v>21</v>
      </c>
    </row>
    <row r="205" spans="1:13" x14ac:dyDescent="0.35">
      <c r="A205">
        <v>202</v>
      </c>
      <c r="B205" s="1" t="s">
        <v>23</v>
      </c>
      <c r="C205" s="2">
        <v>2.2000000000000002</v>
      </c>
      <c r="D205" s="3">
        <v>81.3</v>
      </c>
      <c r="E205" s="2">
        <v>6.6</v>
      </c>
      <c r="F205" s="1" t="s">
        <v>33</v>
      </c>
      <c r="G205" s="1" t="s">
        <v>19</v>
      </c>
      <c r="H205" s="1" t="s">
        <v>19</v>
      </c>
      <c r="I205" s="1" t="s">
        <v>20</v>
      </c>
      <c r="J205" s="2">
        <v>59.4</v>
      </c>
      <c r="K205" s="3">
        <v>76</v>
      </c>
      <c r="L205" s="3" t="str">
        <f t="shared" si="3"/>
        <v>75-79</v>
      </c>
      <c r="M205" s="1" t="s">
        <v>32</v>
      </c>
    </row>
    <row r="206" spans="1:13" x14ac:dyDescent="0.35">
      <c r="A206">
        <v>203</v>
      </c>
      <c r="B206" s="1" t="s">
        <v>17</v>
      </c>
      <c r="C206" s="2">
        <v>4.7</v>
      </c>
      <c r="D206" s="3">
        <v>76.7</v>
      </c>
      <c r="E206" s="2">
        <v>5.8</v>
      </c>
      <c r="F206" s="1" t="s">
        <v>18</v>
      </c>
      <c r="G206" s="1" t="s">
        <v>19</v>
      </c>
      <c r="H206" s="1" t="s">
        <v>19</v>
      </c>
      <c r="I206" s="1" t="s">
        <v>20</v>
      </c>
      <c r="J206" s="2">
        <v>71.8</v>
      </c>
      <c r="K206" s="3">
        <v>85</v>
      </c>
      <c r="L206" s="3" t="str">
        <f t="shared" si="3"/>
        <v>85-89</v>
      </c>
      <c r="M206" s="1" t="s">
        <v>28</v>
      </c>
    </row>
    <row r="207" spans="1:13" x14ac:dyDescent="0.35">
      <c r="A207">
        <v>204</v>
      </c>
      <c r="B207" s="1" t="s">
        <v>17</v>
      </c>
      <c r="C207" s="2">
        <v>2.2000000000000002</v>
      </c>
      <c r="D207" s="3">
        <v>85.9</v>
      </c>
      <c r="E207" s="2">
        <v>6.7</v>
      </c>
      <c r="F207" s="1" t="s">
        <v>33</v>
      </c>
      <c r="G207" s="1" t="s">
        <v>19</v>
      </c>
      <c r="H207" s="1" t="s">
        <v>19</v>
      </c>
      <c r="I207" s="1" t="s">
        <v>20</v>
      </c>
      <c r="J207" s="2">
        <v>61.8</v>
      </c>
      <c r="K207" s="3">
        <v>77</v>
      </c>
      <c r="L207" s="3" t="str">
        <f t="shared" si="3"/>
        <v>75-79</v>
      </c>
      <c r="M207" s="1" t="s">
        <v>32</v>
      </c>
    </row>
    <row r="208" spans="1:13" x14ac:dyDescent="0.35">
      <c r="A208">
        <v>205</v>
      </c>
      <c r="B208" s="1" t="s">
        <v>23</v>
      </c>
      <c r="C208" s="2">
        <v>3.6</v>
      </c>
      <c r="D208" s="3">
        <v>74.3</v>
      </c>
      <c r="E208" s="2">
        <v>8.3000000000000007</v>
      </c>
      <c r="F208" s="1" t="s">
        <v>33</v>
      </c>
      <c r="G208" s="1" t="s">
        <v>19</v>
      </c>
      <c r="H208" s="1" t="s">
        <v>20</v>
      </c>
      <c r="I208" s="1" t="s">
        <v>20</v>
      </c>
      <c r="J208" s="2">
        <v>77.400000000000006</v>
      </c>
      <c r="K208" s="3">
        <v>87</v>
      </c>
      <c r="L208" s="3" t="str">
        <f t="shared" si="3"/>
        <v>85-89</v>
      </c>
      <c r="M208" s="1" t="s">
        <v>28</v>
      </c>
    </row>
    <row r="209" spans="1:13" x14ac:dyDescent="0.35">
      <c r="A209">
        <v>206</v>
      </c>
      <c r="B209" s="1" t="s">
        <v>17</v>
      </c>
      <c r="C209" s="2">
        <v>2.8</v>
      </c>
      <c r="D209" s="3">
        <v>55.8</v>
      </c>
      <c r="E209" s="2">
        <v>6.3</v>
      </c>
      <c r="F209" s="1" t="s">
        <v>18</v>
      </c>
      <c r="G209" s="1" t="s">
        <v>19</v>
      </c>
      <c r="H209" s="1" t="s">
        <v>19</v>
      </c>
      <c r="I209" s="1" t="s">
        <v>19</v>
      </c>
      <c r="J209" s="2">
        <v>76.099999999999994</v>
      </c>
      <c r="K209" s="3">
        <v>61</v>
      </c>
      <c r="L209" s="3" t="str">
        <f t="shared" si="3"/>
        <v>60-64</v>
      </c>
      <c r="M209" s="1" t="s">
        <v>30</v>
      </c>
    </row>
    <row r="210" spans="1:13" x14ac:dyDescent="0.35">
      <c r="A210">
        <v>207</v>
      </c>
      <c r="B210" s="1" t="s">
        <v>23</v>
      </c>
      <c r="C210" s="2">
        <v>4.2</v>
      </c>
      <c r="D210" s="3">
        <v>89.4</v>
      </c>
      <c r="E210" s="2">
        <v>6.7</v>
      </c>
      <c r="F210" s="1" t="s">
        <v>18</v>
      </c>
      <c r="G210" s="1" t="s">
        <v>19</v>
      </c>
      <c r="H210" s="1" t="s">
        <v>19</v>
      </c>
      <c r="I210" s="1" t="s">
        <v>19</v>
      </c>
      <c r="J210" s="2">
        <v>79.7</v>
      </c>
      <c r="K210" s="3">
        <v>100</v>
      </c>
      <c r="L210" s="3" t="str">
        <f t="shared" si="3"/>
        <v>95-100</v>
      </c>
      <c r="M210" s="1" t="s">
        <v>21</v>
      </c>
    </row>
    <row r="211" spans="1:13" x14ac:dyDescent="0.35">
      <c r="A211">
        <v>208</v>
      </c>
      <c r="B211" s="1" t="s">
        <v>23</v>
      </c>
      <c r="C211" s="2">
        <v>4</v>
      </c>
      <c r="D211" s="3">
        <v>94</v>
      </c>
      <c r="E211" s="2">
        <v>6.9</v>
      </c>
      <c r="F211" s="1" t="s">
        <v>24</v>
      </c>
      <c r="G211" s="1" t="s">
        <v>20</v>
      </c>
      <c r="H211" s="1" t="s">
        <v>19</v>
      </c>
      <c r="I211" s="1" t="s">
        <v>20</v>
      </c>
      <c r="J211" s="2">
        <v>74</v>
      </c>
      <c r="K211" s="3">
        <v>91</v>
      </c>
      <c r="L211" s="3" t="str">
        <f t="shared" si="3"/>
        <v>90-94</v>
      </c>
      <c r="M211" s="1" t="s">
        <v>21</v>
      </c>
    </row>
    <row r="212" spans="1:13" x14ac:dyDescent="0.35">
      <c r="A212">
        <v>209</v>
      </c>
      <c r="B212" s="1" t="s">
        <v>23</v>
      </c>
      <c r="C212" s="2">
        <v>5.0999999999999996</v>
      </c>
      <c r="D212" s="3">
        <v>61.4</v>
      </c>
      <c r="E212" s="2">
        <v>7.8</v>
      </c>
      <c r="F212" s="1" t="s">
        <v>24</v>
      </c>
      <c r="G212" s="1" t="s">
        <v>19</v>
      </c>
      <c r="H212" s="1" t="s">
        <v>19</v>
      </c>
      <c r="I212" s="1" t="s">
        <v>19</v>
      </c>
      <c r="J212" s="2">
        <v>100</v>
      </c>
      <c r="K212" s="3">
        <v>96</v>
      </c>
      <c r="L212" s="3" t="str">
        <f t="shared" si="3"/>
        <v>95-100</v>
      </c>
      <c r="M212" s="1" t="s">
        <v>21</v>
      </c>
    </row>
    <row r="213" spans="1:13" x14ac:dyDescent="0.35">
      <c r="A213">
        <v>210</v>
      </c>
      <c r="B213" s="1" t="s">
        <v>17</v>
      </c>
      <c r="C213" s="2">
        <v>2.7</v>
      </c>
      <c r="D213" s="3">
        <v>74.900000000000006</v>
      </c>
      <c r="E213" s="2">
        <v>4.0999999999999996</v>
      </c>
      <c r="F213" s="1" t="s">
        <v>18</v>
      </c>
      <c r="G213" s="1" t="s">
        <v>19</v>
      </c>
      <c r="H213" s="1" t="s">
        <v>20</v>
      </c>
      <c r="I213" s="1" t="s">
        <v>20</v>
      </c>
      <c r="J213" s="2">
        <v>57.7</v>
      </c>
      <c r="K213" s="3">
        <v>73</v>
      </c>
      <c r="L213" s="3" t="str">
        <f t="shared" si="3"/>
        <v>70-74</v>
      </c>
      <c r="M213" s="1" t="s">
        <v>32</v>
      </c>
    </row>
    <row r="214" spans="1:13" x14ac:dyDescent="0.35">
      <c r="A214">
        <v>211</v>
      </c>
      <c r="B214" s="1" t="s">
        <v>17</v>
      </c>
      <c r="C214" s="2">
        <v>3.1</v>
      </c>
      <c r="D214" s="3">
        <v>91.2</v>
      </c>
      <c r="E214" s="2">
        <v>6.1</v>
      </c>
      <c r="F214" s="1" t="s">
        <v>18</v>
      </c>
      <c r="G214" s="1" t="s">
        <v>19</v>
      </c>
      <c r="H214" s="1" t="s">
        <v>19</v>
      </c>
      <c r="I214" s="1" t="s">
        <v>20</v>
      </c>
      <c r="J214" s="2">
        <v>49.5</v>
      </c>
      <c r="K214" s="3">
        <v>81</v>
      </c>
      <c r="L214" s="3" t="str">
        <f t="shared" si="3"/>
        <v>80-84</v>
      </c>
      <c r="M214" s="1" t="s">
        <v>28</v>
      </c>
    </row>
    <row r="215" spans="1:13" x14ac:dyDescent="0.35">
      <c r="A215">
        <v>212</v>
      </c>
      <c r="B215" s="1" t="s">
        <v>17</v>
      </c>
      <c r="C215" s="2">
        <v>2</v>
      </c>
      <c r="D215" s="3">
        <v>100</v>
      </c>
      <c r="E215" s="2">
        <v>7.1</v>
      </c>
      <c r="F215" s="1" t="s">
        <v>18</v>
      </c>
      <c r="G215" s="1" t="s">
        <v>19</v>
      </c>
      <c r="H215" s="1" t="s">
        <v>19</v>
      </c>
      <c r="I215" s="1" t="s">
        <v>20</v>
      </c>
      <c r="J215" s="2">
        <v>65.3</v>
      </c>
      <c r="K215" s="3">
        <v>82</v>
      </c>
      <c r="L215" s="3" t="str">
        <f t="shared" si="3"/>
        <v>80-84</v>
      </c>
      <c r="M215" s="1" t="s">
        <v>28</v>
      </c>
    </row>
    <row r="216" spans="1:13" x14ac:dyDescent="0.35">
      <c r="A216">
        <v>213</v>
      </c>
      <c r="B216" s="1" t="s">
        <v>17</v>
      </c>
      <c r="C216" s="2">
        <v>2.8</v>
      </c>
      <c r="D216" s="3">
        <v>85.2</v>
      </c>
      <c r="E216" s="2">
        <v>8.1999999999999993</v>
      </c>
      <c r="F216" s="1" t="s">
        <v>24</v>
      </c>
      <c r="G216" s="1" t="s">
        <v>19</v>
      </c>
      <c r="H216" s="1" t="s">
        <v>19</v>
      </c>
      <c r="I216" s="1" t="s">
        <v>19</v>
      </c>
      <c r="J216" s="2">
        <v>51.2</v>
      </c>
      <c r="K216" s="3">
        <v>70</v>
      </c>
      <c r="L216" s="3" t="str">
        <f t="shared" si="3"/>
        <v>70-74</v>
      </c>
      <c r="M216" s="1" t="s">
        <v>32</v>
      </c>
    </row>
    <row r="217" spans="1:13" x14ac:dyDescent="0.35">
      <c r="A217">
        <v>214</v>
      </c>
      <c r="B217" s="1" t="s">
        <v>17</v>
      </c>
      <c r="C217" s="2">
        <v>4.0999999999999996</v>
      </c>
      <c r="D217" s="3">
        <v>77.7</v>
      </c>
      <c r="E217" s="2">
        <v>6.2</v>
      </c>
      <c r="F217" s="1" t="s">
        <v>24</v>
      </c>
      <c r="G217" s="1" t="s">
        <v>19</v>
      </c>
      <c r="H217" s="1" t="s">
        <v>19</v>
      </c>
      <c r="I217" s="1" t="s">
        <v>19</v>
      </c>
      <c r="J217" s="2">
        <v>52.1</v>
      </c>
      <c r="K217" s="3">
        <v>79</v>
      </c>
      <c r="L217" s="3" t="str">
        <f t="shared" si="3"/>
        <v>75-79</v>
      </c>
      <c r="M217" s="1" t="s">
        <v>32</v>
      </c>
    </row>
    <row r="218" spans="1:13" x14ac:dyDescent="0.35">
      <c r="A218">
        <v>215</v>
      </c>
      <c r="B218" s="1" t="s">
        <v>17</v>
      </c>
      <c r="C218" s="2">
        <v>4.5999999999999996</v>
      </c>
      <c r="D218" s="3">
        <v>83.2</v>
      </c>
      <c r="E218" s="2">
        <v>4.5</v>
      </c>
      <c r="F218" s="1" t="s">
        <v>18</v>
      </c>
      <c r="G218" s="1" t="s">
        <v>19</v>
      </c>
      <c r="H218" s="1" t="s">
        <v>19</v>
      </c>
      <c r="I218" s="1" t="s">
        <v>20</v>
      </c>
      <c r="J218" s="2">
        <v>58</v>
      </c>
      <c r="K218" s="3">
        <v>85</v>
      </c>
      <c r="L218" s="3" t="str">
        <f t="shared" si="3"/>
        <v>85-89</v>
      </c>
      <c r="M218" s="1" t="s">
        <v>28</v>
      </c>
    </row>
    <row r="219" spans="1:13" x14ac:dyDescent="0.35">
      <c r="A219">
        <v>216</v>
      </c>
      <c r="B219" s="1" t="s">
        <v>17</v>
      </c>
      <c r="C219" s="2">
        <v>2.1</v>
      </c>
      <c r="D219" s="3">
        <v>98.7</v>
      </c>
      <c r="E219" s="2">
        <v>7.5</v>
      </c>
      <c r="F219" s="1" t="s">
        <v>24</v>
      </c>
      <c r="G219" s="1" t="s">
        <v>19</v>
      </c>
      <c r="H219" s="1" t="s">
        <v>20</v>
      </c>
      <c r="I219" s="1" t="s">
        <v>20</v>
      </c>
      <c r="J219" s="2">
        <v>58.9</v>
      </c>
      <c r="K219" s="3">
        <v>75</v>
      </c>
      <c r="L219" s="3" t="str">
        <f t="shared" si="3"/>
        <v>75-79</v>
      </c>
      <c r="M219" s="1" t="s">
        <v>32</v>
      </c>
    </row>
    <row r="220" spans="1:13" x14ac:dyDescent="0.35">
      <c r="A220">
        <v>217</v>
      </c>
      <c r="B220" s="1" t="s">
        <v>23</v>
      </c>
      <c r="C220" s="2">
        <v>4.8</v>
      </c>
      <c r="D220" s="3">
        <v>78.5</v>
      </c>
      <c r="E220" s="2">
        <v>6</v>
      </c>
      <c r="F220" s="1" t="s">
        <v>33</v>
      </c>
      <c r="G220" s="1" t="s">
        <v>19</v>
      </c>
      <c r="H220" s="1" t="s">
        <v>20</v>
      </c>
      <c r="I220" s="1" t="s">
        <v>20</v>
      </c>
      <c r="J220" s="2">
        <v>58.5</v>
      </c>
      <c r="K220" s="3">
        <v>91</v>
      </c>
      <c r="L220" s="3" t="str">
        <f t="shared" si="3"/>
        <v>90-94</v>
      </c>
      <c r="M220" s="1" t="s">
        <v>21</v>
      </c>
    </row>
    <row r="221" spans="1:13" x14ac:dyDescent="0.35">
      <c r="A221">
        <v>218</v>
      </c>
      <c r="B221" s="1" t="s">
        <v>17</v>
      </c>
      <c r="C221" s="2">
        <v>5.5</v>
      </c>
      <c r="D221" s="3">
        <v>77</v>
      </c>
      <c r="E221" s="2">
        <v>5.4</v>
      </c>
      <c r="F221" s="1" t="s">
        <v>24</v>
      </c>
      <c r="G221" s="1" t="s">
        <v>19</v>
      </c>
      <c r="H221" s="1" t="s">
        <v>20</v>
      </c>
      <c r="I221" s="1" t="s">
        <v>20</v>
      </c>
      <c r="J221" s="2">
        <v>76.2</v>
      </c>
      <c r="K221" s="3">
        <v>93</v>
      </c>
      <c r="L221" s="3" t="str">
        <f t="shared" si="3"/>
        <v>90-94</v>
      </c>
      <c r="M221" s="1" t="s">
        <v>21</v>
      </c>
    </row>
    <row r="222" spans="1:13" x14ac:dyDescent="0.35">
      <c r="A222">
        <v>219</v>
      </c>
      <c r="B222" s="1" t="s">
        <v>23</v>
      </c>
      <c r="C222" s="2">
        <v>4.0999999999999996</v>
      </c>
      <c r="D222" s="3">
        <v>80.2</v>
      </c>
      <c r="E222" s="2">
        <v>6.1</v>
      </c>
      <c r="F222" s="1" t="s">
        <v>18</v>
      </c>
      <c r="G222" s="1" t="s">
        <v>19</v>
      </c>
      <c r="H222" s="1" t="s">
        <v>20</v>
      </c>
      <c r="I222" s="1" t="s">
        <v>20</v>
      </c>
      <c r="J222" s="2">
        <v>63.9</v>
      </c>
      <c r="K222" s="3">
        <v>87</v>
      </c>
      <c r="L222" s="3" t="str">
        <f t="shared" si="3"/>
        <v>85-89</v>
      </c>
      <c r="M222" s="1" t="s">
        <v>28</v>
      </c>
    </row>
    <row r="223" spans="1:13" x14ac:dyDescent="0.35">
      <c r="A223">
        <v>220</v>
      </c>
      <c r="B223" s="1" t="s">
        <v>17</v>
      </c>
      <c r="C223" s="2">
        <v>6.3</v>
      </c>
      <c r="D223" s="3">
        <v>75.5</v>
      </c>
      <c r="E223" s="2">
        <v>6.6</v>
      </c>
      <c r="F223" s="1" t="s">
        <v>27</v>
      </c>
      <c r="G223" s="1" t="s">
        <v>19</v>
      </c>
      <c r="H223" s="1" t="s">
        <v>20</v>
      </c>
      <c r="I223" s="1" t="s">
        <v>20</v>
      </c>
      <c r="J223" s="2">
        <v>67.8</v>
      </c>
      <c r="K223" s="3">
        <v>100</v>
      </c>
      <c r="L223" s="3" t="str">
        <f t="shared" si="3"/>
        <v>95-100</v>
      </c>
      <c r="M223" s="1" t="s">
        <v>21</v>
      </c>
    </row>
    <row r="224" spans="1:13" x14ac:dyDescent="0.35">
      <c r="A224">
        <v>221</v>
      </c>
      <c r="B224" s="1" t="s">
        <v>17</v>
      </c>
      <c r="C224" s="2">
        <v>2.2999999999999998</v>
      </c>
      <c r="D224" s="3">
        <v>86.2</v>
      </c>
      <c r="E224" s="2">
        <v>6.1</v>
      </c>
      <c r="F224" s="1" t="s">
        <v>24</v>
      </c>
      <c r="G224" s="1" t="s">
        <v>19</v>
      </c>
      <c r="H224" s="1" t="s">
        <v>19</v>
      </c>
      <c r="I224" s="1" t="s">
        <v>20</v>
      </c>
      <c r="J224" s="2">
        <v>80.7</v>
      </c>
      <c r="K224" s="3">
        <v>84</v>
      </c>
      <c r="L224" s="3" t="str">
        <f t="shared" si="3"/>
        <v>80-84</v>
      </c>
      <c r="M224" s="1" t="s">
        <v>28</v>
      </c>
    </row>
    <row r="225" spans="1:13" x14ac:dyDescent="0.35">
      <c r="A225">
        <v>222</v>
      </c>
      <c r="B225" s="1" t="s">
        <v>17</v>
      </c>
      <c r="C225" s="2">
        <v>1.6</v>
      </c>
      <c r="D225" s="3">
        <v>100</v>
      </c>
      <c r="E225" s="2">
        <v>4.2</v>
      </c>
      <c r="F225" s="1" t="s">
        <v>18</v>
      </c>
      <c r="G225" s="1" t="s">
        <v>20</v>
      </c>
      <c r="H225" s="1" t="s">
        <v>20</v>
      </c>
      <c r="I225" s="1" t="s">
        <v>20</v>
      </c>
      <c r="J225" s="2">
        <v>60.8</v>
      </c>
      <c r="K225" s="3">
        <v>72</v>
      </c>
      <c r="L225" s="3" t="str">
        <f t="shared" si="3"/>
        <v>70-74</v>
      </c>
      <c r="M225" s="1" t="s">
        <v>32</v>
      </c>
    </row>
    <row r="226" spans="1:13" x14ac:dyDescent="0.35">
      <c r="A226">
        <v>223</v>
      </c>
      <c r="B226" s="1" t="s">
        <v>23</v>
      </c>
      <c r="C226" s="2">
        <v>0.8</v>
      </c>
      <c r="D226" s="3">
        <v>88.2</v>
      </c>
      <c r="E226" s="2">
        <v>7.9</v>
      </c>
      <c r="F226" s="1" t="s">
        <v>24</v>
      </c>
      <c r="G226" s="1" t="s">
        <v>20</v>
      </c>
      <c r="H226" s="1" t="s">
        <v>20</v>
      </c>
      <c r="I226" s="1" t="s">
        <v>19</v>
      </c>
      <c r="J226" s="2">
        <v>66.8</v>
      </c>
      <c r="K226" s="3">
        <v>71</v>
      </c>
      <c r="L226" s="3" t="str">
        <f t="shared" si="3"/>
        <v>70-74</v>
      </c>
      <c r="M226" s="1" t="s">
        <v>32</v>
      </c>
    </row>
    <row r="227" spans="1:13" x14ac:dyDescent="0.35">
      <c r="A227">
        <v>224</v>
      </c>
      <c r="B227" s="1" t="s">
        <v>23</v>
      </c>
      <c r="C227" s="2">
        <v>5.7</v>
      </c>
      <c r="D227" s="3">
        <v>82.5</v>
      </c>
      <c r="E227" s="2">
        <v>8.3000000000000007</v>
      </c>
      <c r="F227" s="1" t="s">
        <v>18</v>
      </c>
      <c r="G227" s="1" t="s">
        <v>19</v>
      </c>
      <c r="H227" s="1" t="s">
        <v>20</v>
      </c>
      <c r="I227" s="1" t="s">
        <v>19</v>
      </c>
      <c r="J227" s="2">
        <v>74.400000000000006</v>
      </c>
      <c r="K227" s="3">
        <v>90</v>
      </c>
      <c r="L227" s="3" t="str">
        <f t="shared" si="3"/>
        <v>90-94</v>
      </c>
      <c r="M227" s="1" t="s">
        <v>28</v>
      </c>
    </row>
    <row r="228" spans="1:13" x14ac:dyDescent="0.35">
      <c r="A228">
        <v>225</v>
      </c>
      <c r="B228" s="1" t="s">
        <v>23</v>
      </c>
      <c r="C228" s="2">
        <v>4.5</v>
      </c>
      <c r="D228" s="3">
        <v>82.1</v>
      </c>
      <c r="E228" s="2">
        <v>7.6</v>
      </c>
      <c r="F228" s="1" t="s">
        <v>18</v>
      </c>
      <c r="G228" s="1" t="s">
        <v>19</v>
      </c>
      <c r="H228" s="1" t="s">
        <v>19</v>
      </c>
      <c r="I228" s="1" t="s">
        <v>20</v>
      </c>
      <c r="J228" s="2">
        <v>46.7</v>
      </c>
      <c r="K228" s="3">
        <v>81</v>
      </c>
      <c r="L228" s="3" t="str">
        <f t="shared" si="3"/>
        <v>80-84</v>
      </c>
      <c r="M228" s="1" t="s">
        <v>28</v>
      </c>
    </row>
    <row r="229" spans="1:13" x14ac:dyDescent="0.35">
      <c r="A229">
        <v>226</v>
      </c>
      <c r="B229" s="1" t="s">
        <v>23</v>
      </c>
      <c r="C229" s="2">
        <v>3.4</v>
      </c>
      <c r="D229" s="3">
        <v>69.400000000000006</v>
      </c>
      <c r="E229" s="2">
        <v>5.4</v>
      </c>
      <c r="F229" s="1" t="s">
        <v>18</v>
      </c>
      <c r="G229" s="1" t="s">
        <v>19</v>
      </c>
      <c r="H229" s="1" t="s">
        <v>19</v>
      </c>
      <c r="I229" s="1" t="s">
        <v>20</v>
      </c>
      <c r="J229" s="2">
        <v>41.4</v>
      </c>
      <c r="K229" s="3">
        <v>67</v>
      </c>
      <c r="L229" s="3" t="str">
        <f t="shared" si="3"/>
        <v>65-69</v>
      </c>
      <c r="M229" s="1" t="s">
        <v>30</v>
      </c>
    </row>
    <row r="230" spans="1:13" x14ac:dyDescent="0.35">
      <c r="A230">
        <v>227</v>
      </c>
      <c r="B230" s="1" t="s">
        <v>17</v>
      </c>
      <c r="C230" s="2">
        <v>3.9</v>
      </c>
      <c r="D230" s="3">
        <v>93.8</v>
      </c>
      <c r="E230" s="2">
        <v>6.6</v>
      </c>
      <c r="F230" s="1" t="s">
        <v>18</v>
      </c>
      <c r="G230" s="1" t="s">
        <v>19</v>
      </c>
      <c r="H230" s="1" t="s">
        <v>20</v>
      </c>
      <c r="I230" s="1" t="s">
        <v>19</v>
      </c>
      <c r="J230" s="2">
        <v>74.2</v>
      </c>
      <c r="K230" s="3">
        <v>82</v>
      </c>
      <c r="L230" s="3" t="str">
        <f t="shared" si="3"/>
        <v>80-84</v>
      </c>
      <c r="M230" s="1" t="s">
        <v>28</v>
      </c>
    </row>
    <row r="231" spans="1:13" x14ac:dyDescent="0.35">
      <c r="A231">
        <v>228</v>
      </c>
      <c r="B231" s="1" t="s">
        <v>23</v>
      </c>
      <c r="C231" s="2">
        <v>1.8</v>
      </c>
      <c r="D231" s="3">
        <v>84.2</v>
      </c>
      <c r="E231" s="2">
        <v>6.8</v>
      </c>
      <c r="F231" s="1" t="s">
        <v>34</v>
      </c>
      <c r="G231" s="1" t="s">
        <v>19</v>
      </c>
      <c r="H231" s="1" t="s">
        <v>20</v>
      </c>
      <c r="I231" s="1" t="s">
        <v>19</v>
      </c>
      <c r="J231" s="2">
        <v>75.900000000000006</v>
      </c>
      <c r="K231" s="3">
        <v>90</v>
      </c>
      <c r="L231" s="3" t="str">
        <f t="shared" si="3"/>
        <v>90-94</v>
      </c>
      <c r="M231" s="1" t="s">
        <v>21</v>
      </c>
    </row>
    <row r="232" spans="1:13" x14ac:dyDescent="0.35">
      <c r="A232">
        <v>229</v>
      </c>
      <c r="B232" s="1" t="s">
        <v>17</v>
      </c>
      <c r="C232" s="2">
        <v>7.2</v>
      </c>
      <c r="D232" s="3">
        <v>83.2</v>
      </c>
      <c r="E232" s="2">
        <v>7.5</v>
      </c>
      <c r="F232" s="1" t="s">
        <v>24</v>
      </c>
      <c r="G232" s="1" t="s">
        <v>19</v>
      </c>
      <c r="H232" s="1" t="s">
        <v>20</v>
      </c>
      <c r="I232" s="1" t="s">
        <v>20</v>
      </c>
      <c r="J232" s="2">
        <v>94.8</v>
      </c>
      <c r="K232" s="3">
        <v>100</v>
      </c>
      <c r="L232" s="3" t="str">
        <f t="shared" si="3"/>
        <v>95-100</v>
      </c>
      <c r="M232" s="1" t="s">
        <v>21</v>
      </c>
    </row>
    <row r="233" spans="1:13" x14ac:dyDescent="0.35">
      <c r="A233">
        <v>230</v>
      </c>
      <c r="B233" s="1" t="s">
        <v>17</v>
      </c>
      <c r="C233" s="2">
        <v>3.7</v>
      </c>
      <c r="D233" s="3">
        <v>100</v>
      </c>
      <c r="E233" s="2">
        <v>7.6</v>
      </c>
      <c r="F233" s="1" t="s">
        <v>24</v>
      </c>
      <c r="G233" s="1" t="s">
        <v>19</v>
      </c>
      <c r="H233" s="1" t="s">
        <v>19</v>
      </c>
      <c r="I233" s="1" t="s">
        <v>19</v>
      </c>
      <c r="J233" s="2">
        <v>71.900000000000006</v>
      </c>
      <c r="K233" s="3">
        <v>83</v>
      </c>
      <c r="L233" s="3" t="str">
        <f t="shared" si="3"/>
        <v>80-84</v>
      </c>
      <c r="M233" s="1" t="s">
        <v>28</v>
      </c>
    </row>
    <row r="234" spans="1:13" x14ac:dyDescent="0.35">
      <c r="A234">
        <v>231</v>
      </c>
      <c r="B234" s="1" t="s">
        <v>23</v>
      </c>
      <c r="C234" s="2">
        <v>3.7</v>
      </c>
      <c r="D234" s="3">
        <v>88</v>
      </c>
      <c r="E234" s="2">
        <v>5.9</v>
      </c>
      <c r="F234" s="1" t="s">
        <v>34</v>
      </c>
      <c r="G234" s="1" t="s">
        <v>19</v>
      </c>
      <c r="H234" s="1" t="s">
        <v>19</v>
      </c>
      <c r="I234" s="1" t="s">
        <v>20</v>
      </c>
      <c r="J234" s="2">
        <v>79.8</v>
      </c>
      <c r="K234" s="3">
        <v>98</v>
      </c>
      <c r="L234" s="3" t="str">
        <f t="shared" si="3"/>
        <v>95-100</v>
      </c>
      <c r="M234" s="1" t="s">
        <v>21</v>
      </c>
    </row>
    <row r="235" spans="1:13" x14ac:dyDescent="0.35">
      <c r="A235">
        <v>232</v>
      </c>
      <c r="B235" s="1" t="s">
        <v>23</v>
      </c>
      <c r="C235" s="2">
        <v>4.5999999999999996</v>
      </c>
      <c r="D235" s="3">
        <v>77.5</v>
      </c>
      <c r="E235" s="2">
        <v>6.9</v>
      </c>
      <c r="F235" s="1" t="s">
        <v>18</v>
      </c>
      <c r="G235" s="1" t="s">
        <v>19</v>
      </c>
      <c r="H235" s="1" t="s">
        <v>19</v>
      </c>
      <c r="I235" s="1" t="s">
        <v>20</v>
      </c>
      <c r="J235" s="2">
        <v>67.7</v>
      </c>
      <c r="K235" s="3">
        <v>92</v>
      </c>
      <c r="L235" s="3" t="str">
        <f t="shared" si="3"/>
        <v>90-94</v>
      </c>
      <c r="M235" s="1" t="s">
        <v>21</v>
      </c>
    </row>
    <row r="236" spans="1:13" x14ac:dyDescent="0.35">
      <c r="A236">
        <v>233</v>
      </c>
      <c r="B236" s="1" t="s">
        <v>23</v>
      </c>
      <c r="C236" s="2">
        <v>4.2</v>
      </c>
      <c r="D236" s="3">
        <v>80.7</v>
      </c>
      <c r="E236" s="2">
        <v>7.3</v>
      </c>
      <c r="F236" s="1" t="s">
        <v>34</v>
      </c>
      <c r="G236" s="1" t="s">
        <v>19</v>
      </c>
      <c r="H236" s="1" t="s">
        <v>20</v>
      </c>
      <c r="I236" s="1" t="s">
        <v>20</v>
      </c>
      <c r="J236" s="2">
        <v>73.599999999999994</v>
      </c>
      <c r="K236" s="3">
        <v>82</v>
      </c>
      <c r="L236" s="3" t="str">
        <f t="shared" si="3"/>
        <v>80-84</v>
      </c>
      <c r="M236" s="1" t="s">
        <v>28</v>
      </c>
    </row>
    <row r="237" spans="1:13" x14ac:dyDescent="0.35">
      <c r="A237">
        <v>234</v>
      </c>
      <c r="B237" s="1" t="s">
        <v>23</v>
      </c>
      <c r="C237" s="2">
        <v>3.8</v>
      </c>
      <c r="D237" s="3">
        <v>96.5</v>
      </c>
      <c r="E237" s="2">
        <v>8.5</v>
      </c>
      <c r="F237" s="1" t="s">
        <v>18</v>
      </c>
      <c r="G237" s="1" t="s">
        <v>19</v>
      </c>
      <c r="H237" s="1" t="s">
        <v>19</v>
      </c>
      <c r="I237" s="1" t="s">
        <v>20</v>
      </c>
      <c r="J237" s="2">
        <v>90</v>
      </c>
      <c r="K237" s="3">
        <v>100</v>
      </c>
      <c r="L237" s="3" t="str">
        <f t="shared" si="3"/>
        <v>95-100</v>
      </c>
      <c r="M237" s="1" t="s">
        <v>21</v>
      </c>
    </row>
    <row r="238" spans="1:13" x14ac:dyDescent="0.35">
      <c r="A238">
        <v>235</v>
      </c>
      <c r="B238" s="1" t="s">
        <v>23</v>
      </c>
      <c r="C238" s="2">
        <v>2.2999999999999998</v>
      </c>
      <c r="D238" s="3">
        <v>86.1</v>
      </c>
      <c r="E238" s="2">
        <v>7.6</v>
      </c>
      <c r="F238" s="1" t="s">
        <v>33</v>
      </c>
      <c r="G238" s="1" t="s">
        <v>19</v>
      </c>
      <c r="H238" s="1" t="s">
        <v>19</v>
      </c>
      <c r="I238" s="1" t="s">
        <v>20</v>
      </c>
      <c r="J238" s="2">
        <v>44.5</v>
      </c>
      <c r="K238" s="3">
        <v>80</v>
      </c>
      <c r="L238" s="3" t="str">
        <f t="shared" si="3"/>
        <v>80-84</v>
      </c>
      <c r="M238" s="1" t="s">
        <v>28</v>
      </c>
    </row>
    <row r="239" spans="1:13" x14ac:dyDescent="0.35">
      <c r="A239">
        <v>236</v>
      </c>
      <c r="B239" s="1" t="s">
        <v>23</v>
      </c>
      <c r="C239" s="2">
        <v>4.2</v>
      </c>
      <c r="D239" s="3">
        <v>70.599999999999994</v>
      </c>
      <c r="E239" s="2">
        <v>7.7</v>
      </c>
      <c r="F239" s="1" t="s">
        <v>18</v>
      </c>
      <c r="G239" s="1" t="s">
        <v>19</v>
      </c>
      <c r="H239" s="1" t="s">
        <v>20</v>
      </c>
      <c r="I239" s="1" t="s">
        <v>20</v>
      </c>
      <c r="J239" s="2">
        <v>75</v>
      </c>
      <c r="K239" s="3">
        <v>86</v>
      </c>
      <c r="L239" s="3" t="str">
        <f t="shared" si="3"/>
        <v>85-89</v>
      </c>
      <c r="M239" s="1" t="s">
        <v>28</v>
      </c>
    </row>
    <row r="240" spans="1:13" x14ac:dyDescent="0.35">
      <c r="A240">
        <v>237</v>
      </c>
      <c r="B240" s="1" t="s">
        <v>23</v>
      </c>
      <c r="C240" s="2">
        <v>6.3</v>
      </c>
      <c r="D240" s="3">
        <v>94.2</v>
      </c>
      <c r="E240" s="2">
        <v>6.9</v>
      </c>
      <c r="F240" s="1" t="s">
        <v>33</v>
      </c>
      <c r="G240" s="1" t="s">
        <v>19</v>
      </c>
      <c r="H240" s="1" t="s">
        <v>19</v>
      </c>
      <c r="I240" s="1" t="s">
        <v>20</v>
      </c>
      <c r="J240" s="2">
        <v>95.6</v>
      </c>
      <c r="K240" s="3">
        <v>100</v>
      </c>
      <c r="L240" s="3" t="str">
        <f t="shared" si="3"/>
        <v>95-100</v>
      </c>
      <c r="M240" s="1" t="s">
        <v>21</v>
      </c>
    </row>
    <row r="241" spans="1:13" x14ac:dyDescent="0.35">
      <c r="A241">
        <v>238</v>
      </c>
      <c r="B241" s="1" t="s">
        <v>23</v>
      </c>
      <c r="C241" s="2">
        <v>5.5</v>
      </c>
      <c r="D241" s="3">
        <v>78.3</v>
      </c>
      <c r="E241" s="2">
        <v>8.5</v>
      </c>
      <c r="F241" s="1" t="s">
        <v>27</v>
      </c>
      <c r="G241" s="1" t="s">
        <v>19</v>
      </c>
      <c r="H241" s="1" t="s">
        <v>20</v>
      </c>
      <c r="I241" s="1" t="s">
        <v>20</v>
      </c>
      <c r="J241" s="2">
        <v>73.400000000000006</v>
      </c>
      <c r="K241" s="3">
        <v>84</v>
      </c>
      <c r="L241" s="3" t="str">
        <f t="shared" si="3"/>
        <v>80-84</v>
      </c>
      <c r="M241" s="1" t="s">
        <v>28</v>
      </c>
    </row>
    <row r="242" spans="1:13" x14ac:dyDescent="0.35">
      <c r="A242">
        <v>239</v>
      </c>
      <c r="B242" s="1" t="s">
        <v>17</v>
      </c>
      <c r="C242" s="2">
        <v>5.9</v>
      </c>
      <c r="D242" s="3">
        <v>100</v>
      </c>
      <c r="E242" s="2">
        <v>7.3</v>
      </c>
      <c r="F242" s="1" t="s">
        <v>18</v>
      </c>
      <c r="G242" s="1" t="s">
        <v>19</v>
      </c>
      <c r="H242" s="1" t="s">
        <v>19</v>
      </c>
      <c r="I242" s="1" t="s">
        <v>20</v>
      </c>
      <c r="J242" s="2">
        <v>89.8</v>
      </c>
      <c r="K242" s="3">
        <v>100</v>
      </c>
      <c r="L242" s="3" t="str">
        <f t="shared" si="3"/>
        <v>95-100</v>
      </c>
      <c r="M242" s="1" t="s">
        <v>21</v>
      </c>
    </row>
    <row r="243" spans="1:13" x14ac:dyDescent="0.35">
      <c r="A243">
        <v>240</v>
      </c>
      <c r="B243" s="1" t="s">
        <v>23</v>
      </c>
      <c r="C243" s="2">
        <v>2.7</v>
      </c>
      <c r="D243" s="3">
        <v>95.8</v>
      </c>
      <c r="E243" s="2">
        <v>5.8</v>
      </c>
      <c r="F243" s="1" t="s">
        <v>24</v>
      </c>
      <c r="G243" s="1" t="s">
        <v>19</v>
      </c>
      <c r="H243" s="1" t="s">
        <v>20</v>
      </c>
      <c r="I243" s="1" t="s">
        <v>19</v>
      </c>
      <c r="J243" s="2">
        <v>62.4</v>
      </c>
      <c r="K243" s="3">
        <v>85</v>
      </c>
      <c r="L243" s="3" t="str">
        <f t="shared" si="3"/>
        <v>85-89</v>
      </c>
      <c r="M243" s="1" t="s">
        <v>28</v>
      </c>
    </row>
    <row r="244" spans="1:13" x14ac:dyDescent="0.35">
      <c r="A244">
        <v>241</v>
      </c>
      <c r="B244" s="1" t="s">
        <v>23</v>
      </c>
      <c r="C244" s="2">
        <v>2</v>
      </c>
      <c r="D244" s="3">
        <v>80.5</v>
      </c>
      <c r="E244" s="2">
        <v>8.5</v>
      </c>
      <c r="F244" s="1" t="s">
        <v>24</v>
      </c>
      <c r="G244" s="1" t="s">
        <v>19</v>
      </c>
      <c r="H244" s="1" t="s">
        <v>20</v>
      </c>
      <c r="I244" s="1" t="s">
        <v>19</v>
      </c>
      <c r="J244" s="2">
        <v>69.599999999999994</v>
      </c>
      <c r="K244" s="3">
        <v>81</v>
      </c>
      <c r="L244" s="3" t="str">
        <f t="shared" si="3"/>
        <v>80-84</v>
      </c>
      <c r="M244" s="1" t="s">
        <v>28</v>
      </c>
    </row>
    <row r="245" spans="1:13" x14ac:dyDescent="0.35">
      <c r="A245">
        <v>242</v>
      </c>
      <c r="B245" s="1" t="s">
        <v>17</v>
      </c>
      <c r="C245" s="2">
        <v>3.3</v>
      </c>
      <c r="D245" s="3">
        <v>97.8</v>
      </c>
      <c r="E245" s="2">
        <v>7.6</v>
      </c>
      <c r="F245" s="1" t="s">
        <v>24</v>
      </c>
      <c r="G245" s="1" t="s">
        <v>19</v>
      </c>
      <c r="H245" s="1" t="s">
        <v>20</v>
      </c>
      <c r="I245" s="1" t="s">
        <v>19</v>
      </c>
      <c r="J245" s="2">
        <v>70.400000000000006</v>
      </c>
      <c r="K245" s="3">
        <v>85</v>
      </c>
      <c r="L245" s="3" t="str">
        <f t="shared" si="3"/>
        <v>85-89</v>
      </c>
      <c r="M245" s="1" t="s">
        <v>28</v>
      </c>
    </row>
    <row r="246" spans="1:13" x14ac:dyDescent="0.35">
      <c r="A246">
        <v>243</v>
      </c>
      <c r="B246" s="1" t="s">
        <v>23</v>
      </c>
      <c r="C246" s="2">
        <v>3.6</v>
      </c>
      <c r="D246" s="3">
        <v>85.7</v>
      </c>
      <c r="E246" s="2">
        <v>6.3</v>
      </c>
      <c r="F246" s="1" t="s">
        <v>24</v>
      </c>
      <c r="G246" s="1" t="s">
        <v>19</v>
      </c>
      <c r="H246" s="1" t="s">
        <v>20</v>
      </c>
      <c r="I246" s="1" t="s">
        <v>19</v>
      </c>
      <c r="J246" s="2">
        <v>43.4</v>
      </c>
      <c r="K246" s="3">
        <v>69</v>
      </c>
      <c r="L246" s="3" t="str">
        <f t="shared" si="3"/>
        <v>65-69</v>
      </c>
      <c r="M246" s="1" t="s">
        <v>30</v>
      </c>
    </row>
    <row r="247" spans="1:13" x14ac:dyDescent="0.35">
      <c r="A247">
        <v>244</v>
      </c>
      <c r="B247" s="1" t="s">
        <v>17</v>
      </c>
      <c r="C247" s="2">
        <v>5.0999999999999996</v>
      </c>
      <c r="D247" s="3">
        <v>93.5</v>
      </c>
      <c r="E247" s="2">
        <v>6.2</v>
      </c>
      <c r="F247" s="1" t="s">
        <v>24</v>
      </c>
      <c r="G247" s="1" t="s">
        <v>19</v>
      </c>
      <c r="H247" s="1" t="s">
        <v>19</v>
      </c>
      <c r="I247" s="1" t="s">
        <v>20</v>
      </c>
      <c r="J247" s="2">
        <v>56</v>
      </c>
      <c r="K247" s="3">
        <v>92</v>
      </c>
      <c r="L247" s="3" t="str">
        <f t="shared" si="3"/>
        <v>90-94</v>
      </c>
      <c r="M247" s="1" t="s">
        <v>21</v>
      </c>
    </row>
    <row r="248" spans="1:13" x14ac:dyDescent="0.35">
      <c r="A248">
        <v>245</v>
      </c>
      <c r="B248" s="1" t="s">
        <v>17</v>
      </c>
      <c r="C248" s="2">
        <v>1</v>
      </c>
      <c r="D248" s="3">
        <v>89.8</v>
      </c>
      <c r="E248" s="2">
        <v>7.2</v>
      </c>
      <c r="F248" s="1" t="s">
        <v>18</v>
      </c>
      <c r="G248" s="1" t="s">
        <v>19</v>
      </c>
      <c r="H248" s="1" t="s">
        <v>19</v>
      </c>
      <c r="I248" s="1" t="s">
        <v>20</v>
      </c>
      <c r="J248" s="2">
        <v>56.8</v>
      </c>
      <c r="K248" s="3">
        <v>76</v>
      </c>
      <c r="L248" s="3" t="str">
        <f t="shared" si="3"/>
        <v>75-79</v>
      </c>
      <c r="M248" s="1" t="s">
        <v>32</v>
      </c>
    </row>
    <row r="249" spans="1:13" x14ac:dyDescent="0.35">
      <c r="A249">
        <v>246</v>
      </c>
      <c r="B249" s="1" t="s">
        <v>23</v>
      </c>
      <c r="C249" s="2">
        <v>5.8</v>
      </c>
      <c r="D249" s="3">
        <v>76.5</v>
      </c>
      <c r="E249" s="2">
        <v>7.4</v>
      </c>
      <c r="F249" s="1" t="s">
        <v>18</v>
      </c>
      <c r="G249" s="1" t="s">
        <v>19</v>
      </c>
      <c r="H249" s="1" t="s">
        <v>19</v>
      </c>
      <c r="I249" s="1" t="s">
        <v>20</v>
      </c>
      <c r="J249" s="2">
        <v>79.900000000000006</v>
      </c>
      <c r="K249" s="3">
        <v>100</v>
      </c>
      <c r="L249" s="3" t="str">
        <f t="shared" si="3"/>
        <v>95-100</v>
      </c>
      <c r="M249" s="1" t="s">
        <v>21</v>
      </c>
    </row>
    <row r="250" spans="1:13" x14ac:dyDescent="0.35">
      <c r="A250">
        <v>247</v>
      </c>
      <c r="B250" s="1" t="s">
        <v>17</v>
      </c>
      <c r="C250" s="2">
        <v>3.3</v>
      </c>
      <c r="D250" s="3">
        <v>78.599999999999994</v>
      </c>
      <c r="E250" s="2">
        <v>7</v>
      </c>
      <c r="F250" s="1" t="s">
        <v>18</v>
      </c>
      <c r="G250" s="1" t="s">
        <v>19</v>
      </c>
      <c r="H250" s="1" t="s">
        <v>20</v>
      </c>
      <c r="I250" s="1" t="s">
        <v>20</v>
      </c>
      <c r="J250" s="2">
        <v>80.5</v>
      </c>
      <c r="K250" s="3">
        <v>92</v>
      </c>
      <c r="L250" s="3" t="str">
        <f t="shared" si="3"/>
        <v>90-94</v>
      </c>
      <c r="M250" s="1" t="s">
        <v>21</v>
      </c>
    </row>
    <row r="251" spans="1:13" x14ac:dyDescent="0.35">
      <c r="A251">
        <v>248</v>
      </c>
      <c r="B251" s="1" t="s">
        <v>17</v>
      </c>
      <c r="C251" s="2">
        <v>2.9</v>
      </c>
      <c r="D251" s="3">
        <v>95.3</v>
      </c>
      <c r="E251" s="2">
        <v>7.2</v>
      </c>
      <c r="F251" s="1" t="s">
        <v>18</v>
      </c>
      <c r="G251" s="1" t="s">
        <v>20</v>
      </c>
      <c r="H251" s="1" t="s">
        <v>20</v>
      </c>
      <c r="I251" s="1" t="s">
        <v>20</v>
      </c>
      <c r="J251" s="2">
        <v>73.900000000000006</v>
      </c>
      <c r="K251" s="3">
        <v>77</v>
      </c>
      <c r="L251" s="3" t="str">
        <f t="shared" si="3"/>
        <v>75-79</v>
      </c>
      <c r="M251" s="1" t="s">
        <v>32</v>
      </c>
    </row>
    <row r="252" spans="1:13" x14ac:dyDescent="0.35">
      <c r="A252">
        <v>249</v>
      </c>
      <c r="B252" s="1" t="s">
        <v>17</v>
      </c>
      <c r="C252" s="2">
        <v>2</v>
      </c>
      <c r="D252" s="3">
        <v>81.7</v>
      </c>
      <c r="E252" s="2">
        <v>8.8000000000000007</v>
      </c>
      <c r="F252" s="1" t="s">
        <v>24</v>
      </c>
      <c r="G252" s="1" t="s">
        <v>19</v>
      </c>
      <c r="H252" s="1" t="s">
        <v>19</v>
      </c>
      <c r="I252" s="1" t="s">
        <v>20</v>
      </c>
      <c r="J252" s="2">
        <v>79.900000000000006</v>
      </c>
      <c r="K252" s="3">
        <v>83</v>
      </c>
      <c r="L252" s="3" t="str">
        <f t="shared" si="3"/>
        <v>80-84</v>
      </c>
      <c r="M252" s="1" t="s">
        <v>28</v>
      </c>
    </row>
    <row r="253" spans="1:13" x14ac:dyDescent="0.35">
      <c r="A253">
        <v>250</v>
      </c>
      <c r="B253" s="1" t="s">
        <v>17</v>
      </c>
      <c r="C253" s="2">
        <v>1</v>
      </c>
      <c r="D253" s="3">
        <v>81</v>
      </c>
      <c r="E253" s="2">
        <v>8.1</v>
      </c>
      <c r="F253" s="1" t="s">
        <v>24</v>
      </c>
      <c r="G253" s="1" t="s">
        <v>19</v>
      </c>
      <c r="H253" s="1" t="s">
        <v>20</v>
      </c>
      <c r="I253" s="1" t="s">
        <v>20</v>
      </c>
      <c r="J253" s="2">
        <v>68</v>
      </c>
      <c r="K253" s="3">
        <v>67</v>
      </c>
      <c r="L253" s="3" t="str">
        <f t="shared" si="3"/>
        <v>65-69</v>
      </c>
      <c r="M253" s="1" t="s">
        <v>30</v>
      </c>
    </row>
    <row r="254" spans="1:13" x14ac:dyDescent="0.35">
      <c r="A254">
        <v>251</v>
      </c>
      <c r="B254" s="1" t="s">
        <v>23</v>
      </c>
      <c r="C254" s="2">
        <v>4.7</v>
      </c>
      <c r="D254" s="3">
        <v>75.400000000000006</v>
      </c>
      <c r="E254" s="2">
        <v>7</v>
      </c>
      <c r="F254" s="1" t="s">
        <v>24</v>
      </c>
      <c r="G254" s="1" t="s">
        <v>19</v>
      </c>
      <c r="H254" s="1" t="s">
        <v>19</v>
      </c>
      <c r="I254" s="1" t="s">
        <v>19</v>
      </c>
      <c r="J254" s="2">
        <v>84.4</v>
      </c>
      <c r="K254" s="3">
        <v>88</v>
      </c>
      <c r="L254" s="3" t="str">
        <f t="shared" si="3"/>
        <v>85-89</v>
      </c>
      <c r="M254" s="1" t="s">
        <v>28</v>
      </c>
    </row>
    <row r="255" spans="1:13" x14ac:dyDescent="0.35">
      <c r="A255">
        <v>252</v>
      </c>
      <c r="B255" s="1" t="s">
        <v>17</v>
      </c>
      <c r="C255" s="2">
        <v>3.6</v>
      </c>
      <c r="D255" s="3">
        <v>89.2</v>
      </c>
      <c r="E255" s="2">
        <v>7.9</v>
      </c>
      <c r="F255" s="1" t="s">
        <v>18</v>
      </c>
      <c r="G255" s="1" t="s">
        <v>19</v>
      </c>
      <c r="H255" s="1" t="s">
        <v>20</v>
      </c>
      <c r="I255" s="1" t="s">
        <v>19</v>
      </c>
      <c r="J255" s="2">
        <v>70.099999999999994</v>
      </c>
      <c r="K255" s="3">
        <v>91</v>
      </c>
      <c r="L255" s="3" t="str">
        <f t="shared" si="3"/>
        <v>90-94</v>
      </c>
      <c r="M255" s="1" t="s">
        <v>21</v>
      </c>
    </row>
    <row r="256" spans="1:13" x14ac:dyDescent="0.35">
      <c r="A256">
        <v>253</v>
      </c>
      <c r="B256" s="1" t="s">
        <v>23</v>
      </c>
      <c r="C256" s="2">
        <v>1.6</v>
      </c>
      <c r="D256" s="3">
        <v>100</v>
      </c>
      <c r="E256" s="2">
        <v>5.6</v>
      </c>
      <c r="F256" s="1" t="s">
        <v>24</v>
      </c>
      <c r="G256" s="1" t="s">
        <v>20</v>
      </c>
      <c r="H256" s="1" t="s">
        <v>20</v>
      </c>
      <c r="I256" s="1" t="s">
        <v>20</v>
      </c>
      <c r="J256" s="2">
        <v>70.7</v>
      </c>
      <c r="K256" s="3">
        <v>76</v>
      </c>
      <c r="L256" s="3" t="str">
        <f t="shared" si="3"/>
        <v>75-79</v>
      </c>
      <c r="M256" s="1" t="s">
        <v>32</v>
      </c>
    </row>
    <row r="257" spans="1:13" x14ac:dyDescent="0.35">
      <c r="A257">
        <v>254</v>
      </c>
      <c r="B257" s="1" t="s">
        <v>17</v>
      </c>
      <c r="C257" s="2">
        <v>1.6</v>
      </c>
      <c r="D257" s="3">
        <v>74.3</v>
      </c>
      <c r="E257" s="2">
        <v>7.3</v>
      </c>
      <c r="F257" s="1" t="s">
        <v>24</v>
      </c>
      <c r="G257" s="1" t="s">
        <v>19</v>
      </c>
      <c r="H257" s="1" t="s">
        <v>19</v>
      </c>
      <c r="I257" s="1" t="s">
        <v>20</v>
      </c>
      <c r="J257" s="2">
        <v>66.8</v>
      </c>
      <c r="K257" s="3">
        <v>88</v>
      </c>
      <c r="L257" s="3" t="str">
        <f t="shared" si="3"/>
        <v>85-89</v>
      </c>
      <c r="M257" s="1" t="s">
        <v>28</v>
      </c>
    </row>
    <row r="258" spans="1:13" x14ac:dyDescent="0.35">
      <c r="A258">
        <v>255</v>
      </c>
      <c r="B258" s="1" t="s">
        <v>17</v>
      </c>
      <c r="C258" s="2">
        <v>3</v>
      </c>
      <c r="D258" s="3">
        <v>85.2</v>
      </c>
      <c r="E258" s="2">
        <v>9</v>
      </c>
      <c r="F258" s="1" t="s">
        <v>18</v>
      </c>
      <c r="G258" s="1" t="s">
        <v>19</v>
      </c>
      <c r="H258" s="1" t="s">
        <v>19</v>
      </c>
      <c r="I258" s="1" t="s">
        <v>19</v>
      </c>
      <c r="J258" s="2">
        <v>78.2</v>
      </c>
      <c r="K258" s="3">
        <v>88</v>
      </c>
      <c r="L258" s="3" t="str">
        <f t="shared" si="3"/>
        <v>85-89</v>
      </c>
      <c r="M258" s="1" t="s">
        <v>28</v>
      </c>
    </row>
    <row r="259" spans="1:13" x14ac:dyDescent="0.35">
      <c r="A259">
        <v>256</v>
      </c>
      <c r="B259" s="1" t="s">
        <v>17</v>
      </c>
      <c r="C259" s="2">
        <v>6</v>
      </c>
      <c r="D259" s="3">
        <v>99.1</v>
      </c>
      <c r="E259" s="2">
        <v>6.5</v>
      </c>
      <c r="F259" s="1" t="s">
        <v>33</v>
      </c>
      <c r="G259" s="1" t="s">
        <v>19</v>
      </c>
      <c r="H259" s="1" t="s">
        <v>19</v>
      </c>
      <c r="I259" s="1" t="s">
        <v>19</v>
      </c>
      <c r="J259" s="2">
        <v>64.900000000000006</v>
      </c>
      <c r="K259" s="3">
        <v>97</v>
      </c>
      <c r="L259" s="3" t="str">
        <f t="shared" si="3"/>
        <v>95-100</v>
      </c>
      <c r="M259" s="1" t="s">
        <v>21</v>
      </c>
    </row>
    <row r="260" spans="1:13" x14ac:dyDescent="0.35">
      <c r="A260">
        <v>257</v>
      </c>
      <c r="B260" s="1" t="s">
        <v>17</v>
      </c>
      <c r="C260" s="2">
        <v>3.1</v>
      </c>
      <c r="D260" s="3">
        <v>84.2</v>
      </c>
      <c r="E260" s="2">
        <v>5.8</v>
      </c>
      <c r="F260" s="1" t="s">
        <v>24</v>
      </c>
      <c r="G260" s="1" t="s">
        <v>19</v>
      </c>
      <c r="H260" s="1" t="s">
        <v>20</v>
      </c>
      <c r="I260" s="1" t="s">
        <v>20</v>
      </c>
      <c r="J260" s="2">
        <v>81.7</v>
      </c>
      <c r="K260" s="3">
        <v>87</v>
      </c>
      <c r="L260" s="3" t="str">
        <f t="shared" si="3"/>
        <v>85-89</v>
      </c>
      <c r="M260" s="1" t="s">
        <v>28</v>
      </c>
    </row>
    <row r="261" spans="1:13" x14ac:dyDescent="0.35">
      <c r="A261">
        <v>258</v>
      </c>
      <c r="B261" s="1" t="s">
        <v>23</v>
      </c>
      <c r="C261" s="2">
        <v>1.2</v>
      </c>
      <c r="D261" s="3">
        <v>89.5</v>
      </c>
      <c r="E261" s="2">
        <v>6</v>
      </c>
      <c r="F261" s="1" t="s">
        <v>18</v>
      </c>
      <c r="G261" s="1" t="s">
        <v>19</v>
      </c>
      <c r="H261" s="1" t="s">
        <v>19</v>
      </c>
      <c r="I261" s="1" t="s">
        <v>19</v>
      </c>
      <c r="J261" s="2">
        <v>56.4</v>
      </c>
      <c r="K261" s="3">
        <v>64</v>
      </c>
      <c r="L261" s="3" t="str">
        <f t="shared" ref="L261:L324" si="4">IF(K261&gt;=95,"95-100",IF(K261&gt;=90,"90-94",IF(K261&gt;=85,"85-89",IF(K261&gt;=80,"80-84",IF(K261&gt;=75,"75-79",IF(K261&gt;=70,"70-74",IF(K261&gt;=65,"65-69",IF(K261&gt;=60,"60-64",IF(K261&gt;=55,"55-59","Below 55")))))))))</f>
        <v>60-64</v>
      </c>
      <c r="M261" s="1" t="s">
        <v>30</v>
      </c>
    </row>
    <row r="262" spans="1:13" x14ac:dyDescent="0.35">
      <c r="A262">
        <v>259</v>
      </c>
      <c r="B262" s="1" t="s">
        <v>23</v>
      </c>
      <c r="C262" s="2">
        <v>3.1</v>
      </c>
      <c r="D262" s="3">
        <v>74.400000000000006</v>
      </c>
      <c r="E262" s="2">
        <v>5.5</v>
      </c>
      <c r="F262" s="1" t="s">
        <v>33</v>
      </c>
      <c r="G262" s="1" t="s">
        <v>19</v>
      </c>
      <c r="H262" s="1" t="s">
        <v>19</v>
      </c>
      <c r="I262" s="1" t="s">
        <v>20</v>
      </c>
      <c r="J262" s="2">
        <v>56.8</v>
      </c>
      <c r="K262" s="3">
        <v>73</v>
      </c>
      <c r="L262" s="3" t="str">
        <f t="shared" si="4"/>
        <v>70-74</v>
      </c>
      <c r="M262" s="1" t="s">
        <v>32</v>
      </c>
    </row>
    <row r="263" spans="1:13" x14ac:dyDescent="0.35">
      <c r="A263">
        <v>260</v>
      </c>
      <c r="B263" s="1" t="s">
        <v>17</v>
      </c>
      <c r="C263" s="2">
        <v>3.1</v>
      </c>
      <c r="D263" s="3">
        <v>89.3</v>
      </c>
      <c r="E263" s="2">
        <v>5.9</v>
      </c>
      <c r="F263" s="1" t="s">
        <v>33</v>
      </c>
      <c r="G263" s="1" t="s">
        <v>19</v>
      </c>
      <c r="H263" s="1" t="s">
        <v>19</v>
      </c>
      <c r="I263" s="1" t="s">
        <v>20</v>
      </c>
      <c r="J263" s="2">
        <v>78.2</v>
      </c>
      <c r="K263" s="3">
        <v>94</v>
      </c>
      <c r="L263" s="3" t="str">
        <f t="shared" si="4"/>
        <v>90-94</v>
      </c>
      <c r="M263" s="1" t="s">
        <v>21</v>
      </c>
    </row>
    <row r="264" spans="1:13" x14ac:dyDescent="0.35">
      <c r="A264">
        <v>261</v>
      </c>
      <c r="B264" s="1" t="s">
        <v>17</v>
      </c>
      <c r="C264" s="2">
        <v>0.5</v>
      </c>
      <c r="D264" s="3">
        <v>83.1</v>
      </c>
      <c r="E264" s="2">
        <v>6.4</v>
      </c>
      <c r="F264" s="1" t="s">
        <v>27</v>
      </c>
      <c r="G264" s="1" t="s">
        <v>19</v>
      </c>
      <c r="H264" s="1" t="s">
        <v>19</v>
      </c>
      <c r="I264" s="1" t="s">
        <v>20</v>
      </c>
      <c r="J264" s="2">
        <v>68.900000000000006</v>
      </c>
      <c r="K264" s="3">
        <v>71</v>
      </c>
      <c r="L264" s="3" t="str">
        <f t="shared" si="4"/>
        <v>70-74</v>
      </c>
      <c r="M264" s="1" t="s">
        <v>32</v>
      </c>
    </row>
    <row r="265" spans="1:13" x14ac:dyDescent="0.35">
      <c r="A265">
        <v>262</v>
      </c>
      <c r="B265" s="1" t="s">
        <v>23</v>
      </c>
      <c r="C265" s="2">
        <v>3.4</v>
      </c>
      <c r="D265" s="3">
        <v>94.9</v>
      </c>
      <c r="E265" s="2">
        <v>5.0999999999999996</v>
      </c>
      <c r="F265" s="1" t="s">
        <v>24</v>
      </c>
      <c r="G265" s="1" t="s">
        <v>19</v>
      </c>
      <c r="H265" s="1" t="s">
        <v>19</v>
      </c>
      <c r="I265" s="1" t="s">
        <v>20</v>
      </c>
      <c r="J265" s="2">
        <v>64.599999999999994</v>
      </c>
      <c r="K265" s="3">
        <v>80</v>
      </c>
      <c r="L265" s="3" t="str">
        <f t="shared" si="4"/>
        <v>80-84</v>
      </c>
      <c r="M265" s="1" t="s">
        <v>32</v>
      </c>
    </row>
    <row r="266" spans="1:13" x14ac:dyDescent="0.35">
      <c r="A266">
        <v>263</v>
      </c>
      <c r="B266" s="1" t="s">
        <v>17</v>
      </c>
      <c r="C266" s="2">
        <v>3.2</v>
      </c>
      <c r="D266" s="3">
        <v>96.9</v>
      </c>
      <c r="E266" s="2">
        <v>6.8</v>
      </c>
      <c r="F266" s="1" t="s">
        <v>24</v>
      </c>
      <c r="G266" s="1" t="s">
        <v>20</v>
      </c>
      <c r="H266" s="1" t="s">
        <v>20</v>
      </c>
      <c r="I266" s="1" t="s">
        <v>20</v>
      </c>
      <c r="J266" s="2">
        <v>80.7</v>
      </c>
      <c r="K266" s="3">
        <v>81</v>
      </c>
      <c r="L266" s="3" t="str">
        <f t="shared" si="4"/>
        <v>80-84</v>
      </c>
      <c r="M266" s="1" t="s">
        <v>28</v>
      </c>
    </row>
    <row r="267" spans="1:13" x14ac:dyDescent="0.35">
      <c r="A267">
        <v>264</v>
      </c>
      <c r="B267" s="1" t="s">
        <v>17</v>
      </c>
      <c r="C267" s="2">
        <v>4.5</v>
      </c>
      <c r="D267" s="3">
        <v>100</v>
      </c>
      <c r="E267" s="2">
        <v>7.9</v>
      </c>
      <c r="F267" s="1" t="s">
        <v>34</v>
      </c>
      <c r="G267" s="1" t="s">
        <v>19</v>
      </c>
      <c r="H267" s="1" t="s">
        <v>19</v>
      </c>
      <c r="I267" s="1" t="s">
        <v>20</v>
      </c>
      <c r="J267" s="2">
        <v>62.7</v>
      </c>
      <c r="K267" s="3">
        <v>91</v>
      </c>
      <c r="L267" s="3" t="str">
        <f t="shared" si="4"/>
        <v>90-94</v>
      </c>
      <c r="M267" s="1" t="s">
        <v>21</v>
      </c>
    </row>
    <row r="268" spans="1:13" x14ac:dyDescent="0.35">
      <c r="A268">
        <v>265</v>
      </c>
      <c r="B268" s="1" t="s">
        <v>17</v>
      </c>
      <c r="C268" s="2">
        <v>6.3</v>
      </c>
      <c r="D268" s="3">
        <v>90.8</v>
      </c>
      <c r="E268" s="2">
        <v>5.7</v>
      </c>
      <c r="F268" s="1" t="s">
        <v>18</v>
      </c>
      <c r="G268" s="1" t="s">
        <v>19</v>
      </c>
      <c r="H268" s="1" t="s">
        <v>20</v>
      </c>
      <c r="I268" s="1" t="s">
        <v>20</v>
      </c>
      <c r="J268" s="2">
        <v>67.599999999999994</v>
      </c>
      <c r="K268" s="3">
        <v>98</v>
      </c>
      <c r="L268" s="3" t="str">
        <f t="shared" si="4"/>
        <v>95-100</v>
      </c>
      <c r="M268" s="1" t="s">
        <v>21</v>
      </c>
    </row>
    <row r="269" spans="1:13" x14ac:dyDescent="0.35">
      <c r="A269">
        <v>266</v>
      </c>
      <c r="B269" s="1" t="s">
        <v>23</v>
      </c>
      <c r="C269" s="2">
        <v>5.2</v>
      </c>
      <c r="D269" s="3">
        <v>88.3</v>
      </c>
      <c r="E269" s="2">
        <v>8.6</v>
      </c>
      <c r="F269" s="1" t="s">
        <v>18</v>
      </c>
      <c r="G269" s="1" t="s">
        <v>19</v>
      </c>
      <c r="H269" s="1" t="s">
        <v>20</v>
      </c>
      <c r="I269" s="1" t="s">
        <v>20</v>
      </c>
      <c r="J269" s="2">
        <v>86.8</v>
      </c>
      <c r="K269" s="3">
        <v>100</v>
      </c>
      <c r="L269" s="3" t="str">
        <f t="shared" si="4"/>
        <v>95-100</v>
      </c>
      <c r="M269" s="1" t="s">
        <v>21</v>
      </c>
    </row>
    <row r="270" spans="1:13" x14ac:dyDescent="0.35">
      <c r="A270">
        <v>267</v>
      </c>
      <c r="B270" s="1" t="s">
        <v>23</v>
      </c>
      <c r="C270" s="2">
        <v>3.1</v>
      </c>
      <c r="D270" s="3">
        <v>86.9</v>
      </c>
      <c r="E270" s="2">
        <v>7.4</v>
      </c>
      <c r="F270" s="1" t="s">
        <v>33</v>
      </c>
      <c r="G270" s="1" t="s">
        <v>19</v>
      </c>
      <c r="H270" s="1" t="s">
        <v>19</v>
      </c>
      <c r="I270" s="1" t="s">
        <v>19</v>
      </c>
      <c r="J270" s="2">
        <v>88.5</v>
      </c>
      <c r="K270" s="3">
        <v>82</v>
      </c>
      <c r="L270" s="3" t="str">
        <f t="shared" si="4"/>
        <v>80-84</v>
      </c>
      <c r="M270" s="1" t="s">
        <v>28</v>
      </c>
    </row>
    <row r="271" spans="1:13" x14ac:dyDescent="0.35">
      <c r="A271">
        <v>268</v>
      </c>
      <c r="B271" s="1" t="s">
        <v>23</v>
      </c>
      <c r="C271" s="2">
        <v>1.8</v>
      </c>
      <c r="D271" s="3">
        <v>81.5</v>
      </c>
      <c r="E271" s="2">
        <v>8</v>
      </c>
      <c r="F271" s="1" t="s">
        <v>33</v>
      </c>
      <c r="G271" s="1" t="s">
        <v>19</v>
      </c>
      <c r="H271" s="1" t="s">
        <v>19</v>
      </c>
      <c r="I271" s="1" t="s">
        <v>20</v>
      </c>
      <c r="J271" s="2">
        <v>88.9</v>
      </c>
      <c r="K271" s="3">
        <v>84</v>
      </c>
      <c r="L271" s="3" t="str">
        <f t="shared" si="4"/>
        <v>80-84</v>
      </c>
      <c r="M271" s="1" t="s">
        <v>28</v>
      </c>
    </row>
    <row r="272" spans="1:13" x14ac:dyDescent="0.35">
      <c r="A272">
        <v>269</v>
      </c>
      <c r="B272" s="1" t="s">
        <v>17</v>
      </c>
      <c r="C272" s="2">
        <v>7.4</v>
      </c>
      <c r="D272" s="3">
        <v>88.4</v>
      </c>
      <c r="E272" s="2">
        <v>6</v>
      </c>
      <c r="F272" s="1" t="s">
        <v>27</v>
      </c>
      <c r="G272" s="1" t="s">
        <v>19</v>
      </c>
      <c r="H272" s="1" t="s">
        <v>20</v>
      </c>
      <c r="I272" s="1" t="s">
        <v>20</v>
      </c>
      <c r="J272" s="2">
        <v>66.599999999999994</v>
      </c>
      <c r="K272" s="3">
        <v>100</v>
      </c>
      <c r="L272" s="3" t="str">
        <f t="shared" si="4"/>
        <v>95-100</v>
      </c>
      <c r="M272" s="1" t="s">
        <v>21</v>
      </c>
    </row>
    <row r="273" spans="1:13" x14ac:dyDescent="0.35">
      <c r="A273">
        <v>270</v>
      </c>
      <c r="B273" s="1" t="s">
        <v>17</v>
      </c>
      <c r="C273" s="2">
        <v>3.6</v>
      </c>
      <c r="D273" s="3">
        <v>82</v>
      </c>
      <c r="E273" s="2">
        <v>7.8</v>
      </c>
      <c r="F273" s="1" t="s">
        <v>27</v>
      </c>
      <c r="G273" s="1" t="s">
        <v>19</v>
      </c>
      <c r="H273" s="1" t="s">
        <v>20</v>
      </c>
      <c r="I273" s="1" t="s">
        <v>20</v>
      </c>
      <c r="J273" s="2">
        <v>84.8</v>
      </c>
      <c r="K273" s="3">
        <v>80</v>
      </c>
      <c r="L273" s="3" t="str">
        <f t="shared" si="4"/>
        <v>80-84</v>
      </c>
      <c r="M273" s="1" t="s">
        <v>28</v>
      </c>
    </row>
    <row r="274" spans="1:13" x14ac:dyDescent="0.35">
      <c r="A274">
        <v>271</v>
      </c>
      <c r="B274" s="1" t="s">
        <v>23</v>
      </c>
      <c r="C274" s="2">
        <v>3.5</v>
      </c>
      <c r="D274" s="3">
        <v>86.7</v>
      </c>
      <c r="E274" s="2">
        <v>5.5</v>
      </c>
      <c r="F274" s="1" t="s">
        <v>33</v>
      </c>
      <c r="G274" s="1" t="s">
        <v>19</v>
      </c>
      <c r="H274" s="1" t="s">
        <v>19</v>
      </c>
      <c r="I274" s="1" t="s">
        <v>20</v>
      </c>
      <c r="J274" s="2">
        <v>58.6</v>
      </c>
      <c r="K274" s="3">
        <v>75</v>
      </c>
      <c r="L274" s="3" t="str">
        <f t="shared" si="4"/>
        <v>75-79</v>
      </c>
      <c r="M274" s="1" t="s">
        <v>32</v>
      </c>
    </row>
    <row r="275" spans="1:13" x14ac:dyDescent="0.35">
      <c r="A275">
        <v>272</v>
      </c>
      <c r="B275" s="1" t="s">
        <v>23</v>
      </c>
      <c r="C275" s="2">
        <v>3.5</v>
      </c>
      <c r="D275" s="3">
        <v>98.2</v>
      </c>
      <c r="E275" s="2">
        <v>7.9</v>
      </c>
      <c r="F275" s="1" t="s">
        <v>24</v>
      </c>
      <c r="G275" s="1" t="s">
        <v>20</v>
      </c>
      <c r="H275" s="1" t="s">
        <v>19</v>
      </c>
      <c r="I275" s="1" t="s">
        <v>20</v>
      </c>
      <c r="J275" s="2">
        <v>59.1</v>
      </c>
      <c r="K275" s="3">
        <v>78</v>
      </c>
      <c r="L275" s="3" t="str">
        <f t="shared" si="4"/>
        <v>75-79</v>
      </c>
      <c r="M275" s="1" t="s">
        <v>32</v>
      </c>
    </row>
    <row r="276" spans="1:13" x14ac:dyDescent="0.35">
      <c r="A276">
        <v>273</v>
      </c>
      <c r="B276" s="1" t="s">
        <v>23</v>
      </c>
      <c r="C276" s="2">
        <v>3.8</v>
      </c>
      <c r="D276" s="3">
        <v>74.900000000000006</v>
      </c>
      <c r="E276" s="2">
        <v>7</v>
      </c>
      <c r="F276" s="1" t="s">
        <v>34</v>
      </c>
      <c r="G276" s="1" t="s">
        <v>19</v>
      </c>
      <c r="H276" s="1" t="s">
        <v>19</v>
      </c>
      <c r="I276" s="1" t="s">
        <v>19</v>
      </c>
      <c r="J276" s="2">
        <v>41.8</v>
      </c>
      <c r="K276" s="3">
        <v>65</v>
      </c>
      <c r="L276" s="3" t="str">
        <f t="shared" si="4"/>
        <v>65-69</v>
      </c>
      <c r="M276" s="1" t="s">
        <v>30</v>
      </c>
    </row>
    <row r="277" spans="1:13" x14ac:dyDescent="0.35">
      <c r="A277">
        <v>274</v>
      </c>
      <c r="B277" s="1" t="s">
        <v>23</v>
      </c>
      <c r="C277" s="2">
        <v>3.3</v>
      </c>
      <c r="D277" s="3">
        <v>96.4</v>
      </c>
      <c r="E277" s="2">
        <v>7.5</v>
      </c>
      <c r="F277" s="1" t="s">
        <v>24</v>
      </c>
      <c r="G277" s="1" t="s">
        <v>19</v>
      </c>
      <c r="H277" s="1" t="s">
        <v>20</v>
      </c>
      <c r="I277" s="1" t="s">
        <v>20</v>
      </c>
      <c r="J277" s="2">
        <v>90.1</v>
      </c>
      <c r="K277" s="3">
        <v>98</v>
      </c>
      <c r="L277" s="3" t="str">
        <f t="shared" si="4"/>
        <v>95-100</v>
      </c>
      <c r="M277" s="1" t="s">
        <v>21</v>
      </c>
    </row>
    <row r="278" spans="1:13" x14ac:dyDescent="0.35">
      <c r="A278">
        <v>275</v>
      </c>
      <c r="B278" s="1" t="s">
        <v>17</v>
      </c>
      <c r="C278" s="2">
        <v>2.6</v>
      </c>
      <c r="D278" s="3">
        <v>98.2</v>
      </c>
      <c r="E278" s="2">
        <v>5.4</v>
      </c>
      <c r="F278" s="1" t="s">
        <v>24</v>
      </c>
      <c r="G278" s="1" t="s">
        <v>20</v>
      </c>
      <c r="H278" s="1" t="s">
        <v>19</v>
      </c>
      <c r="I278" s="1" t="s">
        <v>20</v>
      </c>
      <c r="J278" s="2">
        <v>59.6</v>
      </c>
      <c r="K278" s="3">
        <v>74</v>
      </c>
      <c r="L278" s="3" t="str">
        <f t="shared" si="4"/>
        <v>70-74</v>
      </c>
      <c r="M278" s="1" t="s">
        <v>32</v>
      </c>
    </row>
    <row r="279" spans="1:13" x14ac:dyDescent="0.35">
      <c r="A279">
        <v>276</v>
      </c>
      <c r="B279" s="1" t="s">
        <v>23</v>
      </c>
      <c r="C279" s="2">
        <v>2.7</v>
      </c>
      <c r="D279" s="3">
        <v>83.8</v>
      </c>
      <c r="E279" s="2">
        <v>5.7</v>
      </c>
      <c r="F279" s="1" t="s">
        <v>34</v>
      </c>
      <c r="G279" s="1" t="s">
        <v>19</v>
      </c>
      <c r="H279" s="1" t="s">
        <v>19</v>
      </c>
      <c r="I279" s="1" t="s">
        <v>20</v>
      </c>
      <c r="J279" s="2">
        <v>68.5</v>
      </c>
      <c r="K279" s="3">
        <v>76</v>
      </c>
      <c r="L279" s="3" t="str">
        <f t="shared" si="4"/>
        <v>75-79</v>
      </c>
      <c r="M279" s="1" t="s">
        <v>32</v>
      </c>
    </row>
    <row r="280" spans="1:13" x14ac:dyDescent="0.35">
      <c r="A280">
        <v>277</v>
      </c>
      <c r="B280" s="1" t="s">
        <v>17</v>
      </c>
      <c r="C280" s="2">
        <v>3.5</v>
      </c>
      <c r="D280" s="3">
        <v>63.8</v>
      </c>
      <c r="E280" s="2">
        <v>7.5</v>
      </c>
      <c r="F280" s="1" t="s">
        <v>24</v>
      </c>
      <c r="G280" s="1" t="s">
        <v>19</v>
      </c>
      <c r="H280" s="1" t="s">
        <v>20</v>
      </c>
      <c r="I280" s="1" t="s">
        <v>20</v>
      </c>
      <c r="J280" s="2">
        <v>59.1</v>
      </c>
      <c r="K280" s="3">
        <v>76</v>
      </c>
      <c r="L280" s="3" t="str">
        <f t="shared" si="4"/>
        <v>75-79</v>
      </c>
      <c r="M280" s="1" t="s">
        <v>32</v>
      </c>
    </row>
    <row r="281" spans="1:13" x14ac:dyDescent="0.35">
      <c r="A281">
        <v>278</v>
      </c>
      <c r="B281" s="1" t="s">
        <v>23</v>
      </c>
      <c r="C281" s="2">
        <v>2.7</v>
      </c>
      <c r="D281" s="3">
        <v>78.900000000000006</v>
      </c>
      <c r="E281" s="2">
        <v>5.7</v>
      </c>
      <c r="F281" s="1" t="s">
        <v>24</v>
      </c>
      <c r="G281" s="1" t="s">
        <v>19</v>
      </c>
      <c r="H281" s="1" t="s">
        <v>20</v>
      </c>
      <c r="I281" s="1" t="s">
        <v>19</v>
      </c>
      <c r="J281" s="2">
        <v>78.3</v>
      </c>
      <c r="K281" s="3">
        <v>88</v>
      </c>
      <c r="L281" s="3" t="str">
        <f t="shared" si="4"/>
        <v>85-89</v>
      </c>
      <c r="M281" s="1" t="s">
        <v>28</v>
      </c>
    </row>
    <row r="282" spans="1:13" x14ac:dyDescent="0.35">
      <c r="A282">
        <v>279</v>
      </c>
      <c r="B282" s="1" t="s">
        <v>17</v>
      </c>
      <c r="C282" s="2">
        <v>2.4</v>
      </c>
      <c r="D282" s="3">
        <v>98</v>
      </c>
      <c r="E282" s="2">
        <v>7.4</v>
      </c>
      <c r="F282" s="1" t="s">
        <v>24</v>
      </c>
      <c r="G282" s="1" t="s">
        <v>19</v>
      </c>
      <c r="H282" s="1" t="s">
        <v>19</v>
      </c>
      <c r="I282" s="1" t="s">
        <v>20</v>
      </c>
      <c r="J282" s="2">
        <v>65.5</v>
      </c>
      <c r="K282" s="3">
        <v>94</v>
      </c>
      <c r="L282" s="3" t="str">
        <f t="shared" si="4"/>
        <v>90-94</v>
      </c>
      <c r="M282" s="1" t="s">
        <v>21</v>
      </c>
    </row>
    <row r="283" spans="1:13" x14ac:dyDescent="0.35">
      <c r="A283">
        <v>280</v>
      </c>
      <c r="B283" s="1" t="s">
        <v>23</v>
      </c>
      <c r="C283" s="2">
        <v>3.7</v>
      </c>
      <c r="D283" s="3">
        <v>84.8</v>
      </c>
      <c r="E283" s="2">
        <v>5.2</v>
      </c>
      <c r="F283" s="1" t="s">
        <v>34</v>
      </c>
      <c r="G283" s="1" t="s">
        <v>20</v>
      </c>
      <c r="H283" s="1" t="s">
        <v>19</v>
      </c>
      <c r="I283" s="1" t="s">
        <v>19</v>
      </c>
      <c r="J283" s="2">
        <v>54.3</v>
      </c>
      <c r="K283" s="3">
        <v>59</v>
      </c>
      <c r="L283" s="3" t="str">
        <f t="shared" si="4"/>
        <v>55-59</v>
      </c>
      <c r="M283" s="1" t="s">
        <v>35</v>
      </c>
    </row>
    <row r="284" spans="1:13" x14ac:dyDescent="0.35">
      <c r="A284">
        <v>281</v>
      </c>
      <c r="B284" s="1" t="s">
        <v>23</v>
      </c>
      <c r="C284" s="2">
        <v>3.1</v>
      </c>
      <c r="D284" s="3">
        <v>75</v>
      </c>
      <c r="E284" s="2">
        <v>7.8</v>
      </c>
      <c r="F284" s="1" t="s">
        <v>18</v>
      </c>
      <c r="G284" s="1" t="s">
        <v>20</v>
      </c>
      <c r="H284" s="1" t="s">
        <v>20</v>
      </c>
      <c r="I284" s="1" t="s">
        <v>20</v>
      </c>
      <c r="J284" s="2">
        <v>75.3</v>
      </c>
      <c r="K284" s="3">
        <v>81</v>
      </c>
      <c r="L284" s="3" t="str">
        <f t="shared" si="4"/>
        <v>80-84</v>
      </c>
      <c r="M284" s="1" t="s">
        <v>28</v>
      </c>
    </row>
    <row r="285" spans="1:13" x14ac:dyDescent="0.35">
      <c r="A285">
        <v>282</v>
      </c>
      <c r="B285" s="1" t="s">
        <v>23</v>
      </c>
      <c r="C285" s="2">
        <v>5.8</v>
      </c>
      <c r="D285" s="3">
        <v>80</v>
      </c>
      <c r="E285" s="2">
        <v>5.3</v>
      </c>
      <c r="F285" s="1" t="s">
        <v>33</v>
      </c>
      <c r="G285" s="1" t="s">
        <v>19</v>
      </c>
      <c r="H285" s="1" t="s">
        <v>19</v>
      </c>
      <c r="I285" s="1" t="s">
        <v>20</v>
      </c>
      <c r="J285" s="2">
        <v>52.8</v>
      </c>
      <c r="K285" s="3">
        <v>85</v>
      </c>
      <c r="L285" s="3" t="str">
        <f t="shared" si="4"/>
        <v>85-89</v>
      </c>
      <c r="M285" s="1" t="s">
        <v>28</v>
      </c>
    </row>
    <row r="286" spans="1:13" x14ac:dyDescent="0.35">
      <c r="A286">
        <v>283</v>
      </c>
      <c r="B286" s="1" t="s">
        <v>23</v>
      </c>
      <c r="C286" s="2">
        <v>0.5</v>
      </c>
      <c r="D286" s="3">
        <v>93.4</v>
      </c>
      <c r="E286" s="2">
        <v>7.5</v>
      </c>
      <c r="F286" s="1" t="s">
        <v>24</v>
      </c>
      <c r="G286" s="1" t="s">
        <v>19</v>
      </c>
      <c r="H286" s="1" t="s">
        <v>19</v>
      </c>
      <c r="I286" s="1" t="s">
        <v>19</v>
      </c>
      <c r="J286" s="2">
        <v>60</v>
      </c>
      <c r="K286" s="3">
        <v>70</v>
      </c>
      <c r="L286" s="3" t="str">
        <f t="shared" si="4"/>
        <v>70-74</v>
      </c>
      <c r="M286" s="1" t="s">
        <v>30</v>
      </c>
    </row>
    <row r="287" spans="1:13" x14ac:dyDescent="0.35">
      <c r="A287">
        <v>284</v>
      </c>
      <c r="B287" s="1" t="s">
        <v>17</v>
      </c>
      <c r="C287" s="2">
        <v>5.0999999999999996</v>
      </c>
      <c r="D287" s="3">
        <v>90.5</v>
      </c>
      <c r="E287" s="2">
        <v>7.6</v>
      </c>
      <c r="F287" s="1" t="s">
        <v>33</v>
      </c>
      <c r="G287" s="1" t="s">
        <v>19</v>
      </c>
      <c r="H287" s="1" t="s">
        <v>20</v>
      </c>
      <c r="I287" s="1" t="s">
        <v>20</v>
      </c>
      <c r="J287" s="2">
        <v>44.7</v>
      </c>
      <c r="K287" s="3">
        <v>82</v>
      </c>
      <c r="L287" s="3" t="str">
        <f t="shared" si="4"/>
        <v>80-84</v>
      </c>
      <c r="M287" s="1" t="s">
        <v>28</v>
      </c>
    </row>
    <row r="288" spans="1:13" x14ac:dyDescent="0.35">
      <c r="A288">
        <v>285</v>
      </c>
      <c r="B288" s="1" t="s">
        <v>23</v>
      </c>
      <c r="C288" s="2">
        <v>5.4</v>
      </c>
      <c r="D288" s="3">
        <v>82.6</v>
      </c>
      <c r="E288" s="2">
        <v>6</v>
      </c>
      <c r="F288" s="1" t="s">
        <v>33</v>
      </c>
      <c r="G288" s="1" t="s">
        <v>19</v>
      </c>
      <c r="H288" s="1" t="s">
        <v>19</v>
      </c>
      <c r="I288" s="1" t="s">
        <v>19</v>
      </c>
      <c r="J288" s="2">
        <v>52.9</v>
      </c>
      <c r="K288" s="3">
        <v>83</v>
      </c>
      <c r="L288" s="3" t="str">
        <f t="shared" si="4"/>
        <v>80-84</v>
      </c>
      <c r="M288" s="1" t="s">
        <v>28</v>
      </c>
    </row>
    <row r="289" spans="1:13" x14ac:dyDescent="0.35">
      <c r="A289">
        <v>286</v>
      </c>
      <c r="B289" s="1" t="s">
        <v>17</v>
      </c>
      <c r="C289" s="2">
        <v>0.5</v>
      </c>
      <c r="D289" s="3">
        <v>81.3</v>
      </c>
      <c r="E289" s="2">
        <v>7.5</v>
      </c>
      <c r="F289" s="1" t="s">
        <v>24</v>
      </c>
      <c r="G289" s="1" t="s">
        <v>19</v>
      </c>
      <c r="H289" s="1" t="s">
        <v>20</v>
      </c>
      <c r="I289" s="1" t="s">
        <v>19</v>
      </c>
      <c r="J289" s="2">
        <v>72.099999999999994</v>
      </c>
      <c r="K289" s="3">
        <v>70</v>
      </c>
      <c r="L289" s="3" t="str">
        <f t="shared" si="4"/>
        <v>70-74</v>
      </c>
      <c r="M289" s="1" t="s">
        <v>30</v>
      </c>
    </row>
    <row r="290" spans="1:13" x14ac:dyDescent="0.35">
      <c r="A290">
        <v>287</v>
      </c>
      <c r="B290" s="1" t="s">
        <v>17</v>
      </c>
      <c r="C290" s="2">
        <v>3</v>
      </c>
      <c r="D290" s="3">
        <v>81.099999999999994</v>
      </c>
      <c r="E290" s="2">
        <v>7.1</v>
      </c>
      <c r="F290" s="1" t="s">
        <v>18</v>
      </c>
      <c r="G290" s="1" t="s">
        <v>19</v>
      </c>
      <c r="H290" s="1" t="s">
        <v>20</v>
      </c>
      <c r="I290" s="1" t="s">
        <v>20</v>
      </c>
      <c r="J290" s="2">
        <v>46.4</v>
      </c>
      <c r="K290" s="3">
        <v>69</v>
      </c>
      <c r="L290" s="3" t="str">
        <f t="shared" si="4"/>
        <v>65-69</v>
      </c>
      <c r="M290" s="1" t="s">
        <v>30</v>
      </c>
    </row>
    <row r="291" spans="1:13" x14ac:dyDescent="0.35">
      <c r="A291">
        <v>288</v>
      </c>
      <c r="B291" s="1" t="s">
        <v>17</v>
      </c>
      <c r="C291" s="2">
        <v>2.9</v>
      </c>
      <c r="D291" s="3">
        <v>75.8</v>
      </c>
      <c r="E291" s="2">
        <v>6.2</v>
      </c>
      <c r="F291" s="1" t="s">
        <v>24</v>
      </c>
      <c r="G291" s="1" t="s">
        <v>20</v>
      </c>
      <c r="H291" s="1" t="s">
        <v>19</v>
      </c>
      <c r="I291" s="1" t="s">
        <v>20</v>
      </c>
      <c r="J291" s="2">
        <v>52.2</v>
      </c>
      <c r="K291" s="3">
        <v>62</v>
      </c>
      <c r="L291" s="3" t="str">
        <f t="shared" si="4"/>
        <v>60-64</v>
      </c>
      <c r="M291" s="1" t="s">
        <v>30</v>
      </c>
    </row>
    <row r="292" spans="1:13" x14ac:dyDescent="0.35">
      <c r="A292">
        <v>289</v>
      </c>
      <c r="B292" s="1" t="s">
        <v>17</v>
      </c>
      <c r="C292" s="2">
        <v>1.4</v>
      </c>
      <c r="D292" s="3">
        <v>100</v>
      </c>
      <c r="E292" s="2">
        <v>5.6</v>
      </c>
      <c r="F292" s="1" t="s">
        <v>27</v>
      </c>
      <c r="G292" s="1" t="s">
        <v>20</v>
      </c>
      <c r="H292" s="1" t="s">
        <v>19</v>
      </c>
      <c r="I292" s="1" t="s">
        <v>20</v>
      </c>
      <c r="J292" s="2">
        <v>70</v>
      </c>
      <c r="K292" s="3">
        <v>72</v>
      </c>
      <c r="L292" s="3" t="str">
        <f t="shared" si="4"/>
        <v>70-74</v>
      </c>
      <c r="M292" s="1" t="s">
        <v>32</v>
      </c>
    </row>
    <row r="293" spans="1:13" x14ac:dyDescent="0.35">
      <c r="A293">
        <v>290</v>
      </c>
      <c r="B293" s="1" t="s">
        <v>23</v>
      </c>
      <c r="C293" s="2">
        <v>2.2999999999999998</v>
      </c>
      <c r="D293" s="3">
        <v>81.8</v>
      </c>
      <c r="E293" s="2">
        <v>4.4000000000000004</v>
      </c>
      <c r="F293" s="1" t="s">
        <v>18</v>
      </c>
      <c r="G293" s="1" t="s">
        <v>19</v>
      </c>
      <c r="H293" s="1" t="s">
        <v>20</v>
      </c>
      <c r="I293" s="1" t="s">
        <v>20</v>
      </c>
      <c r="J293" s="2">
        <v>63.5</v>
      </c>
      <c r="K293" s="3">
        <v>74</v>
      </c>
      <c r="L293" s="3" t="str">
        <f t="shared" si="4"/>
        <v>70-74</v>
      </c>
      <c r="M293" s="1" t="s">
        <v>32</v>
      </c>
    </row>
    <row r="294" spans="1:13" x14ac:dyDescent="0.35">
      <c r="A294">
        <v>291</v>
      </c>
      <c r="B294" s="1" t="s">
        <v>17</v>
      </c>
      <c r="C294" s="2">
        <v>1.8</v>
      </c>
      <c r="D294" s="3">
        <v>97.2</v>
      </c>
      <c r="E294" s="2">
        <v>7.2</v>
      </c>
      <c r="F294" s="1" t="s">
        <v>27</v>
      </c>
      <c r="G294" s="1" t="s">
        <v>19</v>
      </c>
      <c r="H294" s="1" t="s">
        <v>20</v>
      </c>
      <c r="I294" s="1" t="s">
        <v>20</v>
      </c>
      <c r="J294" s="2">
        <v>93.9</v>
      </c>
      <c r="K294" s="3">
        <v>95</v>
      </c>
      <c r="L294" s="3" t="str">
        <f t="shared" si="4"/>
        <v>95-100</v>
      </c>
      <c r="M294" s="1" t="s">
        <v>21</v>
      </c>
    </row>
    <row r="295" spans="1:13" x14ac:dyDescent="0.35">
      <c r="A295">
        <v>292</v>
      </c>
      <c r="B295" s="1" t="s">
        <v>17</v>
      </c>
      <c r="C295" s="2">
        <v>6.1</v>
      </c>
      <c r="D295" s="3">
        <v>100</v>
      </c>
      <c r="E295" s="2">
        <v>4.9000000000000004</v>
      </c>
      <c r="F295" s="1" t="s">
        <v>24</v>
      </c>
      <c r="G295" s="1" t="s">
        <v>19</v>
      </c>
      <c r="H295" s="1" t="s">
        <v>20</v>
      </c>
      <c r="I295" s="1" t="s">
        <v>20</v>
      </c>
      <c r="J295" s="2">
        <v>92</v>
      </c>
      <c r="K295" s="3">
        <v>100</v>
      </c>
      <c r="L295" s="3" t="str">
        <f t="shared" si="4"/>
        <v>95-100</v>
      </c>
      <c r="M295" s="1" t="s">
        <v>21</v>
      </c>
    </row>
    <row r="296" spans="1:13" x14ac:dyDescent="0.35">
      <c r="A296">
        <v>293</v>
      </c>
      <c r="B296" s="1" t="s">
        <v>17</v>
      </c>
      <c r="C296" s="2">
        <v>4.9000000000000004</v>
      </c>
      <c r="D296" s="3">
        <v>95</v>
      </c>
      <c r="E296" s="2">
        <v>6.9</v>
      </c>
      <c r="F296" s="1" t="s">
        <v>33</v>
      </c>
      <c r="G296" s="1" t="s">
        <v>19</v>
      </c>
      <c r="H296" s="1" t="s">
        <v>20</v>
      </c>
      <c r="I296" s="1" t="s">
        <v>19</v>
      </c>
      <c r="J296" s="2">
        <v>59.6</v>
      </c>
      <c r="K296" s="3">
        <v>85</v>
      </c>
      <c r="L296" s="3" t="str">
        <f t="shared" si="4"/>
        <v>85-89</v>
      </c>
      <c r="M296" s="1" t="s">
        <v>28</v>
      </c>
    </row>
    <row r="297" spans="1:13" x14ac:dyDescent="0.35">
      <c r="A297">
        <v>294</v>
      </c>
      <c r="B297" s="1" t="s">
        <v>23</v>
      </c>
      <c r="C297" s="2">
        <v>5.4</v>
      </c>
      <c r="D297" s="3">
        <v>80.7</v>
      </c>
      <c r="E297" s="2">
        <v>6.5</v>
      </c>
      <c r="F297" s="1" t="s">
        <v>33</v>
      </c>
      <c r="G297" s="1" t="s">
        <v>19</v>
      </c>
      <c r="H297" s="1" t="s">
        <v>19</v>
      </c>
      <c r="I297" s="1" t="s">
        <v>19</v>
      </c>
      <c r="J297" s="2">
        <v>76.7</v>
      </c>
      <c r="K297" s="3">
        <v>94</v>
      </c>
      <c r="L297" s="3" t="str">
        <f t="shared" si="4"/>
        <v>90-94</v>
      </c>
      <c r="M297" s="1" t="s">
        <v>21</v>
      </c>
    </row>
    <row r="298" spans="1:13" x14ac:dyDescent="0.35">
      <c r="A298">
        <v>295</v>
      </c>
      <c r="B298" s="1" t="s">
        <v>23</v>
      </c>
      <c r="C298" s="2">
        <v>4.5999999999999996</v>
      </c>
      <c r="D298" s="3">
        <v>89</v>
      </c>
      <c r="E298" s="2">
        <v>7.6</v>
      </c>
      <c r="F298" s="1" t="s">
        <v>33</v>
      </c>
      <c r="G298" s="1" t="s">
        <v>19</v>
      </c>
      <c r="H298" s="1" t="s">
        <v>20</v>
      </c>
      <c r="I298" s="1" t="s">
        <v>20</v>
      </c>
      <c r="J298" s="2">
        <v>79</v>
      </c>
      <c r="K298" s="3">
        <v>100</v>
      </c>
      <c r="L298" s="3" t="str">
        <f t="shared" si="4"/>
        <v>95-100</v>
      </c>
      <c r="M298" s="1" t="s">
        <v>21</v>
      </c>
    </row>
    <row r="299" spans="1:13" x14ac:dyDescent="0.35">
      <c r="A299">
        <v>296</v>
      </c>
      <c r="B299" s="1" t="s">
        <v>23</v>
      </c>
      <c r="C299" s="2">
        <v>1.8</v>
      </c>
      <c r="D299" s="3">
        <v>84.8</v>
      </c>
      <c r="E299" s="2">
        <v>6.4</v>
      </c>
      <c r="F299" s="1" t="s">
        <v>27</v>
      </c>
      <c r="G299" s="1" t="s">
        <v>19</v>
      </c>
      <c r="H299" s="1" t="s">
        <v>19</v>
      </c>
      <c r="I299" s="1" t="s">
        <v>20</v>
      </c>
      <c r="J299" s="2">
        <v>62.8</v>
      </c>
      <c r="K299" s="3">
        <v>82</v>
      </c>
      <c r="L299" s="3" t="str">
        <f t="shared" si="4"/>
        <v>80-84</v>
      </c>
      <c r="M299" s="1" t="s">
        <v>28</v>
      </c>
    </row>
    <row r="300" spans="1:13" x14ac:dyDescent="0.35">
      <c r="A300">
        <v>297</v>
      </c>
      <c r="B300" s="1" t="s">
        <v>23</v>
      </c>
      <c r="C300" s="2">
        <v>2.7</v>
      </c>
      <c r="D300" s="3">
        <v>76</v>
      </c>
      <c r="E300" s="2">
        <v>6.4</v>
      </c>
      <c r="F300" s="1" t="s">
        <v>18</v>
      </c>
      <c r="G300" s="1" t="s">
        <v>19</v>
      </c>
      <c r="H300" s="1" t="s">
        <v>19</v>
      </c>
      <c r="I300" s="1" t="s">
        <v>20</v>
      </c>
      <c r="J300" s="2">
        <v>52.1</v>
      </c>
      <c r="K300" s="3">
        <v>71</v>
      </c>
      <c r="L300" s="3" t="str">
        <f t="shared" si="4"/>
        <v>70-74</v>
      </c>
      <c r="M300" s="1" t="s">
        <v>32</v>
      </c>
    </row>
    <row r="301" spans="1:13" x14ac:dyDescent="0.35">
      <c r="A301">
        <v>298</v>
      </c>
      <c r="B301" s="1" t="s">
        <v>17</v>
      </c>
      <c r="C301" s="2">
        <v>4.2</v>
      </c>
      <c r="D301" s="3">
        <v>88.2</v>
      </c>
      <c r="E301" s="2">
        <v>7.7</v>
      </c>
      <c r="F301" s="1" t="s">
        <v>24</v>
      </c>
      <c r="G301" s="1" t="s">
        <v>19</v>
      </c>
      <c r="H301" s="1" t="s">
        <v>19</v>
      </c>
      <c r="I301" s="1" t="s">
        <v>20</v>
      </c>
      <c r="J301" s="2">
        <v>69.900000000000006</v>
      </c>
      <c r="K301" s="3">
        <v>90</v>
      </c>
      <c r="L301" s="3" t="str">
        <f t="shared" si="4"/>
        <v>90-94</v>
      </c>
      <c r="M301" s="1" t="s">
        <v>28</v>
      </c>
    </row>
    <row r="302" spans="1:13" x14ac:dyDescent="0.35">
      <c r="A302">
        <v>299</v>
      </c>
      <c r="B302" s="1" t="s">
        <v>17</v>
      </c>
      <c r="C302" s="2">
        <v>1.7</v>
      </c>
      <c r="D302" s="3">
        <v>73.2</v>
      </c>
      <c r="E302" s="2">
        <v>7.2</v>
      </c>
      <c r="F302" s="1" t="s">
        <v>33</v>
      </c>
      <c r="G302" s="1" t="s">
        <v>20</v>
      </c>
      <c r="H302" s="1" t="s">
        <v>19</v>
      </c>
      <c r="I302" s="1" t="s">
        <v>20</v>
      </c>
      <c r="J302" s="2">
        <v>67.900000000000006</v>
      </c>
      <c r="K302" s="3">
        <v>69</v>
      </c>
      <c r="L302" s="3" t="str">
        <f t="shared" si="4"/>
        <v>65-69</v>
      </c>
      <c r="M302" s="1" t="s">
        <v>30</v>
      </c>
    </row>
    <row r="303" spans="1:13" x14ac:dyDescent="0.35">
      <c r="A303">
        <v>300</v>
      </c>
      <c r="B303" s="1" t="s">
        <v>23</v>
      </c>
      <c r="C303" s="2">
        <v>4.5999999999999996</v>
      </c>
      <c r="D303" s="3">
        <v>96.9</v>
      </c>
      <c r="E303" s="2">
        <v>7.2</v>
      </c>
      <c r="F303" s="1" t="s">
        <v>33</v>
      </c>
      <c r="G303" s="1" t="s">
        <v>19</v>
      </c>
      <c r="H303" s="1" t="s">
        <v>20</v>
      </c>
      <c r="I303" s="1" t="s">
        <v>19</v>
      </c>
      <c r="J303" s="2">
        <v>64.8</v>
      </c>
      <c r="K303" s="3">
        <v>82</v>
      </c>
      <c r="L303" s="3" t="str">
        <f t="shared" si="4"/>
        <v>80-84</v>
      </c>
      <c r="M303" s="1" t="s">
        <v>28</v>
      </c>
    </row>
    <row r="304" spans="1:13" x14ac:dyDescent="0.35">
      <c r="A304">
        <v>301</v>
      </c>
      <c r="B304" s="1" t="s">
        <v>17</v>
      </c>
      <c r="C304" s="2">
        <v>3.1</v>
      </c>
      <c r="D304" s="3">
        <v>80.400000000000006</v>
      </c>
      <c r="E304" s="2">
        <v>7.4</v>
      </c>
      <c r="F304" s="1" t="s">
        <v>18</v>
      </c>
      <c r="G304" s="1" t="s">
        <v>19</v>
      </c>
      <c r="H304" s="1" t="s">
        <v>19</v>
      </c>
      <c r="I304" s="1" t="s">
        <v>19</v>
      </c>
      <c r="J304" s="2">
        <v>75.3</v>
      </c>
      <c r="K304" s="3">
        <v>81</v>
      </c>
      <c r="L304" s="3" t="str">
        <f t="shared" si="4"/>
        <v>80-84</v>
      </c>
      <c r="M304" s="1" t="s">
        <v>28</v>
      </c>
    </row>
    <row r="305" spans="1:13" x14ac:dyDescent="0.35">
      <c r="A305">
        <v>302</v>
      </c>
      <c r="B305" s="1" t="s">
        <v>17</v>
      </c>
      <c r="C305" s="2">
        <v>2.9</v>
      </c>
      <c r="D305" s="3">
        <v>87</v>
      </c>
      <c r="E305" s="2">
        <v>5</v>
      </c>
      <c r="F305" s="1" t="s">
        <v>24</v>
      </c>
      <c r="G305" s="1" t="s">
        <v>19</v>
      </c>
      <c r="H305" s="1" t="s">
        <v>19</v>
      </c>
      <c r="I305" s="1" t="s">
        <v>20</v>
      </c>
      <c r="J305" s="2">
        <v>61</v>
      </c>
      <c r="K305" s="3">
        <v>82</v>
      </c>
      <c r="L305" s="3" t="str">
        <f t="shared" si="4"/>
        <v>80-84</v>
      </c>
      <c r="M305" s="1" t="s">
        <v>28</v>
      </c>
    </row>
    <row r="306" spans="1:13" x14ac:dyDescent="0.35">
      <c r="A306">
        <v>303</v>
      </c>
      <c r="B306" s="1" t="s">
        <v>17</v>
      </c>
      <c r="C306" s="2">
        <v>4.5999999999999996</v>
      </c>
      <c r="D306" s="3">
        <v>87.8</v>
      </c>
      <c r="E306" s="2">
        <v>7.7</v>
      </c>
      <c r="F306" s="1" t="s">
        <v>18</v>
      </c>
      <c r="G306" s="1" t="s">
        <v>19</v>
      </c>
      <c r="H306" s="1" t="s">
        <v>19</v>
      </c>
      <c r="I306" s="1" t="s">
        <v>20</v>
      </c>
      <c r="J306" s="2">
        <v>56.2</v>
      </c>
      <c r="K306" s="3">
        <v>91</v>
      </c>
      <c r="L306" s="3" t="str">
        <f t="shared" si="4"/>
        <v>90-94</v>
      </c>
      <c r="M306" s="1" t="s">
        <v>21</v>
      </c>
    </row>
    <row r="307" spans="1:13" x14ac:dyDescent="0.35">
      <c r="A307">
        <v>304</v>
      </c>
      <c r="B307" s="1" t="s">
        <v>23</v>
      </c>
      <c r="C307" s="2">
        <v>4.2</v>
      </c>
      <c r="D307" s="3">
        <v>82.4</v>
      </c>
      <c r="E307" s="2">
        <v>7.5</v>
      </c>
      <c r="F307" s="1" t="s">
        <v>24</v>
      </c>
      <c r="G307" s="1" t="s">
        <v>20</v>
      </c>
      <c r="H307" s="1" t="s">
        <v>20</v>
      </c>
      <c r="I307" s="1" t="s">
        <v>20</v>
      </c>
      <c r="J307" s="2">
        <v>71.3</v>
      </c>
      <c r="K307" s="3">
        <v>82</v>
      </c>
      <c r="L307" s="3" t="str">
        <f t="shared" si="4"/>
        <v>80-84</v>
      </c>
      <c r="M307" s="1" t="s">
        <v>28</v>
      </c>
    </row>
    <row r="308" spans="1:13" x14ac:dyDescent="0.35">
      <c r="A308">
        <v>305</v>
      </c>
      <c r="B308" s="1" t="s">
        <v>23</v>
      </c>
      <c r="C308" s="2">
        <v>3</v>
      </c>
      <c r="D308" s="3">
        <v>90.9</v>
      </c>
      <c r="E308" s="2">
        <v>5.6</v>
      </c>
      <c r="F308" s="1" t="s">
        <v>18</v>
      </c>
      <c r="G308" s="1" t="s">
        <v>19</v>
      </c>
      <c r="H308" s="1" t="s">
        <v>20</v>
      </c>
      <c r="I308" s="1" t="s">
        <v>19</v>
      </c>
      <c r="J308" s="2">
        <v>74.599999999999994</v>
      </c>
      <c r="K308" s="3">
        <v>83</v>
      </c>
      <c r="L308" s="3" t="str">
        <f t="shared" si="4"/>
        <v>80-84</v>
      </c>
      <c r="M308" s="1" t="s">
        <v>28</v>
      </c>
    </row>
    <row r="309" spans="1:13" x14ac:dyDescent="0.35">
      <c r="A309">
        <v>306</v>
      </c>
      <c r="B309" s="1" t="s">
        <v>17</v>
      </c>
      <c r="C309" s="2">
        <v>5.2</v>
      </c>
      <c r="D309" s="3">
        <v>80.3</v>
      </c>
      <c r="E309" s="2">
        <v>6.5</v>
      </c>
      <c r="F309" s="1" t="s">
        <v>18</v>
      </c>
      <c r="G309" s="1" t="s">
        <v>19</v>
      </c>
      <c r="H309" s="1" t="s">
        <v>19</v>
      </c>
      <c r="I309" s="1" t="s">
        <v>20</v>
      </c>
      <c r="J309" s="2">
        <v>55.9</v>
      </c>
      <c r="K309" s="3">
        <v>81</v>
      </c>
      <c r="L309" s="3" t="str">
        <f t="shared" si="4"/>
        <v>80-84</v>
      </c>
      <c r="M309" s="1" t="s">
        <v>28</v>
      </c>
    </row>
    <row r="310" spans="1:13" x14ac:dyDescent="0.35">
      <c r="A310">
        <v>307</v>
      </c>
      <c r="B310" s="1" t="s">
        <v>23</v>
      </c>
      <c r="C310" s="2">
        <v>1.9</v>
      </c>
      <c r="D310" s="3">
        <v>93.7</v>
      </c>
      <c r="E310" s="2">
        <v>6.8</v>
      </c>
      <c r="F310" s="1" t="s">
        <v>33</v>
      </c>
      <c r="G310" s="1" t="s">
        <v>19</v>
      </c>
      <c r="H310" s="1" t="s">
        <v>19</v>
      </c>
      <c r="I310" s="1" t="s">
        <v>19</v>
      </c>
      <c r="J310" s="2">
        <v>81.099999999999994</v>
      </c>
      <c r="K310" s="3">
        <v>87</v>
      </c>
      <c r="L310" s="3" t="str">
        <f t="shared" si="4"/>
        <v>85-89</v>
      </c>
      <c r="M310" s="1" t="s">
        <v>28</v>
      </c>
    </row>
    <row r="311" spans="1:13" x14ac:dyDescent="0.35">
      <c r="A311">
        <v>308</v>
      </c>
      <c r="B311" s="1" t="s">
        <v>23</v>
      </c>
      <c r="C311" s="2">
        <v>4.4000000000000004</v>
      </c>
      <c r="D311" s="3">
        <v>71.5</v>
      </c>
      <c r="E311" s="2">
        <v>6.6</v>
      </c>
      <c r="F311" s="1" t="s">
        <v>24</v>
      </c>
      <c r="G311" s="1" t="s">
        <v>19</v>
      </c>
      <c r="H311" s="1" t="s">
        <v>19</v>
      </c>
      <c r="I311" s="1" t="s">
        <v>19</v>
      </c>
      <c r="J311" s="2">
        <v>48.8</v>
      </c>
      <c r="K311" s="3">
        <v>73</v>
      </c>
      <c r="L311" s="3" t="str">
        <f t="shared" si="4"/>
        <v>70-74</v>
      </c>
      <c r="M311" s="1" t="s">
        <v>32</v>
      </c>
    </row>
    <row r="312" spans="1:13" x14ac:dyDescent="0.35">
      <c r="A312">
        <v>309</v>
      </c>
      <c r="B312" s="1" t="s">
        <v>23</v>
      </c>
      <c r="C312" s="2">
        <v>4.4000000000000004</v>
      </c>
      <c r="D312" s="3">
        <v>86.3</v>
      </c>
      <c r="E312" s="2">
        <v>7.2</v>
      </c>
      <c r="F312" s="1" t="s">
        <v>18</v>
      </c>
      <c r="G312" s="1" t="s">
        <v>19</v>
      </c>
      <c r="H312" s="1" t="s">
        <v>20</v>
      </c>
      <c r="I312" s="1" t="s">
        <v>20</v>
      </c>
      <c r="J312" s="2">
        <v>63.1</v>
      </c>
      <c r="K312" s="3">
        <v>85</v>
      </c>
      <c r="L312" s="3" t="str">
        <f t="shared" si="4"/>
        <v>85-89</v>
      </c>
      <c r="M312" s="1" t="s">
        <v>28</v>
      </c>
    </row>
    <row r="313" spans="1:13" x14ac:dyDescent="0.35">
      <c r="A313">
        <v>310</v>
      </c>
      <c r="B313" s="1" t="s">
        <v>23</v>
      </c>
      <c r="C313" s="2">
        <v>3</v>
      </c>
      <c r="D313" s="3">
        <v>100</v>
      </c>
      <c r="E313" s="2">
        <v>8.5</v>
      </c>
      <c r="F313" s="1" t="s">
        <v>24</v>
      </c>
      <c r="G313" s="1" t="s">
        <v>19</v>
      </c>
      <c r="H313" s="1" t="s">
        <v>20</v>
      </c>
      <c r="I313" s="1" t="s">
        <v>19</v>
      </c>
      <c r="J313" s="2">
        <v>66.900000000000006</v>
      </c>
      <c r="K313" s="3">
        <v>83</v>
      </c>
      <c r="L313" s="3" t="str">
        <f t="shared" si="4"/>
        <v>80-84</v>
      </c>
      <c r="M313" s="1" t="s">
        <v>28</v>
      </c>
    </row>
    <row r="314" spans="1:13" x14ac:dyDescent="0.35">
      <c r="A314">
        <v>311</v>
      </c>
      <c r="B314" s="1" t="s">
        <v>23</v>
      </c>
      <c r="C314" s="2">
        <v>4</v>
      </c>
      <c r="D314" s="3">
        <v>75</v>
      </c>
      <c r="E314" s="2">
        <v>8.1</v>
      </c>
      <c r="F314" s="1" t="s">
        <v>24</v>
      </c>
      <c r="G314" s="1" t="s">
        <v>19</v>
      </c>
      <c r="H314" s="1" t="s">
        <v>19</v>
      </c>
      <c r="I314" s="1" t="s">
        <v>20</v>
      </c>
      <c r="J314" s="2">
        <v>62.4</v>
      </c>
      <c r="K314" s="3">
        <v>83</v>
      </c>
      <c r="L314" s="3" t="str">
        <f t="shared" si="4"/>
        <v>80-84</v>
      </c>
      <c r="M314" s="1" t="s">
        <v>28</v>
      </c>
    </row>
    <row r="315" spans="1:13" x14ac:dyDescent="0.35">
      <c r="A315">
        <v>312</v>
      </c>
      <c r="B315" s="1" t="s">
        <v>17</v>
      </c>
      <c r="C315" s="2">
        <v>1.6</v>
      </c>
      <c r="D315" s="3">
        <v>78.2</v>
      </c>
      <c r="E315" s="2">
        <v>5.2</v>
      </c>
      <c r="F315" s="1" t="s">
        <v>33</v>
      </c>
      <c r="G315" s="1" t="s">
        <v>19</v>
      </c>
      <c r="H315" s="1" t="s">
        <v>20</v>
      </c>
      <c r="I315" s="1" t="s">
        <v>19</v>
      </c>
      <c r="J315" s="2">
        <v>63.2</v>
      </c>
      <c r="K315" s="3">
        <v>63</v>
      </c>
      <c r="L315" s="3" t="str">
        <f t="shared" si="4"/>
        <v>60-64</v>
      </c>
      <c r="M315" s="1" t="s">
        <v>30</v>
      </c>
    </row>
    <row r="316" spans="1:13" x14ac:dyDescent="0.35">
      <c r="A316">
        <v>313</v>
      </c>
      <c r="B316" s="1" t="s">
        <v>23</v>
      </c>
      <c r="C316" s="2">
        <v>4.9000000000000004</v>
      </c>
      <c r="D316" s="3">
        <v>90.1</v>
      </c>
      <c r="E316" s="2">
        <v>7.5</v>
      </c>
      <c r="F316" s="1" t="s">
        <v>27</v>
      </c>
      <c r="G316" s="1" t="s">
        <v>19</v>
      </c>
      <c r="H316" s="1" t="s">
        <v>19</v>
      </c>
      <c r="I316" s="1" t="s">
        <v>20</v>
      </c>
      <c r="J316" s="2">
        <v>92.5</v>
      </c>
      <c r="K316" s="3">
        <v>100</v>
      </c>
      <c r="L316" s="3" t="str">
        <f t="shared" si="4"/>
        <v>95-100</v>
      </c>
      <c r="M316" s="1" t="s">
        <v>21</v>
      </c>
    </row>
    <row r="317" spans="1:13" x14ac:dyDescent="0.35">
      <c r="A317">
        <v>314</v>
      </c>
      <c r="B317" s="1" t="s">
        <v>17</v>
      </c>
      <c r="C317" s="2">
        <v>3.2</v>
      </c>
      <c r="D317" s="3">
        <v>86.8</v>
      </c>
      <c r="E317" s="2">
        <v>8.4</v>
      </c>
      <c r="F317" s="1" t="s">
        <v>18</v>
      </c>
      <c r="G317" s="1" t="s">
        <v>19</v>
      </c>
      <c r="H317" s="1" t="s">
        <v>20</v>
      </c>
      <c r="I317" s="1" t="s">
        <v>20</v>
      </c>
      <c r="J317" s="2">
        <v>59.8</v>
      </c>
      <c r="K317" s="3">
        <v>79</v>
      </c>
      <c r="L317" s="3" t="str">
        <f t="shared" si="4"/>
        <v>75-79</v>
      </c>
      <c r="M317" s="1" t="s">
        <v>32</v>
      </c>
    </row>
    <row r="318" spans="1:13" x14ac:dyDescent="0.35">
      <c r="A318">
        <v>315</v>
      </c>
      <c r="B318" s="1" t="s">
        <v>17</v>
      </c>
      <c r="C318" s="2">
        <v>2.7</v>
      </c>
      <c r="D318" s="3">
        <v>88.5</v>
      </c>
      <c r="E318" s="2">
        <v>7.3</v>
      </c>
      <c r="F318" s="1" t="s">
        <v>33</v>
      </c>
      <c r="G318" s="1" t="s">
        <v>19</v>
      </c>
      <c r="H318" s="1" t="s">
        <v>19</v>
      </c>
      <c r="I318" s="1" t="s">
        <v>20</v>
      </c>
      <c r="J318" s="2">
        <v>99.3</v>
      </c>
      <c r="K318" s="3">
        <v>100</v>
      </c>
      <c r="L318" s="3" t="str">
        <f t="shared" si="4"/>
        <v>95-100</v>
      </c>
      <c r="M318" s="1" t="s">
        <v>21</v>
      </c>
    </row>
    <row r="319" spans="1:13" x14ac:dyDescent="0.35">
      <c r="A319">
        <v>316</v>
      </c>
      <c r="B319" s="1" t="s">
        <v>23</v>
      </c>
      <c r="C319" s="2">
        <v>5.0999999999999996</v>
      </c>
      <c r="D319" s="3">
        <v>89.9</v>
      </c>
      <c r="E319" s="2">
        <v>8.1</v>
      </c>
      <c r="F319" s="1" t="s">
        <v>34</v>
      </c>
      <c r="G319" s="1" t="s">
        <v>19</v>
      </c>
      <c r="H319" s="1" t="s">
        <v>19</v>
      </c>
      <c r="I319" s="1" t="s">
        <v>20</v>
      </c>
      <c r="J319" s="2">
        <v>75.2</v>
      </c>
      <c r="K319" s="3">
        <v>100</v>
      </c>
      <c r="L319" s="3" t="str">
        <f t="shared" si="4"/>
        <v>95-100</v>
      </c>
      <c r="M319" s="1" t="s">
        <v>21</v>
      </c>
    </row>
    <row r="320" spans="1:13" x14ac:dyDescent="0.35">
      <c r="A320">
        <v>317</v>
      </c>
      <c r="B320" s="1" t="s">
        <v>17</v>
      </c>
      <c r="C320" s="2">
        <v>2.4</v>
      </c>
      <c r="D320" s="3">
        <v>91.3</v>
      </c>
      <c r="E320" s="2">
        <v>9.1999999999999993</v>
      </c>
      <c r="F320" s="1" t="s">
        <v>33</v>
      </c>
      <c r="G320" s="1" t="s">
        <v>20</v>
      </c>
      <c r="H320" s="1" t="s">
        <v>19</v>
      </c>
      <c r="I320" s="1" t="s">
        <v>19</v>
      </c>
      <c r="J320" s="2">
        <v>71.099999999999994</v>
      </c>
      <c r="K320" s="3">
        <v>73</v>
      </c>
      <c r="L320" s="3" t="str">
        <f t="shared" si="4"/>
        <v>70-74</v>
      </c>
      <c r="M320" s="1" t="s">
        <v>32</v>
      </c>
    </row>
    <row r="321" spans="1:13" x14ac:dyDescent="0.35">
      <c r="A321">
        <v>318</v>
      </c>
      <c r="B321" s="1" t="s">
        <v>17</v>
      </c>
      <c r="C321" s="2">
        <v>1.4</v>
      </c>
      <c r="D321" s="3">
        <v>96.1</v>
      </c>
      <c r="E321" s="2">
        <v>8</v>
      </c>
      <c r="F321" s="1" t="s">
        <v>24</v>
      </c>
      <c r="G321" s="1" t="s">
        <v>20</v>
      </c>
      <c r="H321" s="1" t="s">
        <v>19</v>
      </c>
      <c r="I321" s="1" t="s">
        <v>20</v>
      </c>
      <c r="J321" s="2">
        <v>75.7</v>
      </c>
      <c r="K321" s="3">
        <v>79</v>
      </c>
      <c r="L321" s="3" t="str">
        <f t="shared" si="4"/>
        <v>75-79</v>
      </c>
      <c r="M321" s="1" t="s">
        <v>32</v>
      </c>
    </row>
    <row r="322" spans="1:13" x14ac:dyDescent="0.35">
      <c r="A322">
        <v>319</v>
      </c>
      <c r="B322" s="1" t="s">
        <v>17</v>
      </c>
      <c r="C322" s="2">
        <v>1.2</v>
      </c>
      <c r="D322" s="3">
        <v>89.1</v>
      </c>
      <c r="E322" s="2">
        <v>7.1</v>
      </c>
      <c r="F322" s="1" t="s">
        <v>27</v>
      </c>
      <c r="G322" s="1" t="s">
        <v>19</v>
      </c>
      <c r="H322" s="1" t="s">
        <v>20</v>
      </c>
      <c r="I322" s="1" t="s">
        <v>20</v>
      </c>
      <c r="J322" s="2">
        <v>100</v>
      </c>
      <c r="K322" s="3">
        <v>84</v>
      </c>
      <c r="L322" s="3" t="str">
        <f t="shared" si="4"/>
        <v>80-84</v>
      </c>
      <c r="M322" s="1" t="s">
        <v>28</v>
      </c>
    </row>
    <row r="323" spans="1:13" x14ac:dyDescent="0.35">
      <c r="A323">
        <v>320</v>
      </c>
      <c r="B323" s="1" t="s">
        <v>23</v>
      </c>
      <c r="C323" s="2">
        <v>4.4000000000000004</v>
      </c>
      <c r="D323" s="3">
        <v>82.6</v>
      </c>
      <c r="E323" s="2">
        <v>8.1</v>
      </c>
      <c r="F323" s="1" t="s">
        <v>18</v>
      </c>
      <c r="G323" s="1" t="s">
        <v>19</v>
      </c>
      <c r="H323" s="1" t="s">
        <v>19</v>
      </c>
      <c r="I323" s="1" t="s">
        <v>19</v>
      </c>
      <c r="J323" s="2">
        <v>58.1</v>
      </c>
      <c r="K323" s="3">
        <v>81</v>
      </c>
      <c r="L323" s="3" t="str">
        <f t="shared" si="4"/>
        <v>80-84</v>
      </c>
      <c r="M323" s="1" t="s">
        <v>28</v>
      </c>
    </row>
    <row r="324" spans="1:13" x14ac:dyDescent="0.35">
      <c r="A324">
        <v>321</v>
      </c>
      <c r="B324" s="1" t="s">
        <v>23</v>
      </c>
      <c r="C324" s="2">
        <v>1.6</v>
      </c>
      <c r="D324" s="3">
        <v>91.7</v>
      </c>
      <c r="E324" s="2">
        <v>7</v>
      </c>
      <c r="F324" s="1" t="s">
        <v>24</v>
      </c>
      <c r="G324" s="1" t="s">
        <v>19</v>
      </c>
      <c r="H324" s="1" t="s">
        <v>20</v>
      </c>
      <c r="I324" s="1" t="s">
        <v>20</v>
      </c>
      <c r="J324" s="2">
        <v>56.6</v>
      </c>
      <c r="K324" s="3">
        <v>85</v>
      </c>
      <c r="L324" s="3" t="str">
        <f t="shared" si="4"/>
        <v>85-89</v>
      </c>
      <c r="M324" s="1" t="s">
        <v>28</v>
      </c>
    </row>
    <row r="325" spans="1:13" x14ac:dyDescent="0.35">
      <c r="A325">
        <v>322</v>
      </c>
      <c r="B325" s="1" t="s">
        <v>17</v>
      </c>
      <c r="C325" s="2">
        <v>6.1</v>
      </c>
      <c r="D325" s="3">
        <v>100</v>
      </c>
      <c r="E325" s="2">
        <v>6.8</v>
      </c>
      <c r="F325" s="1" t="s">
        <v>24</v>
      </c>
      <c r="G325" s="1" t="s">
        <v>19</v>
      </c>
      <c r="H325" s="1" t="s">
        <v>20</v>
      </c>
      <c r="I325" s="1" t="s">
        <v>19</v>
      </c>
      <c r="J325" s="2">
        <v>60.9</v>
      </c>
      <c r="K325" s="3">
        <v>93</v>
      </c>
      <c r="L325" s="3" t="str">
        <f t="shared" ref="L325:L388" si="5">IF(K325&gt;=95,"95-100",IF(K325&gt;=90,"90-94",IF(K325&gt;=85,"85-89",IF(K325&gt;=80,"80-84",IF(K325&gt;=75,"75-79",IF(K325&gt;=70,"70-74",IF(K325&gt;=65,"65-69",IF(K325&gt;=60,"60-64",IF(K325&gt;=55,"55-59","Below 55")))))))))</f>
        <v>90-94</v>
      </c>
      <c r="M325" s="1" t="s">
        <v>21</v>
      </c>
    </row>
    <row r="326" spans="1:13" x14ac:dyDescent="0.35">
      <c r="A326">
        <v>323</v>
      </c>
      <c r="B326" s="1" t="s">
        <v>23</v>
      </c>
      <c r="C326" s="2">
        <v>0.5</v>
      </c>
      <c r="D326" s="3">
        <v>83.7</v>
      </c>
      <c r="E326" s="2">
        <v>6.4</v>
      </c>
      <c r="F326" s="1" t="s">
        <v>18</v>
      </c>
      <c r="G326" s="1" t="s">
        <v>19</v>
      </c>
      <c r="H326" s="1" t="s">
        <v>19</v>
      </c>
      <c r="I326" s="1" t="s">
        <v>20</v>
      </c>
      <c r="J326" s="2">
        <v>70.400000000000006</v>
      </c>
      <c r="K326" s="3">
        <v>74</v>
      </c>
      <c r="L326" s="3" t="str">
        <f t="shared" si="5"/>
        <v>70-74</v>
      </c>
      <c r="M326" s="1" t="s">
        <v>32</v>
      </c>
    </row>
    <row r="327" spans="1:13" x14ac:dyDescent="0.35">
      <c r="A327">
        <v>324</v>
      </c>
      <c r="B327" s="1" t="s">
        <v>23</v>
      </c>
      <c r="C327" s="2">
        <v>6</v>
      </c>
      <c r="D327" s="3">
        <v>75.3</v>
      </c>
      <c r="E327" s="2">
        <v>8.6999999999999993</v>
      </c>
      <c r="F327" s="1" t="s">
        <v>24</v>
      </c>
      <c r="G327" s="1" t="s">
        <v>19</v>
      </c>
      <c r="H327" s="1" t="s">
        <v>19</v>
      </c>
      <c r="I327" s="1" t="s">
        <v>20</v>
      </c>
      <c r="J327" s="2">
        <v>49.3</v>
      </c>
      <c r="K327" s="3">
        <v>91</v>
      </c>
      <c r="L327" s="3" t="str">
        <f t="shared" si="5"/>
        <v>90-94</v>
      </c>
      <c r="M327" s="1" t="s">
        <v>21</v>
      </c>
    </row>
    <row r="328" spans="1:13" x14ac:dyDescent="0.35">
      <c r="A328">
        <v>325</v>
      </c>
      <c r="B328" s="1" t="s">
        <v>23</v>
      </c>
      <c r="C328" s="2">
        <v>3.8</v>
      </c>
      <c r="D328" s="3">
        <v>96.1</v>
      </c>
      <c r="E328" s="2">
        <v>5.8</v>
      </c>
      <c r="F328" s="1" t="s">
        <v>24</v>
      </c>
      <c r="G328" s="1" t="s">
        <v>19</v>
      </c>
      <c r="H328" s="1" t="s">
        <v>19</v>
      </c>
      <c r="I328" s="1" t="s">
        <v>19</v>
      </c>
      <c r="J328" s="2">
        <v>70.3</v>
      </c>
      <c r="K328" s="3">
        <v>81</v>
      </c>
      <c r="L328" s="3" t="str">
        <f t="shared" si="5"/>
        <v>80-84</v>
      </c>
      <c r="M328" s="1" t="s">
        <v>28</v>
      </c>
    </row>
    <row r="329" spans="1:13" x14ac:dyDescent="0.35">
      <c r="A329">
        <v>326</v>
      </c>
      <c r="B329" s="1" t="s">
        <v>23</v>
      </c>
      <c r="C329" s="2">
        <v>3.4</v>
      </c>
      <c r="D329" s="3">
        <v>83.8</v>
      </c>
      <c r="E329" s="2">
        <v>8.6</v>
      </c>
      <c r="F329" s="1" t="s">
        <v>24</v>
      </c>
      <c r="G329" s="1" t="s">
        <v>19</v>
      </c>
      <c r="H329" s="1" t="s">
        <v>20</v>
      </c>
      <c r="I329" s="1" t="s">
        <v>20</v>
      </c>
      <c r="J329" s="2">
        <v>90.3</v>
      </c>
      <c r="K329" s="3">
        <v>89</v>
      </c>
      <c r="L329" s="3" t="str">
        <f t="shared" si="5"/>
        <v>85-89</v>
      </c>
      <c r="M329" s="1" t="s">
        <v>28</v>
      </c>
    </row>
    <row r="330" spans="1:13" x14ac:dyDescent="0.35">
      <c r="A330">
        <v>327</v>
      </c>
      <c r="B330" s="1" t="s">
        <v>17</v>
      </c>
      <c r="C330" s="2">
        <v>2.7</v>
      </c>
      <c r="D330" s="3">
        <v>63.3</v>
      </c>
      <c r="E330" s="2">
        <v>7.4</v>
      </c>
      <c r="F330" s="1" t="s">
        <v>33</v>
      </c>
      <c r="G330" s="1" t="s">
        <v>20</v>
      </c>
      <c r="H330" s="1" t="s">
        <v>19</v>
      </c>
      <c r="I330" s="1" t="s">
        <v>20</v>
      </c>
      <c r="J330" s="2">
        <v>71.8</v>
      </c>
      <c r="K330" s="3">
        <v>64</v>
      </c>
      <c r="L330" s="3" t="str">
        <f t="shared" si="5"/>
        <v>60-64</v>
      </c>
      <c r="M330" s="1" t="s">
        <v>30</v>
      </c>
    </row>
    <row r="331" spans="1:13" x14ac:dyDescent="0.35">
      <c r="A331">
        <v>328</v>
      </c>
      <c r="B331" s="1" t="s">
        <v>17</v>
      </c>
      <c r="C331" s="2">
        <v>4.0999999999999996</v>
      </c>
      <c r="D331" s="3">
        <v>93.5</v>
      </c>
      <c r="E331" s="2">
        <v>5.0999999999999996</v>
      </c>
      <c r="F331" s="1" t="s">
        <v>34</v>
      </c>
      <c r="G331" s="1" t="s">
        <v>19</v>
      </c>
      <c r="H331" s="1" t="s">
        <v>19</v>
      </c>
      <c r="I331" s="1" t="s">
        <v>20</v>
      </c>
      <c r="J331" s="2">
        <v>66.5</v>
      </c>
      <c r="K331" s="3">
        <v>83</v>
      </c>
      <c r="L331" s="3" t="str">
        <f t="shared" si="5"/>
        <v>80-84</v>
      </c>
      <c r="M331" s="1" t="s">
        <v>28</v>
      </c>
    </row>
    <row r="332" spans="1:13" x14ac:dyDescent="0.35">
      <c r="A332">
        <v>329</v>
      </c>
      <c r="B332" s="1" t="s">
        <v>23</v>
      </c>
      <c r="C332" s="2">
        <v>3.4</v>
      </c>
      <c r="D332" s="3">
        <v>79.599999999999994</v>
      </c>
      <c r="E332" s="2">
        <v>7.2</v>
      </c>
      <c r="F332" s="1" t="s">
        <v>24</v>
      </c>
      <c r="G332" s="1" t="s">
        <v>19</v>
      </c>
      <c r="H332" s="1" t="s">
        <v>19</v>
      </c>
      <c r="I332" s="1" t="s">
        <v>20</v>
      </c>
      <c r="J332" s="2">
        <v>62.6</v>
      </c>
      <c r="K332" s="3">
        <v>64</v>
      </c>
      <c r="L332" s="3" t="str">
        <f t="shared" si="5"/>
        <v>60-64</v>
      </c>
      <c r="M332" s="1" t="s">
        <v>30</v>
      </c>
    </row>
    <row r="333" spans="1:13" x14ac:dyDescent="0.35">
      <c r="A333">
        <v>330</v>
      </c>
      <c r="B333" s="1" t="s">
        <v>23</v>
      </c>
      <c r="C333" s="2">
        <v>5.2</v>
      </c>
      <c r="D333" s="3">
        <v>84.1</v>
      </c>
      <c r="E333" s="2">
        <v>4.3</v>
      </c>
      <c r="F333" s="1" t="s">
        <v>34</v>
      </c>
      <c r="G333" s="1" t="s">
        <v>19</v>
      </c>
      <c r="H333" s="1" t="s">
        <v>20</v>
      </c>
      <c r="I333" s="1" t="s">
        <v>20</v>
      </c>
      <c r="J333" s="2">
        <v>80.8</v>
      </c>
      <c r="K333" s="3">
        <v>97</v>
      </c>
      <c r="L333" s="3" t="str">
        <f t="shared" si="5"/>
        <v>95-100</v>
      </c>
      <c r="M333" s="1" t="s">
        <v>21</v>
      </c>
    </row>
    <row r="334" spans="1:13" x14ac:dyDescent="0.35">
      <c r="A334">
        <v>331</v>
      </c>
      <c r="B334" s="1" t="s">
        <v>17</v>
      </c>
      <c r="C334" s="2">
        <v>3.7</v>
      </c>
      <c r="D334" s="3">
        <v>88.3</v>
      </c>
      <c r="E334" s="2">
        <v>7.6</v>
      </c>
      <c r="F334" s="1" t="s">
        <v>34</v>
      </c>
      <c r="G334" s="1" t="s">
        <v>19</v>
      </c>
      <c r="H334" s="1" t="s">
        <v>19</v>
      </c>
      <c r="I334" s="1" t="s">
        <v>20</v>
      </c>
      <c r="J334" s="2">
        <v>60.1</v>
      </c>
      <c r="K334" s="3">
        <v>97</v>
      </c>
      <c r="L334" s="3" t="str">
        <f t="shared" si="5"/>
        <v>95-100</v>
      </c>
      <c r="M334" s="1" t="s">
        <v>21</v>
      </c>
    </row>
    <row r="335" spans="1:13" x14ac:dyDescent="0.35">
      <c r="A335">
        <v>332</v>
      </c>
      <c r="B335" s="1" t="s">
        <v>17</v>
      </c>
      <c r="C335" s="2">
        <v>3.7</v>
      </c>
      <c r="D335" s="3">
        <v>86.9</v>
      </c>
      <c r="E335" s="2">
        <v>7.9</v>
      </c>
      <c r="F335" s="1" t="s">
        <v>33</v>
      </c>
      <c r="G335" s="1" t="s">
        <v>20</v>
      </c>
      <c r="H335" s="1" t="s">
        <v>19</v>
      </c>
      <c r="I335" s="1" t="s">
        <v>20</v>
      </c>
      <c r="J335" s="2">
        <v>92.2</v>
      </c>
      <c r="K335" s="3">
        <v>93</v>
      </c>
      <c r="L335" s="3" t="str">
        <f t="shared" si="5"/>
        <v>90-94</v>
      </c>
      <c r="M335" s="1" t="s">
        <v>21</v>
      </c>
    </row>
    <row r="336" spans="1:13" x14ac:dyDescent="0.35">
      <c r="A336">
        <v>333</v>
      </c>
      <c r="B336" s="1" t="s">
        <v>23</v>
      </c>
      <c r="C336" s="2">
        <v>3</v>
      </c>
      <c r="D336" s="3">
        <v>92.1</v>
      </c>
      <c r="E336" s="2">
        <v>6.1</v>
      </c>
      <c r="F336" s="1" t="s">
        <v>24</v>
      </c>
      <c r="G336" s="1" t="s">
        <v>19</v>
      </c>
      <c r="H336" s="1" t="s">
        <v>19</v>
      </c>
      <c r="I336" s="1" t="s">
        <v>19</v>
      </c>
      <c r="J336" s="2">
        <v>93.2</v>
      </c>
      <c r="K336" s="3">
        <v>83</v>
      </c>
      <c r="L336" s="3" t="str">
        <f t="shared" si="5"/>
        <v>80-84</v>
      </c>
      <c r="M336" s="1" t="s">
        <v>28</v>
      </c>
    </row>
    <row r="337" spans="1:13" x14ac:dyDescent="0.35">
      <c r="A337">
        <v>334</v>
      </c>
      <c r="B337" s="1" t="s">
        <v>17</v>
      </c>
      <c r="C337" s="2">
        <v>3.4</v>
      </c>
      <c r="D337" s="3">
        <v>80.599999999999994</v>
      </c>
      <c r="E337" s="2">
        <v>6.9</v>
      </c>
      <c r="F337" s="1" t="s">
        <v>33</v>
      </c>
      <c r="G337" s="1" t="s">
        <v>19</v>
      </c>
      <c r="H337" s="1" t="s">
        <v>19</v>
      </c>
      <c r="I337" s="1" t="s">
        <v>20</v>
      </c>
      <c r="J337" s="2">
        <v>73.099999999999994</v>
      </c>
      <c r="K337" s="3">
        <v>81</v>
      </c>
      <c r="L337" s="3" t="str">
        <f t="shared" si="5"/>
        <v>80-84</v>
      </c>
      <c r="M337" s="1" t="s">
        <v>28</v>
      </c>
    </row>
    <row r="338" spans="1:13" x14ac:dyDescent="0.35">
      <c r="A338">
        <v>335</v>
      </c>
      <c r="B338" s="1" t="s">
        <v>23</v>
      </c>
      <c r="C338" s="2">
        <v>4</v>
      </c>
      <c r="D338" s="3">
        <v>90.1</v>
      </c>
      <c r="E338" s="2">
        <v>9.1</v>
      </c>
      <c r="F338" s="1" t="s">
        <v>27</v>
      </c>
      <c r="G338" s="1" t="s">
        <v>19</v>
      </c>
      <c r="H338" s="1" t="s">
        <v>20</v>
      </c>
      <c r="I338" s="1" t="s">
        <v>20</v>
      </c>
      <c r="J338" s="2">
        <v>69.900000000000006</v>
      </c>
      <c r="K338" s="3">
        <v>89</v>
      </c>
      <c r="L338" s="3" t="str">
        <f t="shared" si="5"/>
        <v>85-89</v>
      </c>
      <c r="M338" s="1" t="s">
        <v>28</v>
      </c>
    </row>
    <row r="339" spans="1:13" x14ac:dyDescent="0.35">
      <c r="A339">
        <v>336</v>
      </c>
      <c r="B339" s="1" t="s">
        <v>23</v>
      </c>
      <c r="C339" s="2">
        <v>0.9</v>
      </c>
      <c r="D339" s="3">
        <v>82.4</v>
      </c>
      <c r="E339" s="2">
        <v>6.2</v>
      </c>
      <c r="F339" s="1" t="s">
        <v>33</v>
      </c>
      <c r="G339" s="1" t="s">
        <v>19</v>
      </c>
      <c r="H339" s="1" t="s">
        <v>19</v>
      </c>
      <c r="I339" s="1" t="s">
        <v>20</v>
      </c>
      <c r="J339" s="2">
        <v>82.4</v>
      </c>
      <c r="K339" s="3">
        <v>71</v>
      </c>
      <c r="L339" s="3" t="str">
        <f t="shared" si="5"/>
        <v>70-74</v>
      </c>
      <c r="M339" s="1" t="s">
        <v>32</v>
      </c>
    </row>
    <row r="340" spans="1:13" x14ac:dyDescent="0.35">
      <c r="A340">
        <v>337</v>
      </c>
      <c r="B340" s="1" t="s">
        <v>17</v>
      </c>
      <c r="C340" s="2">
        <v>1.5</v>
      </c>
      <c r="D340" s="3">
        <v>92.4</v>
      </c>
      <c r="E340" s="2">
        <v>5.5</v>
      </c>
      <c r="F340" s="1" t="s">
        <v>24</v>
      </c>
      <c r="G340" s="1" t="s">
        <v>19</v>
      </c>
      <c r="H340" s="1" t="s">
        <v>20</v>
      </c>
      <c r="I340" s="1" t="s">
        <v>20</v>
      </c>
      <c r="J340" s="2">
        <v>83.1</v>
      </c>
      <c r="K340" s="3">
        <v>87</v>
      </c>
      <c r="L340" s="3" t="str">
        <f t="shared" si="5"/>
        <v>85-89</v>
      </c>
      <c r="M340" s="1" t="s">
        <v>28</v>
      </c>
    </row>
    <row r="341" spans="1:13" x14ac:dyDescent="0.35">
      <c r="A341">
        <v>338</v>
      </c>
      <c r="B341" s="1" t="s">
        <v>17</v>
      </c>
      <c r="C341" s="2">
        <v>4.5999999999999996</v>
      </c>
      <c r="D341" s="3">
        <v>91.2</v>
      </c>
      <c r="E341" s="2">
        <v>8.6</v>
      </c>
      <c r="F341" s="1" t="s">
        <v>18</v>
      </c>
      <c r="G341" s="1" t="s">
        <v>19</v>
      </c>
      <c r="H341" s="1" t="s">
        <v>20</v>
      </c>
      <c r="I341" s="1" t="s">
        <v>20</v>
      </c>
      <c r="J341" s="2">
        <v>60.3</v>
      </c>
      <c r="K341" s="3">
        <v>95</v>
      </c>
      <c r="L341" s="3" t="str">
        <f t="shared" si="5"/>
        <v>95-100</v>
      </c>
      <c r="M341" s="1" t="s">
        <v>21</v>
      </c>
    </row>
    <row r="342" spans="1:13" x14ac:dyDescent="0.35">
      <c r="A342">
        <v>339</v>
      </c>
      <c r="B342" s="1" t="s">
        <v>23</v>
      </c>
      <c r="C342" s="2">
        <v>3.8</v>
      </c>
      <c r="D342" s="3">
        <v>75.599999999999994</v>
      </c>
      <c r="E342" s="2">
        <v>9.1999999999999993</v>
      </c>
      <c r="F342" s="1" t="s">
        <v>18</v>
      </c>
      <c r="G342" s="1" t="s">
        <v>19</v>
      </c>
      <c r="H342" s="1" t="s">
        <v>20</v>
      </c>
      <c r="I342" s="1" t="s">
        <v>20</v>
      </c>
      <c r="J342" s="2">
        <v>63.7</v>
      </c>
      <c r="K342" s="3">
        <v>76</v>
      </c>
      <c r="L342" s="3" t="str">
        <f t="shared" si="5"/>
        <v>75-79</v>
      </c>
      <c r="M342" s="1" t="s">
        <v>32</v>
      </c>
    </row>
    <row r="343" spans="1:13" x14ac:dyDescent="0.35">
      <c r="A343">
        <v>340</v>
      </c>
      <c r="B343" s="1" t="s">
        <v>23</v>
      </c>
      <c r="C343" s="2">
        <v>3.2</v>
      </c>
      <c r="D343" s="3">
        <v>95.9</v>
      </c>
      <c r="E343" s="2">
        <v>6.8</v>
      </c>
      <c r="F343" s="1" t="s">
        <v>18</v>
      </c>
      <c r="G343" s="1" t="s">
        <v>19</v>
      </c>
      <c r="H343" s="1" t="s">
        <v>20</v>
      </c>
      <c r="I343" s="1" t="s">
        <v>20</v>
      </c>
      <c r="J343" s="2">
        <v>54.1</v>
      </c>
      <c r="K343" s="3">
        <v>85</v>
      </c>
      <c r="L343" s="3" t="str">
        <f t="shared" si="5"/>
        <v>85-89</v>
      </c>
      <c r="M343" s="1" t="s">
        <v>28</v>
      </c>
    </row>
    <row r="344" spans="1:13" x14ac:dyDescent="0.35">
      <c r="A344">
        <v>341</v>
      </c>
      <c r="B344" s="1" t="s">
        <v>17</v>
      </c>
      <c r="C344" s="2">
        <v>3.5</v>
      </c>
      <c r="D344" s="3">
        <v>79.599999999999994</v>
      </c>
      <c r="E344" s="2">
        <v>8</v>
      </c>
      <c r="F344" s="1" t="s">
        <v>24</v>
      </c>
      <c r="G344" s="1" t="s">
        <v>19</v>
      </c>
      <c r="H344" s="1" t="s">
        <v>19</v>
      </c>
      <c r="I344" s="1" t="s">
        <v>20</v>
      </c>
      <c r="J344" s="2">
        <v>74.900000000000006</v>
      </c>
      <c r="K344" s="3">
        <v>96</v>
      </c>
      <c r="L344" s="3" t="str">
        <f t="shared" si="5"/>
        <v>95-100</v>
      </c>
      <c r="M344" s="1" t="s">
        <v>21</v>
      </c>
    </row>
    <row r="345" spans="1:13" x14ac:dyDescent="0.35">
      <c r="A345">
        <v>342</v>
      </c>
      <c r="B345" s="1" t="s">
        <v>23</v>
      </c>
      <c r="C345" s="2">
        <v>4</v>
      </c>
      <c r="D345" s="3">
        <v>93.1</v>
      </c>
      <c r="E345" s="2">
        <v>8.4</v>
      </c>
      <c r="F345" s="1" t="s">
        <v>24</v>
      </c>
      <c r="G345" s="1" t="s">
        <v>19</v>
      </c>
      <c r="H345" s="1" t="s">
        <v>19</v>
      </c>
      <c r="I345" s="1" t="s">
        <v>20</v>
      </c>
      <c r="J345" s="2">
        <v>78</v>
      </c>
      <c r="K345" s="3">
        <v>100</v>
      </c>
      <c r="L345" s="3" t="str">
        <f t="shared" si="5"/>
        <v>95-100</v>
      </c>
      <c r="M345" s="1" t="s">
        <v>21</v>
      </c>
    </row>
    <row r="346" spans="1:13" x14ac:dyDescent="0.35">
      <c r="A346">
        <v>343</v>
      </c>
      <c r="B346" s="1" t="s">
        <v>17</v>
      </c>
      <c r="C346" s="2">
        <v>2.7</v>
      </c>
      <c r="D346" s="3">
        <v>88.7</v>
      </c>
      <c r="E346" s="2">
        <v>5.9</v>
      </c>
      <c r="F346" s="1" t="s">
        <v>33</v>
      </c>
      <c r="G346" s="1" t="s">
        <v>19</v>
      </c>
      <c r="H346" s="1" t="s">
        <v>20</v>
      </c>
      <c r="I346" s="1" t="s">
        <v>20</v>
      </c>
      <c r="J346" s="2">
        <v>53.8</v>
      </c>
      <c r="K346" s="3">
        <v>92</v>
      </c>
      <c r="L346" s="3" t="str">
        <f t="shared" si="5"/>
        <v>90-94</v>
      </c>
      <c r="M346" s="1" t="s">
        <v>21</v>
      </c>
    </row>
    <row r="347" spans="1:13" x14ac:dyDescent="0.35">
      <c r="A347">
        <v>344</v>
      </c>
      <c r="B347" s="1" t="s">
        <v>23</v>
      </c>
      <c r="C347" s="2">
        <v>2.2999999999999998</v>
      </c>
      <c r="D347" s="3">
        <v>100</v>
      </c>
      <c r="E347" s="2">
        <v>6.2</v>
      </c>
      <c r="F347" s="1" t="s">
        <v>34</v>
      </c>
      <c r="G347" s="1" t="s">
        <v>19</v>
      </c>
      <c r="H347" s="1" t="s">
        <v>19</v>
      </c>
      <c r="I347" s="1" t="s">
        <v>20</v>
      </c>
      <c r="J347" s="2">
        <v>64.5</v>
      </c>
      <c r="K347" s="3">
        <v>77</v>
      </c>
      <c r="L347" s="3" t="str">
        <f t="shared" si="5"/>
        <v>75-79</v>
      </c>
      <c r="M347" s="1" t="s">
        <v>32</v>
      </c>
    </row>
    <row r="348" spans="1:13" x14ac:dyDescent="0.35">
      <c r="A348">
        <v>345</v>
      </c>
      <c r="B348" s="1" t="s">
        <v>17</v>
      </c>
      <c r="C348" s="2">
        <v>3.8</v>
      </c>
      <c r="D348" s="3">
        <v>82.8</v>
      </c>
      <c r="E348" s="2">
        <v>8.3000000000000007</v>
      </c>
      <c r="F348" s="1" t="s">
        <v>24</v>
      </c>
      <c r="G348" s="1" t="s">
        <v>19</v>
      </c>
      <c r="H348" s="1" t="s">
        <v>20</v>
      </c>
      <c r="I348" s="1" t="s">
        <v>20</v>
      </c>
      <c r="J348" s="2">
        <v>53.8</v>
      </c>
      <c r="K348" s="3">
        <v>98</v>
      </c>
      <c r="L348" s="3" t="str">
        <f t="shared" si="5"/>
        <v>95-100</v>
      </c>
      <c r="M348" s="1" t="s">
        <v>21</v>
      </c>
    </row>
    <row r="349" spans="1:13" x14ac:dyDescent="0.35">
      <c r="A349">
        <v>346</v>
      </c>
      <c r="B349" s="1" t="s">
        <v>17</v>
      </c>
      <c r="C349" s="2">
        <v>2</v>
      </c>
      <c r="D349" s="3">
        <v>81.5</v>
      </c>
      <c r="E349" s="2">
        <v>8.8000000000000007</v>
      </c>
      <c r="F349" s="1" t="s">
        <v>27</v>
      </c>
      <c r="G349" s="1" t="s">
        <v>19</v>
      </c>
      <c r="H349" s="1" t="s">
        <v>19</v>
      </c>
      <c r="I349" s="1" t="s">
        <v>19</v>
      </c>
      <c r="J349" s="2">
        <v>59.2</v>
      </c>
      <c r="K349" s="3">
        <v>71</v>
      </c>
      <c r="L349" s="3" t="str">
        <f t="shared" si="5"/>
        <v>70-74</v>
      </c>
      <c r="M349" s="1" t="s">
        <v>32</v>
      </c>
    </row>
    <row r="350" spans="1:13" x14ac:dyDescent="0.35">
      <c r="A350">
        <v>347</v>
      </c>
      <c r="B350" s="1" t="s">
        <v>17</v>
      </c>
      <c r="C350" s="2">
        <v>4.0999999999999996</v>
      </c>
      <c r="D350" s="3">
        <v>84.8</v>
      </c>
      <c r="E350" s="2">
        <v>7.5</v>
      </c>
      <c r="F350" s="1" t="s">
        <v>24</v>
      </c>
      <c r="G350" s="1" t="s">
        <v>19</v>
      </c>
      <c r="H350" s="1" t="s">
        <v>20</v>
      </c>
      <c r="I350" s="1" t="s">
        <v>20</v>
      </c>
      <c r="J350" s="2">
        <v>76.599999999999994</v>
      </c>
      <c r="K350" s="3">
        <v>87</v>
      </c>
      <c r="L350" s="3" t="str">
        <f t="shared" si="5"/>
        <v>85-89</v>
      </c>
      <c r="M350" s="1" t="s">
        <v>28</v>
      </c>
    </row>
    <row r="351" spans="1:13" x14ac:dyDescent="0.35">
      <c r="A351">
        <v>348</v>
      </c>
      <c r="B351" s="1" t="s">
        <v>23</v>
      </c>
      <c r="C351" s="2">
        <v>0.9</v>
      </c>
      <c r="D351" s="3">
        <v>82</v>
      </c>
      <c r="E351" s="2">
        <v>5.7</v>
      </c>
      <c r="F351" s="1" t="s">
        <v>33</v>
      </c>
      <c r="G351" s="1" t="s">
        <v>19</v>
      </c>
      <c r="H351" s="1" t="s">
        <v>20</v>
      </c>
      <c r="I351" s="1" t="s">
        <v>20</v>
      </c>
      <c r="J351" s="2">
        <v>61.2</v>
      </c>
      <c r="K351" s="3">
        <v>69</v>
      </c>
      <c r="L351" s="3" t="str">
        <f t="shared" si="5"/>
        <v>65-69</v>
      </c>
      <c r="M351" s="1" t="s">
        <v>30</v>
      </c>
    </row>
    <row r="352" spans="1:13" x14ac:dyDescent="0.35">
      <c r="A352">
        <v>349</v>
      </c>
      <c r="B352" s="1" t="s">
        <v>23</v>
      </c>
      <c r="C352" s="2">
        <v>5</v>
      </c>
      <c r="D352" s="3">
        <v>93</v>
      </c>
      <c r="E352" s="2">
        <v>9.1999999999999993</v>
      </c>
      <c r="F352" s="1" t="s">
        <v>33</v>
      </c>
      <c r="G352" s="1" t="s">
        <v>19</v>
      </c>
      <c r="H352" s="1" t="s">
        <v>19</v>
      </c>
      <c r="I352" s="1" t="s">
        <v>19</v>
      </c>
      <c r="J352" s="2">
        <v>66.400000000000006</v>
      </c>
      <c r="K352" s="3">
        <v>90</v>
      </c>
      <c r="L352" s="3" t="str">
        <f t="shared" si="5"/>
        <v>90-94</v>
      </c>
      <c r="M352" s="1" t="s">
        <v>21</v>
      </c>
    </row>
    <row r="353" spans="1:13" x14ac:dyDescent="0.35">
      <c r="A353">
        <v>350</v>
      </c>
      <c r="B353" s="1" t="s">
        <v>17</v>
      </c>
      <c r="C353" s="2">
        <v>4.2</v>
      </c>
      <c r="D353" s="3">
        <v>68.8</v>
      </c>
      <c r="E353" s="2">
        <v>6.2</v>
      </c>
      <c r="F353" s="1" t="s">
        <v>33</v>
      </c>
      <c r="G353" s="1" t="s">
        <v>19</v>
      </c>
      <c r="H353" s="1" t="s">
        <v>19</v>
      </c>
      <c r="I353" s="1" t="s">
        <v>19</v>
      </c>
      <c r="J353" s="2">
        <v>50.5</v>
      </c>
      <c r="K353" s="3">
        <v>74</v>
      </c>
      <c r="L353" s="3" t="str">
        <f t="shared" si="5"/>
        <v>70-74</v>
      </c>
      <c r="M353" s="1" t="s">
        <v>32</v>
      </c>
    </row>
    <row r="354" spans="1:13" x14ac:dyDescent="0.35">
      <c r="A354">
        <v>351</v>
      </c>
      <c r="B354" s="1" t="s">
        <v>23</v>
      </c>
      <c r="C354" s="2">
        <v>3.9</v>
      </c>
      <c r="D354" s="3">
        <v>74.5</v>
      </c>
      <c r="E354" s="2">
        <v>6.4</v>
      </c>
      <c r="F354" s="1" t="s">
        <v>27</v>
      </c>
      <c r="G354" s="1" t="s">
        <v>19</v>
      </c>
      <c r="H354" s="1" t="s">
        <v>20</v>
      </c>
      <c r="I354" s="1" t="s">
        <v>20</v>
      </c>
      <c r="J354" s="2">
        <v>72.2</v>
      </c>
      <c r="K354" s="3">
        <v>75</v>
      </c>
      <c r="L354" s="3" t="str">
        <f t="shared" si="5"/>
        <v>75-79</v>
      </c>
      <c r="M354" s="1" t="s">
        <v>32</v>
      </c>
    </row>
    <row r="355" spans="1:13" x14ac:dyDescent="0.35">
      <c r="A355">
        <v>352</v>
      </c>
      <c r="B355" s="1" t="s">
        <v>17</v>
      </c>
      <c r="C355" s="2">
        <v>5</v>
      </c>
      <c r="D355" s="3">
        <v>74.3</v>
      </c>
      <c r="E355" s="2">
        <v>7.2</v>
      </c>
      <c r="F355" s="1" t="s">
        <v>24</v>
      </c>
      <c r="G355" s="1" t="s">
        <v>19</v>
      </c>
      <c r="H355" s="1" t="s">
        <v>20</v>
      </c>
      <c r="I355" s="1" t="s">
        <v>20</v>
      </c>
      <c r="J355" s="2">
        <v>69.5</v>
      </c>
      <c r="K355" s="3">
        <v>87</v>
      </c>
      <c r="L355" s="3" t="str">
        <f t="shared" si="5"/>
        <v>85-89</v>
      </c>
      <c r="M355" s="1" t="s">
        <v>28</v>
      </c>
    </row>
    <row r="356" spans="1:13" x14ac:dyDescent="0.35">
      <c r="A356">
        <v>353</v>
      </c>
      <c r="B356" s="1" t="s">
        <v>17</v>
      </c>
      <c r="C356" s="2">
        <v>6</v>
      </c>
      <c r="D356" s="3">
        <v>94.5</v>
      </c>
      <c r="E356" s="2">
        <v>8.6999999999999993</v>
      </c>
      <c r="F356" s="1" t="s">
        <v>34</v>
      </c>
      <c r="G356" s="1" t="s">
        <v>19</v>
      </c>
      <c r="H356" s="1" t="s">
        <v>19</v>
      </c>
      <c r="I356" s="1" t="s">
        <v>20</v>
      </c>
      <c r="J356" s="2">
        <v>61.3</v>
      </c>
      <c r="K356" s="3">
        <v>100</v>
      </c>
      <c r="L356" s="3" t="str">
        <f t="shared" si="5"/>
        <v>95-100</v>
      </c>
      <c r="M356" s="1" t="s">
        <v>21</v>
      </c>
    </row>
    <row r="357" spans="1:13" x14ac:dyDescent="0.35">
      <c r="A357">
        <v>354</v>
      </c>
      <c r="B357" s="1" t="s">
        <v>23</v>
      </c>
      <c r="C357" s="2">
        <v>5</v>
      </c>
      <c r="D357" s="3">
        <v>100</v>
      </c>
      <c r="E357" s="2">
        <v>7.8</v>
      </c>
      <c r="F357" s="1" t="s">
        <v>24</v>
      </c>
      <c r="G357" s="1" t="s">
        <v>19</v>
      </c>
      <c r="H357" s="1" t="s">
        <v>20</v>
      </c>
      <c r="I357" s="1" t="s">
        <v>19</v>
      </c>
      <c r="J357" s="2">
        <v>67.7</v>
      </c>
      <c r="K357" s="3">
        <v>94</v>
      </c>
      <c r="L357" s="3" t="str">
        <f t="shared" si="5"/>
        <v>90-94</v>
      </c>
      <c r="M357" s="1" t="s">
        <v>21</v>
      </c>
    </row>
    <row r="358" spans="1:13" x14ac:dyDescent="0.35">
      <c r="A358">
        <v>355</v>
      </c>
      <c r="B358" s="1" t="s">
        <v>23</v>
      </c>
      <c r="C358" s="2">
        <v>0.7</v>
      </c>
      <c r="D358" s="3">
        <v>84</v>
      </c>
      <c r="E358" s="2">
        <v>7.3</v>
      </c>
      <c r="F358" s="1" t="s">
        <v>33</v>
      </c>
      <c r="G358" s="1" t="s">
        <v>19</v>
      </c>
      <c r="H358" s="1" t="s">
        <v>19</v>
      </c>
      <c r="I358" s="1" t="s">
        <v>19</v>
      </c>
      <c r="J358" s="2">
        <v>72.2</v>
      </c>
      <c r="K358" s="3">
        <v>72</v>
      </c>
      <c r="L358" s="3" t="str">
        <f t="shared" si="5"/>
        <v>70-74</v>
      </c>
      <c r="M358" s="1" t="s">
        <v>32</v>
      </c>
    </row>
    <row r="359" spans="1:13" x14ac:dyDescent="0.35">
      <c r="A359">
        <v>356</v>
      </c>
      <c r="B359" s="1" t="s">
        <v>17</v>
      </c>
      <c r="C359" s="2">
        <v>1.6</v>
      </c>
      <c r="D359" s="3">
        <v>83.3</v>
      </c>
      <c r="E359" s="2">
        <v>7.4</v>
      </c>
      <c r="F359" s="1" t="s">
        <v>33</v>
      </c>
      <c r="G359" s="1" t="s">
        <v>19</v>
      </c>
      <c r="H359" s="1" t="s">
        <v>19</v>
      </c>
      <c r="I359" s="1" t="s">
        <v>20</v>
      </c>
      <c r="J359" s="2">
        <v>60.2</v>
      </c>
      <c r="K359" s="3">
        <v>76</v>
      </c>
      <c r="L359" s="3" t="str">
        <f t="shared" si="5"/>
        <v>75-79</v>
      </c>
      <c r="M359" s="1" t="s">
        <v>32</v>
      </c>
    </row>
    <row r="360" spans="1:13" x14ac:dyDescent="0.35">
      <c r="A360">
        <v>357</v>
      </c>
      <c r="B360" s="1" t="s">
        <v>23</v>
      </c>
      <c r="C360" s="2">
        <v>2.6</v>
      </c>
      <c r="D360" s="3">
        <v>85.7</v>
      </c>
      <c r="E360" s="2">
        <v>6.9</v>
      </c>
      <c r="F360" s="1" t="s">
        <v>33</v>
      </c>
      <c r="G360" s="1" t="s">
        <v>19</v>
      </c>
      <c r="H360" s="1" t="s">
        <v>20</v>
      </c>
      <c r="I360" s="1" t="s">
        <v>20</v>
      </c>
      <c r="J360" s="2">
        <v>52.3</v>
      </c>
      <c r="K360" s="3">
        <v>81</v>
      </c>
      <c r="L360" s="3" t="str">
        <f t="shared" si="5"/>
        <v>80-84</v>
      </c>
      <c r="M360" s="1" t="s">
        <v>28</v>
      </c>
    </row>
    <row r="361" spans="1:13" x14ac:dyDescent="0.35">
      <c r="A361">
        <v>358</v>
      </c>
      <c r="B361" s="1" t="s">
        <v>23</v>
      </c>
      <c r="C361" s="2">
        <v>3.5</v>
      </c>
      <c r="D361" s="3">
        <v>96.6</v>
      </c>
      <c r="E361" s="2">
        <v>7.5</v>
      </c>
      <c r="F361" s="1" t="s">
        <v>24</v>
      </c>
      <c r="G361" s="1" t="s">
        <v>19</v>
      </c>
      <c r="H361" s="1" t="s">
        <v>20</v>
      </c>
      <c r="I361" s="1" t="s">
        <v>19</v>
      </c>
      <c r="J361" s="2">
        <v>91.7</v>
      </c>
      <c r="K361" s="3">
        <v>85</v>
      </c>
      <c r="L361" s="3" t="str">
        <f t="shared" si="5"/>
        <v>85-89</v>
      </c>
      <c r="M361" s="1" t="s">
        <v>28</v>
      </c>
    </row>
    <row r="362" spans="1:13" x14ac:dyDescent="0.35">
      <c r="A362">
        <v>359</v>
      </c>
      <c r="B362" s="1" t="s">
        <v>17</v>
      </c>
      <c r="C362" s="2">
        <v>4.3</v>
      </c>
      <c r="D362" s="3">
        <v>75.7</v>
      </c>
      <c r="E362" s="2">
        <v>3.8</v>
      </c>
      <c r="F362" s="1" t="s">
        <v>34</v>
      </c>
      <c r="G362" s="1" t="s">
        <v>19</v>
      </c>
      <c r="H362" s="1" t="s">
        <v>20</v>
      </c>
      <c r="I362" s="1" t="s">
        <v>20</v>
      </c>
      <c r="J362" s="2">
        <v>62.4</v>
      </c>
      <c r="K362" s="3">
        <v>82</v>
      </c>
      <c r="L362" s="3" t="str">
        <f t="shared" si="5"/>
        <v>80-84</v>
      </c>
      <c r="M362" s="1" t="s">
        <v>28</v>
      </c>
    </row>
    <row r="363" spans="1:13" x14ac:dyDescent="0.35">
      <c r="A363">
        <v>360</v>
      </c>
      <c r="B363" s="1" t="s">
        <v>17</v>
      </c>
      <c r="C363" s="2">
        <v>2.4</v>
      </c>
      <c r="D363" s="3">
        <v>87.4</v>
      </c>
      <c r="E363" s="2">
        <v>6.4</v>
      </c>
      <c r="F363" s="1" t="s">
        <v>24</v>
      </c>
      <c r="G363" s="1" t="s">
        <v>19</v>
      </c>
      <c r="H363" s="1" t="s">
        <v>20</v>
      </c>
      <c r="I363" s="1" t="s">
        <v>20</v>
      </c>
      <c r="J363" s="2">
        <v>68.8</v>
      </c>
      <c r="K363" s="3">
        <v>78</v>
      </c>
      <c r="L363" s="3" t="str">
        <f t="shared" si="5"/>
        <v>75-79</v>
      </c>
      <c r="M363" s="1" t="s">
        <v>32</v>
      </c>
    </row>
    <row r="364" spans="1:13" x14ac:dyDescent="0.35">
      <c r="A364">
        <v>361</v>
      </c>
      <c r="B364" s="1" t="s">
        <v>23</v>
      </c>
      <c r="C364" s="2">
        <v>3.8</v>
      </c>
      <c r="D364" s="3">
        <v>94.8</v>
      </c>
      <c r="E364" s="2">
        <v>7.1</v>
      </c>
      <c r="F364" s="1" t="s">
        <v>24</v>
      </c>
      <c r="G364" s="1" t="s">
        <v>19</v>
      </c>
      <c r="H364" s="1" t="s">
        <v>19</v>
      </c>
      <c r="I364" s="1" t="s">
        <v>19</v>
      </c>
      <c r="J364" s="2">
        <v>82.1</v>
      </c>
      <c r="K364" s="3">
        <v>94</v>
      </c>
      <c r="L364" s="3" t="str">
        <f t="shared" si="5"/>
        <v>90-94</v>
      </c>
      <c r="M364" s="1" t="s">
        <v>21</v>
      </c>
    </row>
    <row r="365" spans="1:13" x14ac:dyDescent="0.35">
      <c r="A365">
        <v>362</v>
      </c>
      <c r="B365" s="1" t="s">
        <v>17</v>
      </c>
      <c r="C365" s="2">
        <v>2.4</v>
      </c>
      <c r="D365" s="3">
        <v>90</v>
      </c>
      <c r="E365" s="2">
        <v>5.4</v>
      </c>
      <c r="F365" s="1" t="s">
        <v>33</v>
      </c>
      <c r="G365" s="1" t="s">
        <v>19</v>
      </c>
      <c r="H365" s="1" t="s">
        <v>20</v>
      </c>
      <c r="I365" s="1" t="s">
        <v>19</v>
      </c>
      <c r="J365" s="2">
        <v>100</v>
      </c>
      <c r="K365" s="3">
        <v>95</v>
      </c>
      <c r="L365" s="3" t="str">
        <f t="shared" si="5"/>
        <v>95-100</v>
      </c>
      <c r="M365" s="1" t="s">
        <v>21</v>
      </c>
    </row>
    <row r="366" spans="1:13" x14ac:dyDescent="0.35">
      <c r="A366">
        <v>363</v>
      </c>
      <c r="B366" s="1" t="s">
        <v>17</v>
      </c>
      <c r="C366" s="2">
        <v>2.6</v>
      </c>
      <c r="D366" s="3">
        <v>86.9</v>
      </c>
      <c r="E366" s="2">
        <v>7.3</v>
      </c>
      <c r="F366" s="1" t="s">
        <v>18</v>
      </c>
      <c r="G366" s="1" t="s">
        <v>19</v>
      </c>
      <c r="H366" s="1" t="s">
        <v>19</v>
      </c>
      <c r="I366" s="1" t="s">
        <v>19</v>
      </c>
      <c r="J366" s="2">
        <v>55.1</v>
      </c>
      <c r="K366" s="3">
        <v>67</v>
      </c>
      <c r="L366" s="3" t="str">
        <f t="shared" si="5"/>
        <v>65-69</v>
      </c>
      <c r="M366" s="1" t="s">
        <v>30</v>
      </c>
    </row>
    <row r="367" spans="1:13" x14ac:dyDescent="0.35">
      <c r="A367">
        <v>364</v>
      </c>
      <c r="B367" s="1" t="s">
        <v>23</v>
      </c>
      <c r="C367" s="2">
        <v>1.4</v>
      </c>
      <c r="D367" s="3">
        <v>95</v>
      </c>
      <c r="E367" s="2">
        <v>6.6</v>
      </c>
      <c r="F367" s="1" t="s">
        <v>33</v>
      </c>
      <c r="G367" s="1" t="s">
        <v>19</v>
      </c>
      <c r="H367" s="1" t="s">
        <v>19</v>
      </c>
      <c r="I367" s="1" t="s">
        <v>20</v>
      </c>
      <c r="J367" s="2">
        <v>75.400000000000006</v>
      </c>
      <c r="K367" s="3">
        <v>76</v>
      </c>
      <c r="L367" s="3" t="str">
        <f t="shared" si="5"/>
        <v>75-79</v>
      </c>
      <c r="M367" s="1" t="s">
        <v>32</v>
      </c>
    </row>
    <row r="368" spans="1:13" x14ac:dyDescent="0.35">
      <c r="A368">
        <v>365</v>
      </c>
      <c r="B368" s="1" t="s">
        <v>17</v>
      </c>
      <c r="C368" s="2">
        <v>2.1</v>
      </c>
      <c r="D368" s="3">
        <v>58</v>
      </c>
      <c r="E368" s="2">
        <v>8.9</v>
      </c>
      <c r="F368" s="1" t="s">
        <v>18</v>
      </c>
      <c r="G368" s="1" t="s">
        <v>19</v>
      </c>
      <c r="H368" s="1" t="s">
        <v>19</v>
      </c>
      <c r="I368" s="1" t="s">
        <v>20</v>
      </c>
      <c r="J368" s="2">
        <v>61.5</v>
      </c>
      <c r="K368" s="3">
        <v>57</v>
      </c>
      <c r="L368" s="3" t="str">
        <f t="shared" si="5"/>
        <v>55-59</v>
      </c>
      <c r="M368" s="1" t="s">
        <v>35</v>
      </c>
    </row>
    <row r="369" spans="1:13" x14ac:dyDescent="0.35">
      <c r="A369">
        <v>366</v>
      </c>
      <c r="B369" s="1" t="s">
        <v>17</v>
      </c>
      <c r="C369" s="2">
        <v>1.5</v>
      </c>
      <c r="D369" s="3">
        <v>91.8</v>
      </c>
      <c r="E369" s="2">
        <v>8.6999999999999993</v>
      </c>
      <c r="F369" s="1" t="s">
        <v>24</v>
      </c>
      <c r="G369" s="1" t="s">
        <v>19</v>
      </c>
      <c r="H369" s="1" t="s">
        <v>19</v>
      </c>
      <c r="I369" s="1" t="s">
        <v>20</v>
      </c>
      <c r="J369" s="2">
        <v>63.5</v>
      </c>
      <c r="K369" s="3">
        <v>75</v>
      </c>
      <c r="L369" s="3" t="str">
        <f t="shared" si="5"/>
        <v>75-79</v>
      </c>
      <c r="M369" s="1" t="s">
        <v>32</v>
      </c>
    </row>
    <row r="370" spans="1:13" x14ac:dyDescent="0.35">
      <c r="A370">
        <v>367</v>
      </c>
      <c r="B370" s="1" t="s">
        <v>23</v>
      </c>
      <c r="C370" s="2">
        <v>2</v>
      </c>
      <c r="D370" s="3">
        <v>78.5</v>
      </c>
      <c r="E370" s="2">
        <v>6.2</v>
      </c>
      <c r="F370" s="1" t="s">
        <v>33</v>
      </c>
      <c r="G370" s="1" t="s">
        <v>19</v>
      </c>
      <c r="H370" s="1" t="s">
        <v>19</v>
      </c>
      <c r="I370" s="1" t="s">
        <v>20</v>
      </c>
      <c r="J370" s="2">
        <v>61.4</v>
      </c>
      <c r="K370" s="3">
        <v>81</v>
      </c>
      <c r="L370" s="3" t="str">
        <f t="shared" si="5"/>
        <v>80-84</v>
      </c>
      <c r="M370" s="1" t="s">
        <v>28</v>
      </c>
    </row>
    <row r="371" spans="1:13" x14ac:dyDescent="0.35">
      <c r="A371">
        <v>368</v>
      </c>
      <c r="B371" s="1" t="s">
        <v>23</v>
      </c>
      <c r="C371" s="2">
        <v>5.0999999999999996</v>
      </c>
      <c r="D371" s="3">
        <v>66.7</v>
      </c>
      <c r="E371" s="2">
        <v>6.6</v>
      </c>
      <c r="F371" s="1" t="s">
        <v>18</v>
      </c>
      <c r="G371" s="1" t="s">
        <v>20</v>
      </c>
      <c r="H371" s="1" t="s">
        <v>19</v>
      </c>
      <c r="I371" s="1" t="s">
        <v>20</v>
      </c>
      <c r="J371" s="2">
        <v>56.5</v>
      </c>
      <c r="K371" s="3">
        <v>75</v>
      </c>
      <c r="L371" s="3" t="str">
        <f t="shared" si="5"/>
        <v>75-79</v>
      </c>
      <c r="M371" s="1" t="s">
        <v>32</v>
      </c>
    </row>
    <row r="372" spans="1:13" x14ac:dyDescent="0.35">
      <c r="A372">
        <v>369</v>
      </c>
      <c r="B372" s="1" t="s">
        <v>17</v>
      </c>
      <c r="C372" s="2">
        <v>2.1</v>
      </c>
      <c r="D372" s="3">
        <v>90.1</v>
      </c>
      <c r="E372" s="2">
        <v>6.7</v>
      </c>
      <c r="F372" s="1" t="s">
        <v>24</v>
      </c>
      <c r="G372" s="1" t="s">
        <v>20</v>
      </c>
      <c r="H372" s="1" t="s">
        <v>19</v>
      </c>
      <c r="I372" s="1" t="s">
        <v>20</v>
      </c>
      <c r="J372" s="2">
        <v>69.5</v>
      </c>
      <c r="K372" s="3">
        <v>68</v>
      </c>
      <c r="L372" s="3" t="str">
        <f t="shared" si="5"/>
        <v>65-69</v>
      </c>
      <c r="M372" s="1" t="s">
        <v>30</v>
      </c>
    </row>
    <row r="373" spans="1:13" x14ac:dyDescent="0.35">
      <c r="A373">
        <v>370</v>
      </c>
      <c r="B373" s="1" t="s">
        <v>17</v>
      </c>
      <c r="C373" s="2">
        <v>7.4</v>
      </c>
      <c r="D373" s="3">
        <v>98.7</v>
      </c>
      <c r="E373" s="2">
        <v>6.3</v>
      </c>
      <c r="F373" s="1" t="s">
        <v>33</v>
      </c>
      <c r="G373" s="1" t="s">
        <v>19</v>
      </c>
      <c r="H373" s="1" t="s">
        <v>19</v>
      </c>
      <c r="I373" s="1" t="s">
        <v>20</v>
      </c>
      <c r="J373" s="2">
        <v>52.3</v>
      </c>
      <c r="K373" s="3">
        <v>97</v>
      </c>
      <c r="L373" s="3" t="str">
        <f t="shared" si="5"/>
        <v>95-100</v>
      </c>
      <c r="M373" s="1" t="s">
        <v>21</v>
      </c>
    </row>
    <row r="374" spans="1:13" x14ac:dyDescent="0.35">
      <c r="A374">
        <v>371</v>
      </c>
      <c r="B374" s="1" t="s">
        <v>23</v>
      </c>
      <c r="C374" s="2">
        <v>4.2</v>
      </c>
      <c r="D374" s="3">
        <v>83.6</v>
      </c>
      <c r="E374" s="2">
        <v>7</v>
      </c>
      <c r="F374" s="1" t="s">
        <v>18</v>
      </c>
      <c r="G374" s="1" t="s">
        <v>19</v>
      </c>
      <c r="H374" s="1" t="s">
        <v>20</v>
      </c>
      <c r="I374" s="1" t="s">
        <v>19</v>
      </c>
      <c r="J374" s="2">
        <v>81.400000000000006</v>
      </c>
      <c r="K374" s="3">
        <v>80</v>
      </c>
      <c r="L374" s="3" t="str">
        <f t="shared" si="5"/>
        <v>80-84</v>
      </c>
      <c r="M374" s="1" t="s">
        <v>28</v>
      </c>
    </row>
    <row r="375" spans="1:13" x14ac:dyDescent="0.35">
      <c r="A375">
        <v>372</v>
      </c>
      <c r="B375" s="1" t="s">
        <v>23</v>
      </c>
      <c r="C375" s="2">
        <v>3.8</v>
      </c>
      <c r="D375" s="3">
        <v>94.5</v>
      </c>
      <c r="E375" s="2">
        <v>5.9</v>
      </c>
      <c r="F375" s="1" t="s">
        <v>18</v>
      </c>
      <c r="G375" s="1" t="s">
        <v>19</v>
      </c>
      <c r="H375" s="1" t="s">
        <v>19</v>
      </c>
      <c r="I375" s="1" t="s">
        <v>20</v>
      </c>
      <c r="J375" s="2">
        <v>70.7</v>
      </c>
      <c r="K375" s="3">
        <v>83</v>
      </c>
      <c r="L375" s="3" t="str">
        <f t="shared" si="5"/>
        <v>80-84</v>
      </c>
      <c r="M375" s="1" t="s">
        <v>28</v>
      </c>
    </row>
    <row r="376" spans="1:13" x14ac:dyDescent="0.35">
      <c r="A376">
        <v>373</v>
      </c>
      <c r="B376" s="1" t="s">
        <v>23</v>
      </c>
      <c r="C376" s="2">
        <v>2.2000000000000002</v>
      </c>
      <c r="D376" s="3">
        <v>100</v>
      </c>
      <c r="E376" s="2">
        <v>5.4</v>
      </c>
      <c r="F376" s="1" t="s">
        <v>18</v>
      </c>
      <c r="G376" s="1" t="s">
        <v>19</v>
      </c>
      <c r="H376" s="1" t="s">
        <v>19</v>
      </c>
      <c r="I376" s="1" t="s">
        <v>20</v>
      </c>
      <c r="J376" s="2">
        <v>75.099999999999994</v>
      </c>
      <c r="K376" s="3">
        <v>88</v>
      </c>
      <c r="L376" s="3" t="str">
        <f t="shared" si="5"/>
        <v>85-89</v>
      </c>
      <c r="M376" s="1" t="s">
        <v>28</v>
      </c>
    </row>
    <row r="377" spans="1:13" x14ac:dyDescent="0.35">
      <c r="A377">
        <v>374</v>
      </c>
      <c r="B377" s="1" t="s">
        <v>23</v>
      </c>
      <c r="C377" s="2">
        <v>4.5999999999999996</v>
      </c>
      <c r="D377" s="3">
        <v>98.1</v>
      </c>
      <c r="E377" s="2">
        <v>7.5</v>
      </c>
      <c r="F377" s="1" t="s">
        <v>33</v>
      </c>
      <c r="G377" s="1" t="s">
        <v>19</v>
      </c>
      <c r="H377" s="1" t="s">
        <v>20</v>
      </c>
      <c r="I377" s="1" t="s">
        <v>20</v>
      </c>
      <c r="J377" s="2">
        <v>64.400000000000006</v>
      </c>
      <c r="K377" s="3">
        <v>86</v>
      </c>
      <c r="L377" s="3" t="str">
        <f t="shared" si="5"/>
        <v>85-89</v>
      </c>
      <c r="M377" s="1" t="s">
        <v>28</v>
      </c>
    </row>
    <row r="378" spans="1:13" x14ac:dyDescent="0.35">
      <c r="A378">
        <v>375</v>
      </c>
      <c r="B378" s="1" t="s">
        <v>17</v>
      </c>
      <c r="C378" s="2">
        <v>2.6</v>
      </c>
      <c r="D378" s="3">
        <v>100</v>
      </c>
      <c r="E378" s="2">
        <v>7.6</v>
      </c>
      <c r="F378" s="1" t="s">
        <v>33</v>
      </c>
      <c r="G378" s="1" t="s">
        <v>19</v>
      </c>
      <c r="H378" s="1" t="s">
        <v>20</v>
      </c>
      <c r="I378" s="1" t="s">
        <v>20</v>
      </c>
      <c r="J378" s="2">
        <v>65.599999999999994</v>
      </c>
      <c r="K378" s="3">
        <v>92</v>
      </c>
      <c r="L378" s="3" t="str">
        <f t="shared" si="5"/>
        <v>90-94</v>
      </c>
      <c r="M378" s="1" t="s">
        <v>21</v>
      </c>
    </row>
    <row r="379" spans="1:13" x14ac:dyDescent="0.35">
      <c r="A379">
        <v>376</v>
      </c>
      <c r="B379" s="1" t="s">
        <v>23</v>
      </c>
      <c r="C379" s="2">
        <v>3.7</v>
      </c>
      <c r="D379" s="3">
        <v>92.4</v>
      </c>
      <c r="E379" s="2">
        <v>5.8</v>
      </c>
      <c r="F379" s="1" t="s">
        <v>33</v>
      </c>
      <c r="G379" s="1" t="s">
        <v>19</v>
      </c>
      <c r="H379" s="1" t="s">
        <v>20</v>
      </c>
      <c r="I379" s="1" t="s">
        <v>19</v>
      </c>
      <c r="J379" s="2">
        <v>73.5</v>
      </c>
      <c r="K379" s="3">
        <v>85</v>
      </c>
      <c r="L379" s="3" t="str">
        <f t="shared" si="5"/>
        <v>85-89</v>
      </c>
      <c r="M379" s="1" t="s">
        <v>28</v>
      </c>
    </row>
    <row r="380" spans="1:13" x14ac:dyDescent="0.35">
      <c r="A380">
        <v>377</v>
      </c>
      <c r="B380" s="1" t="s">
        <v>23</v>
      </c>
      <c r="C380" s="2">
        <v>7.3</v>
      </c>
      <c r="D380" s="3">
        <v>85.8</v>
      </c>
      <c r="E380" s="2">
        <v>7.9</v>
      </c>
      <c r="F380" s="1" t="s">
        <v>24</v>
      </c>
      <c r="G380" s="1" t="s">
        <v>19</v>
      </c>
      <c r="H380" s="1" t="s">
        <v>19</v>
      </c>
      <c r="I380" s="1" t="s">
        <v>20</v>
      </c>
      <c r="J380" s="2">
        <v>56</v>
      </c>
      <c r="K380" s="3">
        <v>99</v>
      </c>
      <c r="L380" s="3" t="str">
        <f t="shared" si="5"/>
        <v>95-100</v>
      </c>
      <c r="M380" s="1" t="s">
        <v>21</v>
      </c>
    </row>
    <row r="381" spans="1:13" x14ac:dyDescent="0.35">
      <c r="A381">
        <v>378</v>
      </c>
      <c r="B381" s="1" t="s">
        <v>17</v>
      </c>
      <c r="C381" s="2">
        <v>3.4</v>
      </c>
      <c r="D381" s="3">
        <v>69</v>
      </c>
      <c r="E381" s="2">
        <v>6</v>
      </c>
      <c r="F381" s="1" t="s">
        <v>33</v>
      </c>
      <c r="G381" s="1" t="s">
        <v>19</v>
      </c>
      <c r="H381" s="1" t="s">
        <v>20</v>
      </c>
      <c r="I381" s="1" t="s">
        <v>20</v>
      </c>
      <c r="J381" s="2">
        <v>65.7</v>
      </c>
      <c r="K381" s="3">
        <v>74</v>
      </c>
      <c r="L381" s="3" t="str">
        <f t="shared" si="5"/>
        <v>70-74</v>
      </c>
      <c r="M381" s="1" t="s">
        <v>32</v>
      </c>
    </row>
    <row r="382" spans="1:13" x14ac:dyDescent="0.35">
      <c r="A382">
        <v>379</v>
      </c>
      <c r="B382" s="1" t="s">
        <v>23</v>
      </c>
      <c r="C382" s="2">
        <v>5.2</v>
      </c>
      <c r="D382" s="3">
        <v>82.5</v>
      </c>
      <c r="E382" s="2">
        <v>7.1</v>
      </c>
      <c r="F382" s="1" t="s">
        <v>33</v>
      </c>
      <c r="G382" s="1" t="s">
        <v>19</v>
      </c>
      <c r="H382" s="1" t="s">
        <v>19</v>
      </c>
      <c r="I382" s="1" t="s">
        <v>20</v>
      </c>
      <c r="J382" s="2">
        <v>59.7</v>
      </c>
      <c r="K382" s="3">
        <v>93</v>
      </c>
      <c r="L382" s="3" t="str">
        <f t="shared" si="5"/>
        <v>90-94</v>
      </c>
      <c r="M382" s="1" t="s">
        <v>21</v>
      </c>
    </row>
    <row r="383" spans="1:13" x14ac:dyDescent="0.35">
      <c r="A383">
        <v>380</v>
      </c>
      <c r="B383" s="1" t="s">
        <v>17</v>
      </c>
      <c r="C383" s="2">
        <v>2.4</v>
      </c>
      <c r="D383" s="3">
        <v>76.599999999999994</v>
      </c>
      <c r="E383" s="2">
        <v>7.8</v>
      </c>
      <c r="F383" s="1" t="s">
        <v>33</v>
      </c>
      <c r="G383" s="1" t="s">
        <v>19</v>
      </c>
      <c r="H383" s="1" t="s">
        <v>19</v>
      </c>
      <c r="I383" s="1" t="s">
        <v>20</v>
      </c>
      <c r="J383" s="2">
        <v>59.3</v>
      </c>
      <c r="K383" s="3">
        <v>79</v>
      </c>
      <c r="L383" s="3" t="str">
        <f t="shared" si="5"/>
        <v>75-79</v>
      </c>
      <c r="M383" s="1" t="s">
        <v>32</v>
      </c>
    </row>
    <row r="384" spans="1:13" x14ac:dyDescent="0.35">
      <c r="A384">
        <v>381</v>
      </c>
      <c r="B384" s="1" t="s">
        <v>23</v>
      </c>
      <c r="C384" s="2">
        <v>3.4</v>
      </c>
      <c r="D384" s="3">
        <v>100</v>
      </c>
      <c r="E384" s="2">
        <v>6.8</v>
      </c>
      <c r="F384" s="1" t="s">
        <v>18</v>
      </c>
      <c r="G384" s="1" t="s">
        <v>20</v>
      </c>
      <c r="H384" s="1" t="s">
        <v>19</v>
      </c>
      <c r="I384" s="1" t="s">
        <v>20</v>
      </c>
      <c r="J384" s="2">
        <v>44.7</v>
      </c>
      <c r="K384" s="3">
        <v>77</v>
      </c>
      <c r="L384" s="3" t="str">
        <f t="shared" si="5"/>
        <v>75-79</v>
      </c>
      <c r="M384" s="1" t="s">
        <v>32</v>
      </c>
    </row>
    <row r="385" spans="1:13" x14ac:dyDescent="0.35">
      <c r="A385">
        <v>382</v>
      </c>
      <c r="B385" s="1" t="s">
        <v>23</v>
      </c>
      <c r="C385" s="2">
        <v>6.2</v>
      </c>
      <c r="D385" s="3">
        <v>83.2</v>
      </c>
      <c r="E385" s="2">
        <v>7.3</v>
      </c>
      <c r="F385" s="1" t="s">
        <v>34</v>
      </c>
      <c r="G385" s="1" t="s">
        <v>19</v>
      </c>
      <c r="H385" s="1" t="s">
        <v>20</v>
      </c>
      <c r="I385" s="1" t="s">
        <v>20</v>
      </c>
      <c r="J385" s="2">
        <v>86.1</v>
      </c>
      <c r="K385" s="3">
        <v>100</v>
      </c>
      <c r="L385" s="3" t="str">
        <f t="shared" si="5"/>
        <v>95-100</v>
      </c>
      <c r="M385" s="1" t="s">
        <v>21</v>
      </c>
    </row>
    <row r="386" spans="1:13" x14ac:dyDescent="0.35">
      <c r="A386">
        <v>383</v>
      </c>
      <c r="B386" s="1" t="s">
        <v>23</v>
      </c>
      <c r="C386" s="2">
        <v>2.6</v>
      </c>
      <c r="D386" s="3">
        <v>86.2</v>
      </c>
      <c r="E386" s="2">
        <v>6.2</v>
      </c>
      <c r="F386" s="1" t="s">
        <v>33</v>
      </c>
      <c r="G386" s="1" t="s">
        <v>19</v>
      </c>
      <c r="H386" s="1" t="s">
        <v>19</v>
      </c>
      <c r="I386" s="1" t="s">
        <v>20</v>
      </c>
      <c r="J386" s="2">
        <v>61.8</v>
      </c>
      <c r="K386" s="3">
        <v>77</v>
      </c>
      <c r="L386" s="3" t="str">
        <f t="shared" si="5"/>
        <v>75-79</v>
      </c>
      <c r="M386" s="1" t="s">
        <v>32</v>
      </c>
    </row>
    <row r="387" spans="1:13" x14ac:dyDescent="0.35">
      <c r="A387">
        <v>384</v>
      </c>
      <c r="B387" s="1" t="s">
        <v>17</v>
      </c>
      <c r="C387" s="2">
        <v>6.2</v>
      </c>
      <c r="D387" s="3">
        <v>90.5</v>
      </c>
      <c r="E387" s="2">
        <v>6.6</v>
      </c>
      <c r="F387" s="1" t="s">
        <v>24</v>
      </c>
      <c r="G387" s="1" t="s">
        <v>19</v>
      </c>
      <c r="H387" s="1" t="s">
        <v>19</v>
      </c>
      <c r="I387" s="1" t="s">
        <v>20</v>
      </c>
      <c r="J387" s="2">
        <v>84</v>
      </c>
      <c r="K387" s="3">
        <v>100</v>
      </c>
      <c r="L387" s="3" t="str">
        <f t="shared" si="5"/>
        <v>95-100</v>
      </c>
      <c r="M387" s="1" t="s">
        <v>21</v>
      </c>
    </row>
    <row r="388" spans="1:13" x14ac:dyDescent="0.35">
      <c r="A388">
        <v>385</v>
      </c>
      <c r="B388" s="1" t="s">
        <v>17</v>
      </c>
      <c r="C388" s="2">
        <v>4.5999999999999996</v>
      </c>
      <c r="D388" s="3">
        <v>85.4</v>
      </c>
      <c r="E388" s="2">
        <v>6.6</v>
      </c>
      <c r="F388" s="1" t="s">
        <v>18</v>
      </c>
      <c r="G388" s="1" t="s">
        <v>20</v>
      </c>
      <c r="H388" s="1" t="s">
        <v>19</v>
      </c>
      <c r="I388" s="1" t="s">
        <v>20</v>
      </c>
      <c r="J388" s="2">
        <v>82.8</v>
      </c>
      <c r="K388" s="3">
        <v>89</v>
      </c>
      <c r="L388" s="3" t="str">
        <f t="shared" si="5"/>
        <v>85-89</v>
      </c>
      <c r="M388" s="1" t="s">
        <v>28</v>
      </c>
    </row>
    <row r="389" spans="1:13" x14ac:dyDescent="0.35">
      <c r="A389">
        <v>386</v>
      </c>
      <c r="B389" s="1" t="s">
        <v>23</v>
      </c>
      <c r="C389" s="2">
        <v>2.7</v>
      </c>
      <c r="D389" s="3">
        <v>100</v>
      </c>
      <c r="E389" s="2">
        <v>5.9</v>
      </c>
      <c r="F389" s="1" t="s">
        <v>34</v>
      </c>
      <c r="G389" s="1" t="s">
        <v>19</v>
      </c>
      <c r="H389" s="1" t="s">
        <v>20</v>
      </c>
      <c r="I389" s="1" t="s">
        <v>20</v>
      </c>
      <c r="J389" s="2">
        <v>54.6</v>
      </c>
      <c r="K389" s="3">
        <v>79</v>
      </c>
      <c r="L389" s="3" t="str">
        <f t="shared" ref="L389:L452" si="6">IF(K389&gt;=95,"95-100",IF(K389&gt;=90,"90-94",IF(K389&gt;=85,"85-89",IF(K389&gt;=80,"80-84",IF(K389&gt;=75,"75-79",IF(K389&gt;=70,"70-74",IF(K389&gt;=65,"65-69",IF(K389&gt;=60,"60-64",IF(K389&gt;=55,"55-59","Below 55")))))))))</f>
        <v>75-79</v>
      </c>
      <c r="M389" s="1" t="s">
        <v>32</v>
      </c>
    </row>
    <row r="390" spans="1:13" x14ac:dyDescent="0.35">
      <c r="A390">
        <v>387</v>
      </c>
      <c r="B390" s="1" t="s">
        <v>17</v>
      </c>
      <c r="C390" s="2">
        <v>4.4000000000000004</v>
      </c>
      <c r="D390" s="3">
        <v>78.8</v>
      </c>
      <c r="E390" s="2">
        <v>6.6</v>
      </c>
      <c r="F390" s="1" t="s">
        <v>24</v>
      </c>
      <c r="G390" s="1" t="s">
        <v>19</v>
      </c>
      <c r="H390" s="1" t="s">
        <v>20</v>
      </c>
      <c r="I390" s="1" t="s">
        <v>20</v>
      </c>
      <c r="J390" s="2">
        <v>56.9</v>
      </c>
      <c r="K390" s="3">
        <v>79</v>
      </c>
      <c r="L390" s="3" t="str">
        <f t="shared" si="6"/>
        <v>75-79</v>
      </c>
      <c r="M390" s="1" t="s">
        <v>32</v>
      </c>
    </row>
    <row r="391" spans="1:13" x14ac:dyDescent="0.35">
      <c r="A391">
        <v>388</v>
      </c>
      <c r="B391" s="1" t="s">
        <v>17</v>
      </c>
      <c r="C391" s="2">
        <v>5</v>
      </c>
      <c r="D391" s="3">
        <v>86.9</v>
      </c>
      <c r="E391" s="2">
        <v>4.9000000000000004</v>
      </c>
      <c r="F391" s="1" t="s">
        <v>27</v>
      </c>
      <c r="G391" s="1" t="s">
        <v>19</v>
      </c>
      <c r="H391" s="1" t="s">
        <v>19</v>
      </c>
      <c r="I391" s="1" t="s">
        <v>20</v>
      </c>
      <c r="J391" s="2">
        <v>100</v>
      </c>
      <c r="K391" s="3">
        <v>100</v>
      </c>
      <c r="L391" s="3" t="str">
        <f t="shared" si="6"/>
        <v>95-100</v>
      </c>
      <c r="M391" s="1" t="s">
        <v>21</v>
      </c>
    </row>
    <row r="392" spans="1:13" x14ac:dyDescent="0.35">
      <c r="A392">
        <v>389</v>
      </c>
      <c r="B392" s="1" t="s">
        <v>17</v>
      </c>
      <c r="C392" s="2">
        <v>4.4000000000000004</v>
      </c>
      <c r="D392" s="3">
        <v>77.599999999999994</v>
      </c>
      <c r="E392" s="2">
        <v>6.2</v>
      </c>
      <c r="F392" s="1" t="s">
        <v>33</v>
      </c>
      <c r="G392" s="1" t="s">
        <v>19</v>
      </c>
      <c r="H392" s="1" t="s">
        <v>20</v>
      </c>
      <c r="I392" s="1" t="s">
        <v>19</v>
      </c>
      <c r="J392" s="2">
        <v>91</v>
      </c>
      <c r="K392" s="3">
        <v>87</v>
      </c>
      <c r="L392" s="3" t="str">
        <f t="shared" si="6"/>
        <v>85-89</v>
      </c>
      <c r="M392" s="1" t="s">
        <v>28</v>
      </c>
    </row>
    <row r="393" spans="1:13" x14ac:dyDescent="0.35">
      <c r="A393">
        <v>390</v>
      </c>
      <c r="B393" s="1" t="s">
        <v>17</v>
      </c>
      <c r="C393" s="2">
        <v>1.1000000000000001</v>
      </c>
      <c r="D393" s="3">
        <v>71.8</v>
      </c>
      <c r="E393" s="2">
        <v>6.5</v>
      </c>
      <c r="F393" s="1" t="s">
        <v>18</v>
      </c>
      <c r="G393" s="1" t="s">
        <v>19</v>
      </c>
      <c r="H393" s="1" t="s">
        <v>19</v>
      </c>
      <c r="I393" s="1" t="s">
        <v>19</v>
      </c>
      <c r="J393" s="2">
        <v>69.599999999999994</v>
      </c>
      <c r="K393" s="3">
        <v>70</v>
      </c>
      <c r="L393" s="3" t="str">
        <f t="shared" si="6"/>
        <v>70-74</v>
      </c>
      <c r="M393" s="1" t="s">
        <v>30</v>
      </c>
    </row>
    <row r="394" spans="1:13" x14ac:dyDescent="0.35">
      <c r="A394">
        <v>391</v>
      </c>
      <c r="B394" s="1" t="s">
        <v>17</v>
      </c>
      <c r="C394" s="2">
        <v>2.4</v>
      </c>
      <c r="D394" s="3">
        <v>78.900000000000006</v>
      </c>
      <c r="E394" s="2">
        <v>6.5</v>
      </c>
      <c r="F394" s="1" t="s">
        <v>24</v>
      </c>
      <c r="G394" s="1" t="s">
        <v>19</v>
      </c>
      <c r="H394" s="1" t="s">
        <v>20</v>
      </c>
      <c r="I394" s="1" t="s">
        <v>20</v>
      </c>
      <c r="J394" s="2">
        <v>73.099999999999994</v>
      </c>
      <c r="K394" s="3">
        <v>86</v>
      </c>
      <c r="L394" s="3" t="str">
        <f t="shared" si="6"/>
        <v>85-89</v>
      </c>
      <c r="M394" s="1" t="s">
        <v>28</v>
      </c>
    </row>
    <row r="395" spans="1:13" x14ac:dyDescent="0.35">
      <c r="A395">
        <v>392</v>
      </c>
      <c r="B395" s="1" t="s">
        <v>17</v>
      </c>
      <c r="C395" s="2">
        <v>3.1</v>
      </c>
      <c r="D395" s="3">
        <v>84.6</v>
      </c>
      <c r="E395" s="2">
        <v>6.5</v>
      </c>
      <c r="F395" s="1" t="s">
        <v>24</v>
      </c>
      <c r="G395" s="1" t="s">
        <v>19</v>
      </c>
      <c r="H395" s="1" t="s">
        <v>19</v>
      </c>
      <c r="I395" s="1" t="s">
        <v>20</v>
      </c>
      <c r="J395" s="2">
        <v>62.4</v>
      </c>
      <c r="K395" s="3">
        <v>87</v>
      </c>
      <c r="L395" s="3" t="str">
        <f t="shared" si="6"/>
        <v>85-89</v>
      </c>
      <c r="M395" s="1" t="s">
        <v>28</v>
      </c>
    </row>
    <row r="396" spans="1:13" x14ac:dyDescent="0.35">
      <c r="A396">
        <v>393</v>
      </c>
      <c r="B396" s="1" t="s">
        <v>23</v>
      </c>
      <c r="C396" s="2">
        <v>3.4</v>
      </c>
      <c r="D396" s="3">
        <v>80.7</v>
      </c>
      <c r="E396" s="2">
        <v>6.7</v>
      </c>
      <c r="F396" s="1" t="s">
        <v>27</v>
      </c>
      <c r="G396" s="1" t="s">
        <v>20</v>
      </c>
      <c r="H396" s="1" t="s">
        <v>20</v>
      </c>
      <c r="I396" s="1" t="s">
        <v>20</v>
      </c>
      <c r="J396" s="2">
        <v>75.2</v>
      </c>
      <c r="K396" s="3">
        <v>72</v>
      </c>
      <c r="L396" s="3" t="str">
        <f t="shared" si="6"/>
        <v>70-74</v>
      </c>
      <c r="M396" s="1" t="s">
        <v>32</v>
      </c>
    </row>
    <row r="397" spans="1:13" x14ac:dyDescent="0.35">
      <c r="A397">
        <v>394</v>
      </c>
      <c r="B397" s="1" t="s">
        <v>23</v>
      </c>
      <c r="C397" s="2">
        <v>4.4000000000000004</v>
      </c>
      <c r="D397" s="3">
        <v>78.099999999999994</v>
      </c>
      <c r="E397" s="2">
        <v>7.4</v>
      </c>
      <c r="F397" s="1" t="s">
        <v>24</v>
      </c>
      <c r="G397" s="1" t="s">
        <v>19</v>
      </c>
      <c r="H397" s="1" t="s">
        <v>19</v>
      </c>
      <c r="I397" s="1" t="s">
        <v>20</v>
      </c>
      <c r="J397" s="2">
        <v>61.4</v>
      </c>
      <c r="K397" s="3">
        <v>92</v>
      </c>
      <c r="L397" s="3" t="str">
        <f t="shared" si="6"/>
        <v>90-94</v>
      </c>
      <c r="M397" s="1" t="s">
        <v>21</v>
      </c>
    </row>
    <row r="398" spans="1:13" x14ac:dyDescent="0.35">
      <c r="A398">
        <v>395</v>
      </c>
      <c r="B398" s="1" t="s">
        <v>17</v>
      </c>
      <c r="C398" s="2">
        <v>3.8</v>
      </c>
      <c r="D398" s="3">
        <v>70.900000000000006</v>
      </c>
      <c r="E398" s="2">
        <v>7.8</v>
      </c>
      <c r="F398" s="1" t="s">
        <v>33</v>
      </c>
      <c r="G398" s="1" t="s">
        <v>19</v>
      </c>
      <c r="H398" s="1" t="s">
        <v>20</v>
      </c>
      <c r="I398" s="1" t="s">
        <v>19</v>
      </c>
      <c r="J398" s="2">
        <v>45.6</v>
      </c>
      <c r="K398" s="3">
        <v>68</v>
      </c>
      <c r="L398" s="3" t="str">
        <f t="shared" si="6"/>
        <v>65-69</v>
      </c>
      <c r="M398" s="1" t="s">
        <v>30</v>
      </c>
    </row>
    <row r="399" spans="1:13" x14ac:dyDescent="0.35">
      <c r="A399">
        <v>396</v>
      </c>
      <c r="B399" s="1" t="s">
        <v>23</v>
      </c>
      <c r="C399" s="2">
        <v>1.5</v>
      </c>
      <c r="D399" s="3">
        <v>84.2</v>
      </c>
      <c r="E399" s="2">
        <v>6</v>
      </c>
      <c r="F399" s="1" t="s">
        <v>18</v>
      </c>
      <c r="G399" s="1" t="s">
        <v>19</v>
      </c>
      <c r="H399" s="1" t="s">
        <v>19</v>
      </c>
      <c r="I399" s="1" t="s">
        <v>20</v>
      </c>
      <c r="J399" s="2">
        <v>54.1</v>
      </c>
      <c r="K399" s="3">
        <v>73</v>
      </c>
      <c r="L399" s="3" t="str">
        <f t="shared" si="6"/>
        <v>70-74</v>
      </c>
      <c r="M399" s="1" t="s">
        <v>32</v>
      </c>
    </row>
    <row r="400" spans="1:13" x14ac:dyDescent="0.35">
      <c r="A400">
        <v>397</v>
      </c>
      <c r="B400" s="1" t="s">
        <v>23</v>
      </c>
      <c r="C400" s="2">
        <v>4.0999999999999996</v>
      </c>
      <c r="D400" s="3">
        <v>70</v>
      </c>
      <c r="E400" s="2">
        <v>5.4</v>
      </c>
      <c r="F400" s="1" t="s">
        <v>24</v>
      </c>
      <c r="G400" s="1" t="s">
        <v>19</v>
      </c>
      <c r="H400" s="1" t="s">
        <v>19</v>
      </c>
      <c r="I400" s="1" t="s">
        <v>20</v>
      </c>
      <c r="J400" s="2">
        <v>70.3</v>
      </c>
      <c r="K400" s="3">
        <v>76</v>
      </c>
      <c r="L400" s="3" t="str">
        <f t="shared" si="6"/>
        <v>75-79</v>
      </c>
      <c r="M400" s="1" t="s">
        <v>32</v>
      </c>
    </row>
    <row r="401" spans="1:13" x14ac:dyDescent="0.35">
      <c r="A401">
        <v>398</v>
      </c>
      <c r="B401" s="1" t="s">
        <v>23</v>
      </c>
      <c r="C401" s="2">
        <v>4.4000000000000004</v>
      </c>
      <c r="D401" s="3">
        <v>92.6</v>
      </c>
      <c r="E401" s="2">
        <v>5.5</v>
      </c>
      <c r="F401" s="1" t="s">
        <v>24</v>
      </c>
      <c r="G401" s="1" t="s">
        <v>20</v>
      </c>
      <c r="H401" s="1" t="s">
        <v>19</v>
      </c>
      <c r="I401" s="1" t="s">
        <v>20</v>
      </c>
      <c r="J401" s="2">
        <v>56.4</v>
      </c>
      <c r="K401" s="3">
        <v>81</v>
      </c>
      <c r="L401" s="3" t="str">
        <f t="shared" si="6"/>
        <v>80-84</v>
      </c>
      <c r="M401" s="1" t="s">
        <v>28</v>
      </c>
    </row>
    <row r="402" spans="1:13" x14ac:dyDescent="0.35">
      <c r="A402">
        <v>399</v>
      </c>
      <c r="B402" s="1" t="s">
        <v>23</v>
      </c>
      <c r="C402" s="2">
        <v>4.3</v>
      </c>
      <c r="D402" s="3">
        <v>85.8</v>
      </c>
      <c r="E402" s="2">
        <v>6.2</v>
      </c>
      <c r="F402" s="1" t="s">
        <v>18</v>
      </c>
      <c r="G402" s="1" t="s">
        <v>19</v>
      </c>
      <c r="H402" s="1" t="s">
        <v>19</v>
      </c>
      <c r="I402" s="1" t="s">
        <v>20</v>
      </c>
      <c r="J402" s="2">
        <v>69.2</v>
      </c>
      <c r="K402" s="3">
        <v>90</v>
      </c>
      <c r="L402" s="3" t="str">
        <f t="shared" si="6"/>
        <v>90-94</v>
      </c>
      <c r="M402" s="1" t="s">
        <v>21</v>
      </c>
    </row>
    <row r="403" spans="1:13" x14ac:dyDescent="0.35">
      <c r="A403">
        <v>400</v>
      </c>
      <c r="B403" s="1" t="s">
        <v>17</v>
      </c>
      <c r="C403" s="2">
        <v>5.0999999999999996</v>
      </c>
      <c r="D403" s="3">
        <v>70.400000000000006</v>
      </c>
      <c r="E403" s="2">
        <v>6.4</v>
      </c>
      <c r="F403" s="1" t="s">
        <v>27</v>
      </c>
      <c r="G403" s="1" t="s">
        <v>19</v>
      </c>
      <c r="H403" s="1" t="s">
        <v>19</v>
      </c>
      <c r="I403" s="1" t="s">
        <v>20</v>
      </c>
      <c r="J403" s="2">
        <v>57.1</v>
      </c>
      <c r="K403" s="3">
        <v>73</v>
      </c>
      <c r="L403" s="3" t="str">
        <f t="shared" si="6"/>
        <v>70-74</v>
      </c>
      <c r="M403" s="1" t="s">
        <v>32</v>
      </c>
    </row>
    <row r="404" spans="1:13" x14ac:dyDescent="0.35">
      <c r="A404">
        <v>401</v>
      </c>
      <c r="B404" s="1" t="s">
        <v>23</v>
      </c>
      <c r="C404" s="2">
        <v>4.8</v>
      </c>
      <c r="D404" s="3">
        <v>81.900000000000006</v>
      </c>
      <c r="E404" s="2">
        <v>5.9</v>
      </c>
      <c r="F404" s="1" t="s">
        <v>18</v>
      </c>
      <c r="G404" s="1" t="s">
        <v>19</v>
      </c>
      <c r="H404" s="1" t="s">
        <v>20</v>
      </c>
      <c r="I404" s="1" t="s">
        <v>19</v>
      </c>
      <c r="J404" s="2">
        <v>60.6</v>
      </c>
      <c r="K404" s="3">
        <v>85</v>
      </c>
      <c r="L404" s="3" t="str">
        <f t="shared" si="6"/>
        <v>85-89</v>
      </c>
      <c r="M404" s="1" t="s">
        <v>28</v>
      </c>
    </row>
    <row r="405" spans="1:13" x14ac:dyDescent="0.35">
      <c r="A405">
        <v>402</v>
      </c>
      <c r="B405" s="1" t="s">
        <v>23</v>
      </c>
      <c r="C405" s="2">
        <v>4.2</v>
      </c>
      <c r="D405" s="3">
        <v>77.5</v>
      </c>
      <c r="E405" s="2">
        <v>5.2</v>
      </c>
      <c r="F405" s="1" t="s">
        <v>18</v>
      </c>
      <c r="G405" s="1" t="s">
        <v>19</v>
      </c>
      <c r="H405" s="1" t="s">
        <v>19</v>
      </c>
      <c r="I405" s="1" t="s">
        <v>20</v>
      </c>
      <c r="J405" s="2">
        <v>80.2</v>
      </c>
      <c r="K405" s="3">
        <v>96</v>
      </c>
      <c r="L405" s="3" t="str">
        <f t="shared" si="6"/>
        <v>95-100</v>
      </c>
      <c r="M405" s="1" t="s">
        <v>21</v>
      </c>
    </row>
    <row r="406" spans="1:13" x14ac:dyDescent="0.35">
      <c r="A406">
        <v>403</v>
      </c>
      <c r="B406" s="1" t="s">
        <v>17</v>
      </c>
      <c r="C406" s="2">
        <v>3.4</v>
      </c>
      <c r="D406" s="3">
        <v>88.2</v>
      </c>
      <c r="E406" s="2">
        <v>6.3</v>
      </c>
      <c r="F406" s="1" t="s">
        <v>24</v>
      </c>
      <c r="G406" s="1" t="s">
        <v>19</v>
      </c>
      <c r="H406" s="1" t="s">
        <v>20</v>
      </c>
      <c r="I406" s="1" t="s">
        <v>19</v>
      </c>
      <c r="J406" s="2">
        <v>73</v>
      </c>
      <c r="K406" s="3">
        <v>82</v>
      </c>
      <c r="L406" s="3" t="str">
        <f t="shared" si="6"/>
        <v>80-84</v>
      </c>
      <c r="M406" s="1" t="s">
        <v>28</v>
      </c>
    </row>
    <row r="407" spans="1:13" x14ac:dyDescent="0.35">
      <c r="A407">
        <v>404</v>
      </c>
      <c r="B407" s="1" t="s">
        <v>17</v>
      </c>
      <c r="C407" s="2">
        <v>1</v>
      </c>
      <c r="D407" s="3">
        <v>98.4</v>
      </c>
      <c r="E407" s="2">
        <v>7</v>
      </c>
      <c r="F407" s="1" t="s">
        <v>18</v>
      </c>
      <c r="G407" s="1" t="s">
        <v>19</v>
      </c>
      <c r="H407" s="1" t="s">
        <v>20</v>
      </c>
      <c r="I407" s="1" t="s">
        <v>20</v>
      </c>
      <c r="J407" s="2">
        <v>69.900000000000006</v>
      </c>
      <c r="K407" s="3">
        <v>87</v>
      </c>
      <c r="L407" s="3" t="str">
        <f t="shared" si="6"/>
        <v>85-89</v>
      </c>
      <c r="M407" s="1" t="s">
        <v>28</v>
      </c>
    </row>
    <row r="408" spans="1:13" x14ac:dyDescent="0.35">
      <c r="A408">
        <v>405</v>
      </c>
      <c r="B408" s="1" t="s">
        <v>23</v>
      </c>
      <c r="C408" s="2">
        <v>4.0999999999999996</v>
      </c>
      <c r="D408" s="3">
        <v>66.2</v>
      </c>
      <c r="E408" s="2">
        <v>7.5</v>
      </c>
      <c r="F408" s="1" t="s">
        <v>18</v>
      </c>
      <c r="G408" s="1" t="s">
        <v>19</v>
      </c>
      <c r="H408" s="1" t="s">
        <v>20</v>
      </c>
      <c r="I408" s="1" t="s">
        <v>20</v>
      </c>
      <c r="J408" s="2">
        <v>80.5</v>
      </c>
      <c r="K408" s="3">
        <v>85</v>
      </c>
      <c r="L408" s="3" t="str">
        <f t="shared" si="6"/>
        <v>85-89</v>
      </c>
      <c r="M408" s="1" t="s">
        <v>28</v>
      </c>
    </row>
    <row r="409" spans="1:13" x14ac:dyDescent="0.35">
      <c r="A409">
        <v>406</v>
      </c>
      <c r="B409" s="1" t="s">
        <v>23</v>
      </c>
      <c r="C409" s="2">
        <v>3.8</v>
      </c>
      <c r="D409" s="3">
        <v>86.2</v>
      </c>
      <c r="E409" s="2">
        <v>6.1</v>
      </c>
      <c r="F409" s="1" t="s">
        <v>34</v>
      </c>
      <c r="G409" s="1" t="s">
        <v>19</v>
      </c>
      <c r="H409" s="1" t="s">
        <v>20</v>
      </c>
      <c r="I409" s="1" t="s">
        <v>20</v>
      </c>
      <c r="J409" s="2">
        <v>75.8</v>
      </c>
      <c r="K409" s="3">
        <v>93</v>
      </c>
      <c r="L409" s="3" t="str">
        <f t="shared" si="6"/>
        <v>90-94</v>
      </c>
      <c r="M409" s="1" t="s">
        <v>21</v>
      </c>
    </row>
    <row r="410" spans="1:13" x14ac:dyDescent="0.35">
      <c r="A410">
        <v>407</v>
      </c>
      <c r="B410" s="1" t="s">
        <v>23</v>
      </c>
      <c r="C410" s="2">
        <v>3.9</v>
      </c>
      <c r="D410" s="3">
        <v>83.4</v>
      </c>
      <c r="E410" s="2">
        <v>6.3</v>
      </c>
      <c r="F410" s="1" t="s">
        <v>18</v>
      </c>
      <c r="G410" s="1" t="s">
        <v>19</v>
      </c>
      <c r="H410" s="1" t="s">
        <v>20</v>
      </c>
      <c r="I410" s="1" t="s">
        <v>20</v>
      </c>
      <c r="J410" s="2">
        <v>87.4</v>
      </c>
      <c r="K410" s="3">
        <v>79</v>
      </c>
      <c r="L410" s="3" t="str">
        <f t="shared" si="6"/>
        <v>75-79</v>
      </c>
      <c r="M410" s="1" t="s">
        <v>32</v>
      </c>
    </row>
    <row r="411" spans="1:13" x14ac:dyDescent="0.35">
      <c r="A411">
        <v>408</v>
      </c>
      <c r="B411" s="1" t="s">
        <v>23</v>
      </c>
      <c r="C411" s="2">
        <v>1.6</v>
      </c>
      <c r="D411" s="3">
        <v>91.7</v>
      </c>
      <c r="E411" s="2">
        <v>5.7</v>
      </c>
      <c r="F411" s="1" t="s">
        <v>18</v>
      </c>
      <c r="G411" s="1" t="s">
        <v>19</v>
      </c>
      <c r="H411" s="1" t="s">
        <v>19</v>
      </c>
      <c r="I411" s="1" t="s">
        <v>20</v>
      </c>
      <c r="J411" s="2">
        <v>64.5</v>
      </c>
      <c r="K411" s="3">
        <v>90</v>
      </c>
      <c r="L411" s="3" t="str">
        <f t="shared" si="6"/>
        <v>90-94</v>
      </c>
      <c r="M411" s="1" t="s">
        <v>21</v>
      </c>
    </row>
    <row r="412" spans="1:13" x14ac:dyDescent="0.35">
      <c r="A412">
        <v>409</v>
      </c>
      <c r="B412" s="1" t="s">
        <v>23</v>
      </c>
      <c r="C412" s="2">
        <v>1.9</v>
      </c>
      <c r="D412" s="3">
        <v>87.1</v>
      </c>
      <c r="E412" s="2">
        <v>6.8</v>
      </c>
      <c r="F412" s="1" t="s">
        <v>24</v>
      </c>
      <c r="G412" s="1" t="s">
        <v>20</v>
      </c>
      <c r="H412" s="1" t="s">
        <v>20</v>
      </c>
      <c r="I412" s="1" t="s">
        <v>20</v>
      </c>
      <c r="J412" s="2">
        <v>64.8</v>
      </c>
      <c r="K412" s="3">
        <v>80</v>
      </c>
      <c r="L412" s="3" t="str">
        <f t="shared" si="6"/>
        <v>80-84</v>
      </c>
      <c r="M412" s="1" t="s">
        <v>28</v>
      </c>
    </row>
    <row r="413" spans="1:13" x14ac:dyDescent="0.35">
      <c r="A413">
        <v>410</v>
      </c>
      <c r="B413" s="1" t="s">
        <v>23</v>
      </c>
      <c r="C413" s="2">
        <v>5.0999999999999996</v>
      </c>
      <c r="D413" s="3">
        <v>77.5</v>
      </c>
      <c r="E413" s="2">
        <v>5.8</v>
      </c>
      <c r="F413" s="1" t="s">
        <v>27</v>
      </c>
      <c r="G413" s="1" t="s">
        <v>19</v>
      </c>
      <c r="H413" s="1" t="s">
        <v>19</v>
      </c>
      <c r="I413" s="1" t="s">
        <v>19</v>
      </c>
      <c r="J413" s="2">
        <v>54.4</v>
      </c>
      <c r="K413" s="3">
        <v>78</v>
      </c>
      <c r="L413" s="3" t="str">
        <f t="shared" si="6"/>
        <v>75-79</v>
      </c>
      <c r="M413" s="1" t="s">
        <v>32</v>
      </c>
    </row>
    <row r="414" spans="1:13" x14ac:dyDescent="0.35">
      <c r="A414">
        <v>411</v>
      </c>
      <c r="B414" s="1" t="s">
        <v>17</v>
      </c>
      <c r="C414" s="2">
        <v>3.4</v>
      </c>
      <c r="D414" s="3">
        <v>81.8</v>
      </c>
      <c r="E414" s="2">
        <v>7.5</v>
      </c>
      <c r="F414" s="1" t="s">
        <v>24</v>
      </c>
      <c r="G414" s="1" t="s">
        <v>19</v>
      </c>
      <c r="H414" s="1" t="s">
        <v>20</v>
      </c>
      <c r="I414" s="1" t="s">
        <v>20</v>
      </c>
      <c r="J414" s="2">
        <v>64.900000000000006</v>
      </c>
      <c r="K414" s="3">
        <v>70</v>
      </c>
      <c r="L414" s="3" t="str">
        <f t="shared" si="6"/>
        <v>70-74</v>
      </c>
      <c r="M414" s="1" t="s">
        <v>32</v>
      </c>
    </row>
    <row r="415" spans="1:13" x14ac:dyDescent="0.35">
      <c r="A415">
        <v>412</v>
      </c>
      <c r="B415" s="1" t="s">
        <v>23</v>
      </c>
      <c r="C415" s="2">
        <v>4.5</v>
      </c>
      <c r="D415" s="3">
        <v>77</v>
      </c>
      <c r="E415" s="2">
        <v>4.7</v>
      </c>
      <c r="F415" s="1" t="s">
        <v>24</v>
      </c>
      <c r="G415" s="1" t="s">
        <v>19</v>
      </c>
      <c r="H415" s="1" t="s">
        <v>20</v>
      </c>
      <c r="I415" s="1" t="s">
        <v>20</v>
      </c>
      <c r="J415" s="2">
        <v>81.599999999999994</v>
      </c>
      <c r="K415" s="3">
        <v>90</v>
      </c>
      <c r="L415" s="3" t="str">
        <f t="shared" si="6"/>
        <v>90-94</v>
      </c>
      <c r="M415" s="1" t="s">
        <v>21</v>
      </c>
    </row>
    <row r="416" spans="1:13" x14ac:dyDescent="0.35">
      <c r="A416">
        <v>413</v>
      </c>
      <c r="B416" s="1" t="s">
        <v>23</v>
      </c>
      <c r="C416" s="2">
        <v>3.5</v>
      </c>
      <c r="D416" s="3">
        <v>95.8</v>
      </c>
      <c r="E416" s="2">
        <v>6.4</v>
      </c>
      <c r="F416" s="1" t="s">
        <v>33</v>
      </c>
      <c r="G416" s="1" t="s">
        <v>19</v>
      </c>
      <c r="H416" s="1" t="s">
        <v>19</v>
      </c>
      <c r="I416" s="1" t="s">
        <v>20</v>
      </c>
      <c r="J416" s="2">
        <v>85.6</v>
      </c>
      <c r="K416" s="3">
        <v>87</v>
      </c>
      <c r="L416" s="3" t="str">
        <f t="shared" si="6"/>
        <v>85-89</v>
      </c>
      <c r="M416" s="1" t="s">
        <v>28</v>
      </c>
    </row>
    <row r="417" spans="1:13" x14ac:dyDescent="0.35">
      <c r="A417">
        <v>414</v>
      </c>
      <c r="B417" s="1" t="s">
        <v>17</v>
      </c>
      <c r="C417" s="2">
        <v>3.5</v>
      </c>
      <c r="D417" s="3">
        <v>85.2</v>
      </c>
      <c r="E417" s="2">
        <v>7.2</v>
      </c>
      <c r="F417" s="1" t="s">
        <v>18</v>
      </c>
      <c r="G417" s="1" t="s">
        <v>19</v>
      </c>
      <c r="H417" s="1" t="s">
        <v>19</v>
      </c>
      <c r="I417" s="1" t="s">
        <v>20</v>
      </c>
      <c r="J417" s="2">
        <v>81.5</v>
      </c>
      <c r="K417" s="3">
        <v>94</v>
      </c>
      <c r="L417" s="3" t="str">
        <f t="shared" si="6"/>
        <v>90-94</v>
      </c>
      <c r="M417" s="1" t="s">
        <v>21</v>
      </c>
    </row>
    <row r="418" spans="1:13" x14ac:dyDescent="0.35">
      <c r="A418">
        <v>415</v>
      </c>
      <c r="B418" s="1" t="s">
        <v>17</v>
      </c>
      <c r="C418" s="2">
        <v>4.9000000000000004</v>
      </c>
      <c r="D418" s="3">
        <v>100</v>
      </c>
      <c r="E418" s="2">
        <v>7</v>
      </c>
      <c r="F418" s="1" t="s">
        <v>18</v>
      </c>
      <c r="G418" s="1" t="s">
        <v>20</v>
      </c>
      <c r="H418" s="1" t="s">
        <v>19</v>
      </c>
      <c r="I418" s="1" t="s">
        <v>19</v>
      </c>
      <c r="J418" s="2">
        <v>48.5</v>
      </c>
      <c r="K418" s="3">
        <v>83</v>
      </c>
      <c r="L418" s="3" t="str">
        <f t="shared" si="6"/>
        <v>80-84</v>
      </c>
      <c r="M418" s="1" t="s">
        <v>28</v>
      </c>
    </row>
    <row r="419" spans="1:13" x14ac:dyDescent="0.35">
      <c r="A419">
        <v>416</v>
      </c>
      <c r="B419" s="1" t="s">
        <v>17</v>
      </c>
      <c r="C419" s="2">
        <v>2.7</v>
      </c>
      <c r="D419" s="3">
        <v>84.4</v>
      </c>
      <c r="E419" s="2">
        <v>10</v>
      </c>
      <c r="F419" s="1" t="s">
        <v>18</v>
      </c>
      <c r="G419" s="1" t="s">
        <v>19</v>
      </c>
      <c r="H419" s="1" t="s">
        <v>20</v>
      </c>
      <c r="I419" s="1" t="s">
        <v>19</v>
      </c>
      <c r="J419" s="2">
        <v>83</v>
      </c>
      <c r="K419" s="3">
        <v>81</v>
      </c>
      <c r="L419" s="3" t="str">
        <f t="shared" si="6"/>
        <v>80-84</v>
      </c>
      <c r="M419" s="1" t="s">
        <v>28</v>
      </c>
    </row>
    <row r="420" spans="1:13" x14ac:dyDescent="0.35">
      <c r="A420">
        <v>417</v>
      </c>
      <c r="B420" s="1" t="s">
        <v>17</v>
      </c>
      <c r="C420" s="2">
        <v>3.6</v>
      </c>
      <c r="D420" s="3">
        <v>77.900000000000006</v>
      </c>
      <c r="E420" s="2">
        <v>7.2</v>
      </c>
      <c r="F420" s="1" t="s">
        <v>33</v>
      </c>
      <c r="G420" s="1" t="s">
        <v>20</v>
      </c>
      <c r="H420" s="1" t="s">
        <v>20</v>
      </c>
      <c r="I420" s="1" t="s">
        <v>20</v>
      </c>
      <c r="J420" s="2">
        <v>47.9</v>
      </c>
      <c r="K420" s="3">
        <v>76</v>
      </c>
      <c r="L420" s="3" t="str">
        <f t="shared" si="6"/>
        <v>75-79</v>
      </c>
      <c r="M420" s="1" t="s">
        <v>32</v>
      </c>
    </row>
    <row r="421" spans="1:13" x14ac:dyDescent="0.35">
      <c r="A421">
        <v>418</v>
      </c>
      <c r="B421" s="1" t="s">
        <v>23</v>
      </c>
      <c r="C421" s="2">
        <v>2.8</v>
      </c>
      <c r="D421" s="3">
        <v>69.900000000000006</v>
      </c>
      <c r="E421" s="2">
        <v>5.6</v>
      </c>
      <c r="F421" s="1" t="s">
        <v>24</v>
      </c>
      <c r="G421" s="1" t="s">
        <v>19</v>
      </c>
      <c r="H421" s="1" t="s">
        <v>19</v>
      </c>
      <c r="I421" s="1" t="s">
        <v>20</v>
      </c>
      <c r="J421" s="2">
        <v>80.8</v>
      </c>
      <c r="K421" s="3">
        <v>85</v>
      </c>
      <c r="L421" s="3" t="str">
        <f t="shared" si="6"/>
        <v>85-89</v>
      </c>
      <c r="M421" s="1" t="s">
        <v>28</v>
      </c>
    </row>
    <row r="422" spans="1:13" x14ac:dyDescent="0.35">
      <c r="A422">
        <v>419</v>
      </c>
      <c r="B422" s="1" t="s">
        <v>23</v>
      </c>
      <c r="C422" s="2">
        <v>2.8</v>
      </c>
      <c r="D422" s="3">
        <v>67</v>
      </c>
      <c r="E422" s="2">
        <v>6.7</v>
      </c>
      <c r="F422" s="1" t="s">
        <v>33</v>
      </c>
      <c r="G422" s="1" t="s">
        <v>19</v>
      </c>
      <c r="H422" s="1" t="s">
        <v>20</v>
      </c>
      <c r="I422" s="1" t="s">
        <v>20</v>
      </c>
      <c r="J422" s="2">
        <v>65.599999999999994</v>
      </c>
      <c r="K422" s="3">
        <v>79</v>
      </c>
      <c r="L422" s="3" t="str">
        <f t="shared" si="6"/>
        <v>75-79</v>
      </c>
      <c r="M422" s="1" t="s">
        <v>32</v>
      </c>
    </row>
    <row r="423" spans="1:13" x14ac:dyDescent="0.35">
      <c r="A423">
        <v>420</v>
      </c>
      <c r="B423" s="1" t="s">
        <v>23</v>
      </c>
      <c r="C423" s="2">
        <v>3</v>
      </c>
      <c r="D423" s="3">
        <v>69.2</v>
      </c>
      <c r="E423" s="2">
        <v>4.7</v>
      </c>
      <c r="F423" s="1" t="s">
        <v>18</v>
      </c>
      <c r="G423" s="1" t="s">
        <v>20</v>
      </c>
      <c r="H423" s="1" t="s">
        <v>20</v>
      </c>
      <c r="I423" s="1" t="s">
        <v>20</v>
      </c>
      <c r="J423" s="2">
        <v>78.400000000000006</v>
      </c>
      <c r="K423" s="3">
        <v>73</v>
      </c>
      <c r="L423" s="3" t="str">
        <f t="shared" si="6"/>
        <v>70-74</v>
      </c>
      <c r="M423" s="1" t="s">
        <v>32</v>
      </c>
    </row>
    <row r="424" spans="1:13" x14ac:dyDescent="0.35">
      <c r="A424">
        <v>421</v>
      </c>
      <c r="B424" s="1" t="s">
        <v>23</v>
      </c>
      <c r="C424" s="2">
        <v>3.8</v>
      </c>
      <c r="D424" s="3">
        <v>87.7</v>
      </c>
      <c r="E424" s="2">
        <v>6.7</v>
      </c>
      <c r="F424" s="1" t="s">
        <v>18</v>
      </c>
      <c r="G424" s="1" t="s">
        <v>19</v>
      </c>
      <c r="H424" s="1" t="s">
        <v>19</v>
      </c>
      <c r="I424" s="1" t="s">
        <v>19</v>
      </c>
      <c r="J424" s="2">
        <v>54</v>
      </c>
      <c r="K424" s="3">
        <v>70</v>
      </c>
      <c r="L424" s="3" t="str">
        <f t="shared" si="6"/>
        <v>70-74</v>
      </c>
      <c r="M424" s="1" t="s">
        <v>30</v>
      </c>
    </row>
    <row r="425" spans="1:13" x14ac:dyDescent="0.35">
      <c r="A425">
        <v>422</v>
      </c>
      <c r="B425" s="1" t="s">
        <v>23</v>
      </c>
      <c r="C425" s="2">
        <v>2.8</v>
      </c>
      <c r="D425" s="3">
        <v>90.1</v>
      </c>
      <c r="E425" s="2">
        <v>5.8</v>
      </c>
      <c r="F425" s="1" t="s">
        <v>18</v>
      </c>
      <c r="G425" s="1" t="s">
        <v>20</v>
      </c>
      <c r="H425" s="1" t="s">
        <v>19</v>
      </c>
      <c r="I425" s="1" t="s">
        <v>20</v>
      </c>
      <c r="J425" s="2">
        <v>84.1</v>
      </c>
      <c r="K425" s="3">
        <v>90</v>
      </c>
      <c r="L425" s="3" t="str">
        <f t="shared" si="6"/>
        <v>90-94</v>
      </c>
      <c r="M425" s="1" t="s">
        <v>28</v>
      </c>
    </row>
    <row r="426" spans="1:13" x14ac:dyDescent="0.35">
      <c r="A426">
        <v>423</v>
      </c>
      <c r="B426" s="1" t="s">
        <v>23</v>
      </c>
      <c r="C426" s="2">
        <v>5.4</v>
      </c>
      <c r="D426" s="3">
        <v>69.2</v>
      </c>
      <c r="E426" s="2">
        <v>7.9</v>
      </c>
      <c r="F426" s="1" t="s">
        <v>24</v>
      </c>
      <c r="G426" s="1" t="s">
        <v>19</v>
      </c>
      <c r="H426" s="1" t="s">
        <v>20</v>
      </c>
      <c r="I426" s="1" t="s">
        <v>19</v>
      </c>
      <c r="J426" s="2">
        <v>52.4</v>
      </c>
      <c r="K426" s="3">
        <v>77</v>
      </c>
      <c r="L426" s="3" t="str">
        <f t="shared" si="6"/>
        <v>75-79</v>
      </c>
      <c r="M426" s="1" t="s">
        <v>32</v>
      </c>
    </row>
    <row r="427" spans="1:13" x14ac:dyDescent="0.35">
      <c r="A427">
        <v>424</v>
      </c>
      <c r="B427" s="1" t="s">
        <v>17</v>
      </c>
      <c r="C427" s="2">
        <v>2.2000000000000002</v>
      </c>
      <c r="D427" s="3">
        <v>94</v>
      </c>
      <c r="E427" s="2">
        <v>6.1</v>
      </c>
      <c r="F427" s="1" t="s">
        <v>33</v>
      </c>
      <c r="G427" s="1" t="s">
        <v>20</v>
      </c>
      <c r="H427" s="1" t="s">
        <v>20</v>
      </c>
      <c r="I427" s="1" t="s">
        <v>20</v>
      </c>
      <c r="J427" s="2">
        <v>62</v>
      </c>
      <c r="K427" s="3">
        <v>65</v>
      </c>
      <c r="L427" s="3" t="str">
        <f t="shared" si="6"/>
        <v>65-69</v>
      </c>
      <c r="M427" s="1" t="s">
        <v>30</v>
      </c>
    </row>
    <row r="428" spans="1:13" x14ac:dyDescent="0.35">
      <c r="A428">
        <v>425</v>
      </c>
      <c r="B428" s="1" t="s">
        <v>23</v>
      </c>
      <c r="C428" s="2">
        <v>3.2</v>
      </c>
      <c r="D428" s="3">
        <v>80.2</v>
      </c>
      <c r="E428" s="2">
        <v>6.7</v>
      </c>
      <c r="F428" s="1" t="s">
        <v>18</v>
      </c>
      <c r="G428" s="1" t="s">
        <v>19</v>
      </c>
      <c r="H428" s="1" t="s">
        <v>20</v>
      </c>
      <c r="I428" s="1" t="s">
        <v>19</v>
      </c>
      <c r="J428" s="2">
        <v>58</v>
      </c>
      <c r="K428" s="3">
        <v>82</v>
      </c>
      <c r="L428" s="3" t="str">
        <f t="shared" si="6"/>
        <v>80-84</v>
      </c>
      <c r="M428" s="1" t="s">
        <v>28</v>
      </c>
    </row>
    <row r="429" spans="1:13" x14ac:dyDescent="0.35">
      <c r="A429">
        <v>426</v>
      </c>
      <c r="B429" s="1" t="s">
        <v>17</v>
      </c>
      <c r="C429" s="2">
        <v>2.8</v>
      </c>
      <c r="D429" s="3">
        <v>86.5</v>
      </c>
      <c r="E429" s="2">
        <v>6</v>
      </c>
      <c r="F429" s="1" t="s">
        <v>24</v>
      </c>
      <c r="G429" s="1" t="s">
        <v>19</v>
      </c>
      <c r="H429" s="1" t="s">
        <v>19</v>
      </c>
      <c r="I429" s="1" t="s">
        <v>20</v>
      </c>
      <c r="J429" s="2">
        <v>48.9</v>
      </c>
      <c r="K429" s="3">
        <v>86</v>
      </c>
      <c r="L429" s="3" t="str">
        <f t="shared" si="6"/>
        <v>85-89</v>
      </c>
      <c r="M429" s="1" t="s">
        <v>28</v>
      </c>
    </row>
    <row r="430" spans="1:13" x14ac:dyDescent="0.35">
      <c r="A430">
        <v>427</v>
      </c>
      <c r="B430" s="1" t="s">
        <v>17</v>
      </c>
      <c r="C430" s="2">
        <v>5.7</v>
      </c>
      <c r="D430" s="3">
        <v>100</v>
      </c>
      <c r="E430" s="2">
        <v>8.9</v>
      </c>
      <c r="F430" s="1" t="s">
        <v>18</v>
      </c>
      <c r="G430" s="1" t="s">
        <v>19</v>
      </c>
      <c r="H430" s="1" t="s">
        <v>19</v>
      </c>
      <c r="I430" s="1" t="s">
        <v>19</v>
      </c>
      <c r="J430" s="2">
        <v>71.099999999999994</v>
      </c>
      <c r="K430" s="3">
        <v>100</v>
      </c>
      <c r="L430" s="3" t="str">
        <f t="shared" si="6"/>
        <v>95-100</v>
      </c>
      <c r="M430" s="1" t="s">
        <v>21</v>
      </c>
    </row>
    <row r="431" spans="1:13" x14ac:dyDescent="0.35">
      <c r="A431">
        <v>428</v>
      </c>
      <c r="B431" s="1" t="s">
        <v>23</v>
      </c>
      <c r="C431" s="2">
        <v>3.8</v>
      </c>
      <c r="D431" s="3">
        <v>94</v>
      </c>
      <c r="E431" s="2">
        <v>6.4</v>
      </c>
      <c r="F431" s="1" t="s">
        <v>27</v>
      </c>
      <c r="G431" s="1" t="s">
        <v>19</v>
      </c>
      <c r="H431" s="1" t="s">
        <v>19</v>
      </c>
      <c r="I431" s="1" t="s">
        <v>20</v>
      </c>
      <c r="J431" s="2">
        <v>91.7</v>
      </c>
      <c r="K431" s="3">
        <v>100</v>
      </c>
      <c r="L431" s="3" t="str">
        <f t="shared" si="6"/>
        <v>95-100</v>
      </c>
      <c r="M431" s="1" t="s">
        <v>21</v>
      </c>
    </row>
    <row r="432" spans="1:13" x14ac:dyDescent="0.35">
      <c r="A432">
        <v>429</v>
      </c>
      <c r="B432" s="1" t="s">
        <v>17</v>
      </c>
      <c r="C432" s="2">
        <v>5</v>
      </c>
      <c r="D432" s="3">
        <v>82.3</v>
      </c>
      <c r="E432" s="2">
        <v>9</v>
      </c>
      <c r="F432" s="1" t="s">
        <v>18</v>
      </c>
      <c r="G432" s="1" t="s">
        <v>19</v>
      </c>
      <c r="H432" s="1" t="s">
        <v>19</v>
      </c>
      <c r="I432" s="1" t="s">
        <v>20</v>
      </c>
      <c r="J432" s="2">
        <v>100</v>
      </c>
      <c r="K432" s="3">
        <v>100</v>
      </c>
      <c r="L432" s="3" t="str">
        <f t="shared" si="6"/>
        <v>95-100</v>
      </c>
      <c r="M432" s="1" t="s">
        <v>21</v>
      </c>
    </row>
    <row r="433" spans="1:13" x14ac:dyDescent="0.35">
      <c r="A433">
        <v>430</v>
      </c>
      <c r="B433" s="1" t="s">
        <v>23</v>
      </c>
      <c r="C433" s="2">
        <v>1.3</v>
      </c>
      <c r="D433" s="3">
        <v>76.099999999999994</v>
      </c>
      <c r="E433" s="2">
        <v>7.8</v>
      </c>
      <c r="F433" s="1" t="s">
        <v>27</v>
      </c>
      <c r="G433" s="1" t="s">
        <v>19</v>
      </c>
      <c r="H433" s="1" t="s">
        <v>19</v>
      </c>
      <c r="I433" s="1" t="s">
        <v>20</v>
      </c>
      <c r="J433" s="2">
        <v>71.2</v>
      </c>
      <c r="K433" s="3">
        <v>72</v>
      </c>
      <c r="L433" s="3" t="str">
        <f t="shared" si="6"/>
        <v>70-74</v>
      </c>
      <c r="M433" s="1" t="s">
        <v>32</v>
      </c>
    </row>
    <row r="434" spans="1:13" x14ac:dyDescent="0.35">
      <c r="A434">
        <v>431</v>
      </c>
      <c r="B434" s="1" t="s">
        <v>17</v>
      </c>
      <c r="C434" s="2">
        <v>3.9</v>
      </c>
      <c r="D434" s="3">
        <v>63.5</v>
      </c>
      <c r="E434" s="2">
        <v>7.4</v>
      </c>
      <c r="F434" s="1" t="s">
        <v>24</v>
      </c>
      <c r="G434" s="1" t="s">
        <v>19</v>
      </c>
      <c r="H434" s="1" t="s">
        <v>20</v>
      </c>
      <c r="I434" s="1" t="s">
        <v>20</v>
      </c>
      <c r="J434" s="2">
        <v>83.4</v>
      </c>
      <c r="K434" s="3">
        <v>81</v>
      </c>
      <c r="L434" s="3" t="str">
        <f t="shared" si="6"/>
        <v>80-84</v>
      </c>
      <c r="M434" s="1" t="s">
        <v>28</v>
      </c>
    </row>
    <row r="435" spans="1:13" x14ac:dyDescent="0.35">
      <c r="A435">
        <v>432</v>
      </c>
      <c r="B435" s="1" t="s">
        <v>23</v>
      </c>
      <c r="C435" s="2">
        <v>4.8</v>
      </c>
      <c r="D435" s="3">
        <v>77.8</v>
      </c>
      <c r="E435" s="2">
        <v>7.2</v>
      </c>
      <c r="F435" s="1" t="s">
        <v>24</v>
      </c>
      <c r="G435" s="1" t="s">
        <v>19</v>
      </c>
      <c r="H435" s="1" t="s">
        <v>19</v>
      </c>
      <c r="I435" s="1" t="s">
        <v>20</v>
      </c>
      <c r="J435" s="2">
        <v>72.8</v>
      </c>
      <c r="K435" s="3">
        <v>100</v>
      </c>
      <c r="L435" s="3" t="str">
        <f t="shared" si="6"/>
        <v>95-100</v>
      </c>
      <c r="M435" s="1" t="s">
        <v>21</v>
      </c>
    </row>
    <row r="436" spans="1:13" x14ac:dyDescent="0.35">
      <c r="A436">
        <v>433</v>
      </c>
      <c r="B436" s="1" t="s">
        <v>17</v>
      </c>
      <c r="C436" s="2">
        <v>3.6</v>
      </c>
      <c r="D436" s="3">
        <v>82.9</v>
      </c>
      <c r="E436" s="2">
        <v>7.3</v>
      </c>
      <c r="F436" s="1" t="s">
        <v>24</v>
      </c>
      <c r="G436" s="1" t="s">
        <v>19</v>
      </c>
      <c r="H436" s="1" t="s">
        <v>20</v>
      </c>
      <c r="I436" s="1" t="s">
        <v>19</v>
      </c>
      <c r="J436" s="2">
        <v>76</v>
      </c>
      <c r="K436" s="3">
        <v>80</v>
      </c>
      <c r="L436" s="3" t="str">
        <f t="shared" si="6"/>
        <v>80-84</v>
      </c>
      <c r="M436" s="1" t="s">
        <v>32</v>
      </c>
    </row>
    <row r="437" spans="1:13" x14ac:dyDescent="0.35">
      <c r="A437">
        <v>434</v>
      </c>
      <c r="B437" s="1" t="s">
        <v>23</v>
      </c>
      <c r="C437" s="2">
        <v>5.0999999999999996</v>
      </c>
      <c r="D437" s="3">
        <v>75.099999999999994</v>
      </c>
      <c r="E437" s="2">
        <v>4.5</v>
      </c>
      <c r="F437" s="1" t="s">
        <v>18</v>
      </c>
      <c r="G437" s="1" t="s">
        <v>19</v>
      </c>
      <c r="H437" s="1" t="s">
        <v>19</v>
      </c>
      <c r="I437" s="1" t="s">
        <v>20</v>
      </c>
      <c r="J437" s="2">
        <v>65.900000000000006</v>
      </c>
      <c r="K437" s="3">
        <v>89</v>
      </c>
      <c r="L437" s="3" t="str">
        <f t="shared" si="6"/>
        <v>85-89</v>
      </c>
      <c r="M437" s="1" t="s">
        <v>28</v>
      </c>
    </row>
    <row r="438" spans="1:13" x14ac:dyDescent="0.35">
      <c r="A438">
        <v>435</v>
      </c>
      <c r="B438" s="1" t="s">
        <v>23</v>
      </c>
      <c r="C438" s="2">
        <v>2.7</v>
      </c>
      <c r="D438" s="3">
        <v>83.7</v>
      </c>
      <c r="E438" s="2">
        <v>6.5</v>
      </c>
      <c r="F438" s="1" t="s">
        <v>24</v>
      </c>
      <c r="G438" s="1" t="s">
        <v>19</v>
      </c>
      <c r="H438" s="1" t="s">
        <v>20</v>
      </c>
      <c r="I438" s="1" t="s">
        <v>20</v>
      </c>
      <c r="J438" s="2">
        <v>72.3</v>
      </c>
      <c r="K438" s="3">
        <v>78</v>
      </c>
      <c r="L438" s="3" t="str">
        <f t="shared" si="6"/>
        <v>75-79</v>
      </c>
      <c r="M438" s="1" t="s">
        <v>32</v>
      </c>
    </row>
    <row r="439" spans="1:13" x14ac:dyDescent="0.35">
      <c r="A439">
        <v>436</v>
      </c>
      <c r="B439" s="1" t="s">
        <v>23</v>
      </c>
      <c r="C439" s="2">
        <v>5.6</v>
      </c>
      <c r="D439" s="3">
        <v>85.8</v>
      </c>
      <c r="E439" s="2">
        <v>7.8</v>
      </c>
      <c r="F439" s="1" t="s">
        <v>24</v>
      </c>
      <c r="G439" s="1" t="s">
        <v>19</v>
      </c>
      <c r="H439" s="1" t="s">
        <v>19</v>
      </c>
      <c r="I439" s="1" t="s">
        <v>19</v>
      </c>
      <c r="J439" s="2">
        <v>76.400000000000006</v>
      </c>
      <c r="K439" s="3">
        <v>93</v>
      </c>
      <c r="L439" s="3" t="str">
        <f t="shared" si="6"/>
        <v>90-94</v>
      </c>
      <c r="M439" s="1" t="s">
        <v>21</v>
      </c>
    </row>
    <row r="440" spans="1:13" x14ac:dyDescent="0.35">
      <c r="A440">
        <v>437</v>
      </c>
      <c r="B440" s="1" t="s">
        <v>23</v>
      </c>
      <c r="C440" s="2">
        <v>6.9</v>
      </c>
      <c r="D440" s="3">
        <v>82.8</v>
      </c>
      <c r="E440" s="2">
        <v>6.7</v>
      </c>
      <c r="F440" s="1" t="s">
        <v>27</v>
      </c>
      <c r="G440" s="1" t="s">
        <v>19</v>
      </c>
      <c r="H440" s="1" t="s">
        <v>19</v>
      </c>
      <c r="I440" s="1" t="s">
        <v>19</v>
      </c>
      <c r="J440" s="2">
        <v>63.1</v>
      </c>
      <c r="K440" s="3">
        <v>100</v>
      </c>
      <c r="L440" s="3" t="str">
        <f t="shared" si="6"/>
        <v>95-100</v>
      </c>
      <c r="M440" s="1" t="s">
        <v>21</v>
      </c>
    </row>
    <row r="441" spans="1:13" x14ac:dyDescent="0.35">
      <c r="A441">
        <v>438</v>
      </c>
      <c r="B441" s="1" t="s">
        <v>23</v>
      </c>
      <c r="C441" s="2">
        <v>3</v>
      </c>
      <c r="D441" s="3">
        <v>78.5</v>
      </c>
      <c r="E441" s="2">
        <v>5.0999999999999996</v>
      </c>
      <c r="F441" s="1" t="s">
        <v>33</v>
      </c>
      <c r="G441" s="1" t="s">
        <v>19</v>
      </c>
      <c r="H441" s="1" t="s">
        <v>19</v>
      </c>
      <c r="I441" s="1" t="s">
        <v>20</v>
      </c>
      <c r="J441" s="2">
        <v>69.099999999999994</v>
      </c>
      <c r="K441" s="3">
        <v>77</v>
      </c>
      <c r="L441" s="3" t="str">
        <f t="shared" si="6"/>
        <v>75-79</v>
      </c>
      <c r="M441" s="1" t="s">
        <v>32</v>
      </c>
    </row>
    <row r="442" spans="1:13" x14ac:dyDescent="0.35">
      <c r="A442">
        <v>439</v>
      </c>
      <c r="B442" s="1" t="s">
        <v>17</v>
      </c>
      <c r="C442" s="2">
        <v>2.8</v>
      </c>
      <c r="D442" s="3">
        <v>86.7</v>
      </c>
      <c r="E442" s="2">
        <v>6.7</v>
      </c>
      <c r="F442" s="1" t="s">
        <v>33</v>
      </c>
      <c r="G442" s="1" t="s">
        <v>19</v>
      </c>
      <c r="H442" s="1" t="s">
        <v>20</v>
      </c>
      <c r="I442" s="1" t="s">
        <v>20</v>
      </c>
      <c r="J442" s="2">
        <v>69.3</v>
      </c>
      <c r="K442" s="3">
        <v>79</v>
      </c>
      <c r="L442" s="3" t="str">
        <f t="shared" si="6"/>
        <v>75-79</v>
      </c>
      <c r="M442" s="1" t="s">
        <v>32</v>
      </c>
    </row>
    <row r="443" spans="1:13" x14ac:dyDescent="0.35">
      <c r="A443">
        <v>440</v>
      </c>
      <c r="B443" s="1" t="s">
        <v>17</v>
      </c>
      <c r="C443" s="2">
        <v>5.7</v>
      </c>
      <c r="D443" s="3">
        <v>89.4</v>
      </c>
      <c r="E443" s="2">
        <v>8.8000000000000007</v>
      </c>
      <c r="F443" s="1" t="s">
        <v>24</v>
      </c>
      <c r="G443" s="1" t="s">
        <v>20</v>
      </c>
      <c r="H443" s="1" t="s">
        <v>20</v>
      </c>
      <c r="I443" s="1" t="s">
        <v>20</v>
      </c>
      <c r="J443" s="2">
        <v>79.900000000000006</v>
      </c>
      <c r="K443" s="3">
        <v>100</v>
      </c>
      <c r="L443" s="3" t="str">
        <f t="shared" si="6"/>
        <v>95-100</v>
      </c>
      <c r="M443" s="1" t="s">
        <v>21</v>
      </c>
    </row>
    <row r="444" spans="1:13" x14ac:dyDescent="0.35">
      <c r="A444">
        <v>441</v>
      </c>
      <c r="B444" s="1" t="s">
        <v>17</v>
      </c>
      <c r="C444" s="2">
        <v>5.9</v>
      </c>
      <c r="D444" s="3">
        <v>74.099999999999994</v>
      </c>
      <c r="E444" s="2">
        <v>8.3000000000000007</v>
      </c>
      <c r="F444" s="1" t="s">
        <v>24</v>
      </c>
      <c r="G444" s="1" t="s">
        <v>19</v>
      </c>
      <c r="H444" s="1" t="s">
        <v>19</v>
      </c>
      <c r="I444" s="1" t="s">
        <v>20</v>
      </c>
      <c r="J444" s="2">
        <v>57.2</v>
      </c>
      <c r="K444" s="3">
        <v>99</v>
      </c>
      <c r="L444" s="3" t="str">
        <f t="shared" si="6"/>
        <v>95-100</v>
      </c>
      <c r="M444" s="1" t="s">
        <v>21</v>
      </c>
    </row>
    <row r="445" spans="1:13" x14ac:dyDescent="0.35">
      <c r="A445">
        <v>442</v>
      </c>
      <c r="B445" s="1" t="s">
        <v>23</v>
      </c>
      <c r="C445" s="2">
        <v>2.7</v>
      </c>
      <c r="D445" s="3">
        <v>99.1</v>
      </c>
      <c r="E445" s="2">
        <v>6.7</v>
      </c>
      <c r="F445" s="1" t="s">
        <v>24</v>
      </c>
      <c r="G445" s="1" t="s">
        <v>19</v>
      </c>
      <c r="H445" s="1" t="s">
        <v>19</v>
      </c>
      <c r="I445" s="1" t="s">
        <v>19</v>
      </c>
      <c r="J445" s="2">
        <v>69.400000000000006</v>
      </c>
      <c r="K445" s="3">
        <v>88</v>
      </c>
      <c r="L445" s="3" t="str">
        <f t="shared" si="6"/>
        <v>85-89</v>
      </c>
      <c r="M445" s="1" t="s">
        <v>28</v>
      </c>
    </row>
    <row r="446" spans="1:13" x14ac:dyDescent="0.35">
      <c r="A446">
        <v>443</v>
      </c>
      <c r="B446" s="1" t="s">
        <v>17</v>
      </c>
      <c r="C446" s="2">
        <v>2.9</v>
      </c>
      <c r="D446" s="3">
        <v>84</v>
      </c>
      <c r="E446" s="2">
        <v>7.9</v>
      </c>
      <c r="F446" s="1" t="s">
        <v>33</v>
      </c>
      <c r="G446" s="1" t="s">
        <v>19</v>
      </c>
      <c r="H446" s="1" t="s">
        <v>20</v>
      </c>
      <c r="I446" s="1" t="s">
        <v>19</v>
      </c>
      <c r="J446" s="2">
        <v>92.9</v>
      </c>
      <c r="K446" s="3">
        <v>85</v>
      </c>
      <c r="L446" s="3" t="str">
        <f t="shared" si="6"/>
        <v>85-89</v>
      </c>
      <c r="M446" s="1" t="s">
        <v>28</v>
      </c>
    </row>
    <row r="447" spans="1:13" x14ac:dyDescent="0.35">
      <c r="A447">
        <v>444</v>
      </c>
      <c r="B447" s="1" t="s">
        <v>23</v>
      </c>
      <c r="C447" s="2">
        <v>3.1</v>
      </c>
      <c r="D447" s="3">
        <v>85.2</v>
      </c>
      <c r="E447" s="2">
        <v>6.4</v>
      </c>
      <c r="F447" s="1" t="s">
        <v>27</v>
      </c>
      <c r="G447" s="1" t="s">
        <v>19</v>
      </c>
      <c r="H447" s="1" t="s">
        <v>19</v>
      </c>
      <c r="I447" s="1" t="s">
        <v>20</v>
      </c>
      <c r="J447" s="2">
        <v>84</v>
      </c>
      <c r="K447" s="3">
        <v>86</v>
      </c>
      <c r="L447" s="3" t="str">
        <f t="shared" si="6"/>
        <v>85-89</v>
      </c>
      <c r="M447" s="1" t="s">
        <v>28</v>
      </c>
    </row>
    <row r="448" spans="1:13" x14ac:dyDescent="0.35">
      <c r="A448">
        <v>445</v>
      </c>
      <c r="B448" s="1" t="s">
        <v>23</v>
      </c>
      <c r="C448" s="2">
        <v>1.5</v>
      </c>
      <c r="D448" s="3">
        <v>92.1</v>
      </c>
      <c r="E448" s="2">
        <v>4.8</v>
      </c>
      <c r="F448" s="1" t="s">
        <v>18</v>
      </c>
      <c r="G448" s="1" t="s">
        <v>19</v>
      </c>
      <c r="H448" s="1" t="s">
        <v>19</v>
      </c>
      <c r="I448" s="1" t="s">
        <v>19</v>
      </c>
      <c r="J448" s="2">
        <v>86.2</v>
      </c>
      <c r="K448" s="3">
        <v>81</v>
      </c>
      <c r="L448" s="3" t="str">
        <f t="shared" si="6"/>
        <v>80-84</v>
      </c>
      <c r="M448" s="1" t="s">
        <v>28</v>
      </c>
    </row>
    <row r="449" spans="1:13" x14ac:dyDescent="0.35">
      <c r="A449">
        <v>446</v>
      </c>
      <c r="B449" s="1" t="s">
        <v>17</v>
      </c>
      <c r="C449" s="2">
        <v>2.1</v>
      </c>
      <c r="D449" s="3">
        <v>87.3</v>
      </c>
      <c r="E449" s="2">
        <v>5.7</v>
      </c>
      <c r="F449" s="1" t="s">
        <v>24</v>
      </c>
      <c r="G449" s="1" t="s">
        <v>19</v>
      </c>
      <c r="H449" s="1" t="s">
        <v>20</v>
      </c>
      <c r="I449" s="1" t="s">
        <v>20</v>
      </c>
      <c r="J449" s="2">
        <v>70.3</v>
      </c>
      <c r="K449" s="3">
        <v>80</v>
      </c>
      <c r="L449" s="3" t="str">
        <f t="shared" si="6"/>
        <v>80-84</v>
      </c>
      <c r="M449" s="1" t="s">
        <v>32</v>
      </c>
    </row>
    <row r="450" spans="1:13" x14ac:dyDescent="0.35">
      <c r="A450">
        <v>447</v>
      </c>
      <c r="B450" s="1" t="s">
        <v>17</v>
      </c>
      <c r="C450" s="2">
        <v>2</v>
      </c>
      <c r="D450" s="3">
        <v>94.5</v>
      </c>
      <c r="E450" s="2">
        <v>8.6999999999999993</v>
      </c>
      <c r="F450" s="1" t="s">
        <v>18</v>
      </c>
      <c r="G450" s="1" t="s">
        <v>19</v>
      </c>
      <c r="H450" s="1" t="s">
        <v>20</v>
      </c>
      <c r="I450" s="1" t="s">
        <v>20</v>
      </c>
      <c r="J450" s="2">
        <v>73.900000000000006</v>
      </c>
      <c r="K450" s="3">
        <v>79</v>
      </c>
      <c r="L450" s="3" t="str">
        <f t="shared" si="6"/>
        <v>75-79</v>
      </c>
      <c r="M450" s="1" t="s">
        <v>32</v>
      </c>
    </row>
    <row r="451" spans="1:13" x14ac:dyDescent="0.35">
      <c r="A451">
        <v>448</v>
      </c>
      <c r="B451" s="1" t="s">
        <v>23</v>
      </c>
      <c r="C451" s="2">
        <v>2.2999999999999998</v>
      </c>
      <c r="D451" s="3">
        <v>87.9</v>
      </c>
      <c r="E451" s="2">
        <v>6.5</v>
      </c>
      <c r="F451" s="1" t="s">
        <v>24</v>
      </c>
      <c r="G451" s="1" t="s">
        <v>19</v>
      </c>
      <c r="H451" s="1" t="s">
        <v>19</v>
      </c>
      <c r="I451" s="1" t="s">
        <v>19</v>
      </c>
      <c r="J451" s="2">
        <v>82</v>
      </c>
      <c r="K451" s="3">
        <v>87</v>
      </c>
      <c r="L451" s="3" t="str">
        <f t="shared" si="6"/>
        <v>85-89</v>
      </c>
      <c r="M451" s="1" t="s">
        <v>28</v>
      </c>
    </row>
    <row r="452" spans="1:13" x14ac:dyDescent="0.35">
      <c r="A452">
        <v>449</v>
      </c>
      <c r="B452" s="1" t="s">
        <v>17</v>
      </c>
      <c r="C452" s="2">
        <v>3.4</v>
      </c>
      <c r="D452" s="3">
        <v>78.900000000000006</v>
      </c>
      <c r="E452" s="2">
        <v>6.5</v>
      </c>
      <c r="F452" s="1" t="s">
        <v>18</v>
      </c>
      <c r="G452" s="1" t="s">
        <v>19</v>
      </c>
      <c r="H452" s="1" t="s">
        <v>19</v>
      </c>
      <c r="I452" s="1" t="s">
        <v>20</v>
      </c>
      <c r="J452" s="2">
        <v>88.7</v>
      </c>
      <c r="K452" s="3">
        <v>91</v>
      </c>
      <c r="L452" s="3" t="str">
        <f t="shared" si="6"/>
        <v>90-94</v>
      </c>
      <c r="M452" s="1" t="s">
        <v>21</v>
      </c>
    </row>
    <row r="453" spans="1:13" x14ac:dyDescent="0.35">
      <c r="A453">
        <v>450</v>
      </c>
      <c r="B453" s="1" t="s">
        <v>23</v>
      </c>
      <c r="C453" s="2">
        <v>3.9</v>
      </c>
      <c r="D453" s="3">
        <v>88.6</v>
      </c>
      <c r="E453" s="2">
        <v>6.4</v>
      </c>
      <c r="F453" s="1" t="s">
        <v>18</v>
      </c>
      <c r="G453" s="1" t="s">
        <v>19</v>
      </c>
      <c r="H453" s="1" t="s">
        <v>20</v>
      </c>
      <c r="I453" s="1" t="s">
        <v>19</v>
      </c>
      <c r="J453" s="2">
        <v>46.6</v>
      </c>
      <c r="K453" s="3">
        <v>65</v>
      </c>
      <c r="L453" s="3" t="str">
        <f t="shared" ref="L453:L516" si="7">IF(K453&gt;=95,"95-100",IF(K453&gt;=90,"90-94",IF(K453&gt;=85,"85-89",IF(K453&gt;=80,"80-84",IF(K453&gt;=75,"75-79",IF(K453&gt;=70,"70-74",IF(K453&gt;=65,"65-69",IF(K453&gt;=60,"60-64",IF(K453&gt;=55,"55-59","Below 55")))))))))</f>
        <v>65-69</v>
      </c>
      <c r="M453" s="1" t="s">
        <v>30</v>
      </c>
    </row>
    <row r="454" spans="1:13" x14ac:dyDescent="0.35">
      <c r="A454">
        <v>451</v>
      </c>
      <c r="B454" s="1" t="s">
        <v>23</v>
      </c>
      <c r="C454" s="2">
        <v>5.8</v>
      </c>
      <c r="D454" s="3">
        <v>73.599999999999994</v>
      </c>
      <c r="E454" s="2">
        <v>9.1</v>
      </c>
      <c r="F454" s="1" t="s">
        <v>33</v>
      </c>
      <c r="G454" s="1" t="s">
        <v>20</v>
      </c>
      <c r="H454" s="1" t="s">
        <v>19</v>
      </c>
      <c r="I454" s="1" t="s">
        <v>20</v>
      </c>
      <c r="J454" s="2">
        <v>54.2</v>
      </c>
      <c r="K454" s="3">
        <v>78</v>
      </c>
      <c r="L454" s="3" t="str">
        <f t="shared" si="7"/>
        <v>75-79</v>
      </c>
      <c r="M454" s="1" t="s">
        <v>32</v>
      </c>
    </row>
    <row r="455" spans="1:13" x14ac:dyDescent="0.35">
      <c r="A455">
        <v>452</v>
      </c>
      <c r="B455" s="1" t="s">
        <v>23</v>
      </c>
      <c r="C455" s="2">
        <v>2</v>
      </c>
      <c r="D455" s="3">
        <v>86.1</v>
      </c>
      <c r="E455" s="2">
        <v>8.8000000000000007</v>
      </c>
      <c r="F455" s="1" t="s">
        <v>24</v>
      </c>
      <c r="G455" s="1" t="s">
        <v>19</v>
      </c>
      <c r="H455" s="1" t="s">
        <v>19</v>
      </c>
      <c r="I455" s="1" t="s">
        <v>19</v>
      </c>
      <c r="J455" s="2">
        <v>85.7</v>
      </c>
      <c r="K455" s="3">
        <v>82</v>
      </c>
      <c r="L455" s="3" t="str">
        <f t="shared" si="7"/>
        <v>80-84</v>
      </c>
      <c r="M455" s="1" t="s">
        <v>28</v>
      </c>
    </row>
    <row r="456" spans="1:13" x14ac:dyDescent="0.35">
      <c r="A456">
        <v>453</v>
      </c>
      <c r="B456" s="1" t="s">
        <v>23</v>
      </c>
      <c r="C456" s="2">
        <v>5</v>
      </c>
      <c r="D456" s="3">
        <v>84.7</v>
      </c>
      <c r="E456" s="2">
        <v>9.5</v>
      </c>
      <c r="F456" s="1" t="s">
        <v>24</v>
      </c>
      <c r="G456" s="1" t="s">
        <v>19</v>
      </c>
      <c r="H456" s="1" t="s">
        <v>20</v>
      </c>
      <c r="I456" s="1" t="s">
        <v>20</v>
      </c>
      <c r="J456" s="2">
        <v>66.7</v>
      </c>
      <c r="K456" s="3">
        <v>93</v>
      </c>
      <c r="L456" s="3" t="str">
        <f t="shared" si="7"/>
        <v>90-94</v>
      </c>
      <c r="M456" s="1" t="s">
        <v>21</v>
      </c>
    </row>
    <row r="457" spans="1:13" x14ac:dyDescent="0.35">
      <c r="A457">
        <v>454</v>
      </c>
      <c r="B457" s="1" t="s">
        <v>23</v>
      </c>
      <c r="C457" s="2">
        <v>3.2</v>
      </c>
      <c r="D457" s="3">
        <v>82.9</v>
      </c>
      <c r="E457" s="2">
        <v>6.6</v>
      </c>
      <c r="F457" s="1" t="s">
        <v>27</v>
      </c>
      <c r="G457" s="1" t="s">
        <v>20</v>
      </c>
      <c r="H457" s="1" t="s">
        <v>20</v>
      </c>
      <c r="I457" s="1" t="s">
        <v>20</v>
      </c>
      <c r="J457" s="2">
        <v>61.9</v>
      </c>
      <c r="K457" s="3">
        <v>85</v>
      </c>
      <c r="L457" s="3" t="str">
        <f t="shared" si="7"/>
        <v>85-89</v>
      </c>
      <c r="M457" s="1" t="s">
        <v>28</v>
      </c>
    </row>
    <row r="458" spans="1:13" x14ac:dyDescent="0.35">
      <c r="A458">
        <v>455</v>
      </c>
      <c r="B458" s="1" t="s">
        <v>17</v>
      </c>
      <c r="C458" s="2">
        <v>3.4</v>
      </c>
      <c r="D458" s="3">
        <v>83.7</v>
      </c>
      <c r="E458" s="2">
        <v>7.2</v>
      </c>
      <c r="F458" s="1" t="s">
        <v>24</v>
      </c>
      <c r="G458" s="1" t="s">
        <v>19</v>
      </c>
      <c r="H458" s="1" t="s">
        <v>19</v>
      </c>
      <c r="I458" s="1" t="s">
        <v>20</v>
      </c>
      <c r="J458" s="2">
        <v>55</v>
      </c>
      <c r="K458" s="3">
        <v>81</v>
      </c>
      <c r="L458" s="3" t="str">
        <f t="shared" si="7"/>
        <v>80-84</v>
      </c>
      <c r="M458" s="1" t="s">
        <v>28</v>
      </c>
    </row>
    <row r="459" spans="1:13" x14ac:dyDescent="0.35">
      <c r="A459">
        <v>456</v>
      </c>
      <c r="B459" s="1" t="s">
        <v>17</v>
      </c>
      <c r="C459" s="2">
        <v>4.5</v>
      </c>
      <c r="D459" s="3">
        <v>66.2</v>
      </c>
      <c r="E459" s="2">
        <v>5</v>
      </c>
      <c r="F459" s="1" t="s">
        <v>24</v>
      </c>
      <c r="G459" s="1" t="s">
        <v>19</v>
      </c>
      <c r="H459" s="1" t="s">
        <v>20</v>
      </c>
      <c r="I459" s="1" t="s">
        <v>20</v>
      </c>
      <c r="J459" s="2">
        <v>63.3</v>
      </c>
      <c r="K459" s="3">
        <v>73</v>
      </c>
      <c r="L459" s="3" t="str">
        <f t="shared" si="7"/>
        <v>70-74</v>
      </c>
      <c r="M459" s="1" t="s">
        <v>32</v>
      </c>
    </row>
    <row r="460" spans="1:13" x14ac:dyDescent="0.35">
      <c r="A460">
        <v>457</v>
      </c>
      <c r="B460" s="1" t="s">
        <v>23</v>
      </c>
      <c r="C460" s="2">
        <v>1.8</v>
      </c>
      <c r="D460" s="3">
        <v>79.5</v>
      </c>
      <c r="E460" s="2">
        <v>8.6</v>
      </c>
      <c r="F460" s="1" t="s">
        <v>24</v>
      </c>
      <c r="G460" s="1" t="s">
        <v>19</v>
      </c>
      <c r="H460" s="1" t="s">
        <v>20</v>
      </c>
      <c r="I460" s="1" t="s">
        <v>19</v>
      </c>
      <c r="J460" s="2">
        <v>53.2</v>
      </c>
      <c r="K460" s="3">
        <v>69</v>
      </c>
      <c r="L460" s="3" t="str">
        <f t="shared" si="7"/>
        <v>65-69</v>
      </c>
      <c r="M460" s="1" t="s">
        <v>30</v>
      </c>
    </row>
    <row r="461" spans="1:13" x14ac:dyDescent="0.35">
      <c r="A461">
        <v>458</v>
      </c>
      <c r="B461" s="1" t="s">
        <v>23</v>
      </c>
      <c r="C461" s="2">
        <v>4.0999999999999996</v>
      </c>
      <c r="D461" s="3">
        <v>85.9</v>
      </c>
      <c r="E461" s="2">
        <v>5.4</v>
      </c>
      <c r="F461" s="1" t="s">
        <v>24</v>
      </c>
      <c r="G461" s="1" t="s">
        <v>20</v>
      </c>
      <c r="H461" s="1" t="s">
        <v>19</v>
      </c>
      <c r="I461" s="1" t="s">
        <v>20</v>
      </c>
      <c r="J461" s="2">
        <v>95.1</v>
      </c>
      <c r="K461" s="3">
        <v>90</v>
      </c>
      <c r="L461" s="3" t="str">
        <f t="shared" si="7"/>
        <v>90-94</v>
      </c>
      <c r="M461" s="1" t="s">
        <v>28</v>
      </c>
    </row>
    <row r="462" spans="1:13" x14ac:dyDescent="0.35">
      <c r="A462">
        <v>459</v>
      </c>
      <c r="B462" s="1" t="s">
        <v>17</v>
      </c>
      <c r="C462" s="2">
        <v>3.7</v>
      </c>
      <c r="D462" s="3">
        <v>86.6</v>
      </c>
      <c r="E462" s="2">
        <v>7.1</v>
      </c>
      <c r="F462" s="1" t="s">
        <v>18</v>
      </c>
      <c r="G462" s="1" t="s">
        <v>20</v>
      </c>
      <c r="H462" s="1" t="s">
        <v>20</v>
      </c>
      <c r="I462" s="1" t="s">
        <v>20</v>
      </c>
      <c r="J462" s="2">
        <v>69.7</v>
      </c>
      <c r="K462" s="3">
        <v>83</v>
      </c>
      <c r="L462" s="3" t="str">
        <f t="shared" si="7"/>
        <v>80-84</v>
      </c>
      <c r="M462" s="1" t="s">
        <v>28</v>
      </c>
    </row>
    <row r="463" spans="1:13" x14ac:dyDescent="0.35">
      <c r="A463">
        <v>460</v>
      </c>
      <c r="B463" s="1" t="s">
        <v>17</v>
      </c>
      <c r="C463" s="2">
        <v>4.2</v>
      </c>
      <c r="D463" s="3">
        <v>74.7</v>
      </c>
      <c r="E463" s="2">
        <v>5.5</v>
      </c>
      <c r="F463" s="1" t="s">
        <v>33</v>
      </c>
      <c r="G463" s="1" t="s">
        <v>19</v>
      </c>
      <c r="H463" s="1" t="s">
        <v>19</v>
      </c>
      <c r="I463" s="1" t="s">
        <v>20</v>
      </c>
      <c r="J463" s="2">
        <v>69.3</v>
      </c>
      <c r="K463" s="3">
        <v>87</v>
      </c>
      <c r="L463" s="3" t="str">
        <f t="shared" si="7"/>
        <v>85-89</v>
      </c>
      <c r="M463" s="1" t="s">
        <v>28</v>
      </c>
    </row>
    <row r="464" spans="1:13" x14ac:dyDescent="0.35">
      <c r="A464">
        <v>461</v>
      </c>
      <c r="B464" s="1" t="s">
        <v>23</v>
      </c>
      <c r="C464" s="2">
        <v>3.9</v>
      </c>
      <c r="D464" s="3">
        <v>97.7</v>
      </c>
      <c r="E464" s="2">
        <v>6.1</v>
      </c>
      <c r="F464" s="1" t="s">
        <v>24</v>
      </c>
      <c r="G464" s="1" t="s">
        <v>19</v>
      </c>
      <c r="H464" s="1" t="s">
        <v>19</v>
      </c>
      <c r="I464" s="1" t="s">
        <v>19</v>
      </c>
      <c r="J464" s="2">
        <v>77.099999999999994</v>
      </c>
      <c r="K464" s="3">
        <v>98</v>
      </c>
      <c r="L464" s="3" t="str">
        <f t="shared" si="7"/>
        <v>95-100</v>
      </c>
      <c r="M464" s="1" t="s">
        <v>21</v>
      </c>
    </row>
    <row r="465" spans="1:13" x14ac:dyDescent="0.35">
      <c r="A465">
        <v>462</v>
      </c>
      <c r="B465" s="1" t="s">
        <v>17</v>
      </c>
      <c r="C465" s="2">
        <v>7.2</v>
      </c>
      <c r="D465" s="3">
        <v>76.3</v>
      </c>
      <c r="E465" s="2">
        <v>5.8</v>
      </c>
      <c r="F465" s="1" t="s">
        <v>18</v>
      </c>
      <c r="G465" s="1" t="s">
        <v>19</v>
      </c>
      <c r="H465" s="1" t="s">
        <v>20</v>
      </c>
      <c r="I465" s="1" t="s">
        <v>20</v>
      </c>
      <c r="J465" s="2">
        <v>81.5</v>
      </c>
      <c r="K465" s="3">
        <v>100</v>
      </c>
      <c r="L465" s="3" t="str">
        <f t="shared" si="7"/>
        <v>95-100</v>
      </c>
      <c r="M465" s="1" t="s">
        <v>21</v>
      </c>
    </row>
    <row r="466" spans="1:13" x14ac:dyDescent="0.35">
      <c r="A466">
        <v>463</v>
      </c>
      <c r="B466" s="1" t="s">
        <v>23</v>
      </c>
      <c r="C466" s="2">
        <v>2.5</v>
      </c>
      <c r="D466" s="3">
        <v>94.7</v>
      </c>
      <c r="E466" s="2">
        <v>6.1</v>
      </c>
      <c r="F466" s="1" t="s">
        <v>33</v>
      </c>
      <c r="G466" s="1" t="s">
        <v>19</v>
      </c>
      <c r="H466" s="1" t="s">
        <v>19</v>
      </c>
      <c r="I466" s="1" t="s">
        <v>19</v>
      </c>
      <c r="J466" s="2">
        <v>81.400000000000006</v>
      </c>
      <c r="K466" s="3">
        <v>95</v>
      </c>
      <c r="L466" s="3" t="str">
        <f t="shared" si="7"/>
        <v>95-100</v>
      </c>
      <c r="M466" s="1" t="s">
        <v>21</v>
      </c>
    </row>
    <row r="467" spans="1:13" x14ac:dyDescent="0.35">
      <c r="A467">
        <v>464</v>
      </c>
      <c r="B467" s="1" t="s">
        <v>17</v>
      </c>
      <c r="C467" s="2">
        <v>2.7</v>
      </c>
      <c r="D467" s="3">
        <v>89.3</v>
      </c>
      <c r="E467" s="2">
        <v>6.2</v>
      </c>
      <c r="F467" s="1" t="s">
        <v>18</v>
      </c>
      <c r="G467" s="1" t="s">
        <v>19</v>
      </c>
      <c r="H467" s="1" t="s">
        <v>19</v>
      </c>
      <c r="I467" s="1" t="s">
        <v>20</v>
      </c>
      <c r="J467" s="2">
        <v>82.9</v>
      </c>
      <c r="K467" s="3">
        <v>94</v>
      </c>
      <c r="L467" s="3" t="str">
        <f t="shared" si="7"/>
        <v>90-94</v>
      </c>
      <c r="M467" s="1" t="s">
        <v>21</v>
      </c>
    </row>
    <row r="468" spans="1:13" x14ac:dyDescent="0.35">
      <c r="A468">
        <v>465</v>
      </c>
      <c r="B468" s="1" t="s">
        <v>23</v>
      </c>
      <c r="C468" s="2">
        <v>2.6</v>
      </c>
      <c r="D468" s="3">
        <v>78.5</v>
      </c>
      <c r="E468" s="2">
        <v>6.1</v>
      </c>
      <c r="F468" s="1" t="s">
        <v>34</v>
      </c>
      <c r="G468" s="1" t="s">
        <v>20</v>
      </c>
      <c r="H468" s="1" t="s">
        <v>19</v>
      </c>
      <c r="I468" s="1" t="s">
        <v>19</v>
      </c>
      <c r="J468" s="2">
        <v>62.4</v>
      </c>
      <c r="K468" s="3">
        <v>63</v>
      </c>
      <c r="L468" s="3" t="str">
        <f t="shared" si="7"/>
        <v>60-64</v>
      </c>
      <c r="M468" s="1" t="s">
        <v>30</v>
      </c>
    </row>
    <row r="469" spans="1:13" x14ac:dyDescent="0.35">
      <c r="A469">
        <v>466</v>
      </c>
      <c r="B469" s="1" t="s">
        <v>17</v>
      </c>
      <c r="C469" s="2">
        <v>2.7</v>
      </c>
      <c r="D469" s="3">
        <v>100</v>
      </c>
      <c r="E469" s="2">
        <v>7.8</v>
      </c>
      <c r="F469" s="1" t="s">
        <v>34</v>
      </c>
      <c r="G469" s="1" t="s">
        <v>19</v>
      </c>
      <c r="H469" s="1" t="s">
        <v>19</v>
      </c>
      <c r="I469" s="1" t="s">
        <v>20</v>
      </c>
      <c r="J469" s="2">
        <v>66.400000000000006</v>
      </c>
      <c r="K469" s="3">
        <v>100</v>
      </c>
      <c r="L469" s="3" t="str">
        <f t="shared" si="7"/>
        <v>95-100</v>
      </c>
      <c r="M469" s="1" t="s">
        <v>21</v>
      </c>
    </row>
    <row r="470" spans="1:13" x14ac:dyDescent="0.35">
      <c r="A470">
        <v>467</v>
      </c>
      <c r="B470" s="1" t="s">
        <v>23</v>
      </c>
      <c r="C470" s="2">
        <v>2.5</v>
      </c>
      <c r="D470" s="3">
        <v>73.099999999999994</v>
      </c>
      <c r="E470" s="2">
        <v>5.5</v>
      </c>
      <c r="F470" s="1" t="s">
        <v>24</v>
      </c>
      <c r="G470" s="1" t="s">
        <v>19</v>
      </c>
      <c r="H470" s="1" t="s">
        <v>20</v>
      </c>
      <c r="I470" s="1" t="s">
        <v>19</v>
      </c>
      <c r="J470" s="2">
        <v>79.2</v>
      </c>
      <c r="K470" s="3">
        <v>77</v>
      </c>
      <c r="L470" s="3" t="str">
        <f t="shared" si="7"/>
        <v>75-79</v>
      </c>
      <c r="M470" s="1" t="s">
        <v>32</v>
      </c>
    </row>
    <row r="471" spans="1:13" x14ac:dyDescent="0.35">
      <c r="A471">
        <v>468</v>
      </c>
      <c r="B471" s="1" t="s">
        <v>17</v>
      </c>
      <c r="C471" s="2">
        <v>5.3</v>
      </c>
      <c r="D471" s="3">
        <v>94.2</v>
      </c>
      <c r="E471" s="2">
        <v>7.1</v>
      </c>
      <c r="F471" s="1" t="s">
        <v>33</v>
      </c>
      <c r="G471" s="1" t="s">
        <v>19</v>
      </c>
      <c r="H471" s="1" t="s">
        <v>20</v>
      </c>
      <c r="I471" s="1" t="s">
        <v>20</v>
      </c>
      <c r="J471" s="2">
        <v>63.7</v>
      </c>
      <c r="K471" s="3">
        <v>89</v>
      </c>
      <c r="L471" s="3" t="str">
        <f t="shared" si="7"/>
        <v>85-89</v>
      </c>
      <c r="M471" s="1" t="s">
        <v>28</v>
      </c>
    </row>
    <row r="472" spans="1:13" x14ac:dyDescent="0.35">
      <c r="A472">
        <v>469</v>
      </c>
      <c r="B472" s="1" t="s">
        <v>17</v>
      </c>
      <c r="C472" s="2">
        <v>5.6</v>
      </c>
      <c r="D472" s="3">
        <v>95</v>
      </c>
      <c r="E472" s="2">
        <v>8.3000000000000007</v>
      </c>
      <c r="F472" s="1" t="s">
        <v>18</v>
      </c>
      <c r="G472" s="1" t="s">
        <v>19</v>
      </c>
      <c r="H472" s="1" t="s">
        <v>20</v>
      </c>
      <c r="I472" s="1" t="s">
        <v>20</v>
      </c>
      <c r="J472" s="2">
        <v>69.900000000000006</v>
      </c>
      <c r="K472" s="3">
        <v>100</v>
      </c>
      <c r="L472" s="3" t="str">
        <f t="shared" si="7"/>
        <v>95-100</v>
      </c>
      <c r="M472" s="1" t="s">
        <v>21</v>
      </c>
    </row>
    <row r="473" spans="1:13" x14ac:dyDescent="0.35">
      <c r="A473">
        <v>470</v>
      </c>
      <c r="B473" s="1" t="s">
        <v>23</v>
      </c>
      <c r="C473" s="2">
        <v>2.6</v>
      </c>
      <c r="D473" s="3">
        <v>78.3</v>
      </c>
      <c r="E473" s="2">
        <v>6.2</v>
      </c>
      <c r="F473" s="1" t="s">
        <v>27</v>
      </c>
      <c r="G473" s="1" t="s">
        <v>19</v>
      </c>
      <c r="H473" s="1" t="s">
        <v>19</v>
      </c>
      <c r="I473" s="1" t="s">
        <v>19</v>
      </c>
      <c r="J473" s="2">
        <v>74.8</v>
      </c>
      <c r="K473" s="3">
        <v>90</v>
      </c>
      <c r="L473" s="3" t="str">
        <f t="shared" si="7"/>
        <v>90-94</v>
      </c>
      <c r="M473" s="1" t="s">
        <v>28</v>
      </c>
    </row>
    <row r="474" spans="1:13" x14ac:dyDescent="0.35">
      <c r="A474">
        <v>471</v>
      </c>
      <c r="B474" s="1" t="s">
        <v>17</v>
      </c>
      <c r="C474" s="2">
        <v>2.2999999999999998</v>
      </c>
      <c r="D474" s="3">
        <v>98.9</v>
      </c>
      <c r="E474" s="2">
        <v>5.9</v>
      </c>
      <c r="F474" s="1" t="s">
        <v>18</v>
      </c>
      <c r="G474" s="1" t="s">
        <v>19</v>
      </c>
      <c r="H474" s="1" t="s">
        <v>19</v>
      </c>
      <c r="I474" s="1" t="s">
        <v>20</v>
      </c>
      <c r="J474" s="2">
        <v>79.400000000000006</v>
      </c>
      <c r="K474" s="3">
        <v>88</v>
      </c>
      <c r="L474" s="3" t="str">
        <f t="shared" si="7"/>
        <v>85-89</v>
      </c>
      <c r="M474" s="1" t="s">
        <v>28</v>
      </c>
    </row>
    <row r="475" spans="1:13" x14ac:dyDescent="0.35">
      <c r="A475">
        <v>472</v>
      </c>
      <c r="B475" s="1" t="s">
        <v>23</v>
      </c>
      <c r="C475" s="2">
        <v>4.2</v>
      </c>
      <c r="D475" s="3">
        <v>82.5</v>
      </c>
      <c r="E475" s="2">
        <v>6.5</v>
      </c>
      <c r="F475" s="1" t="s">
        <v>27</v>
      </c>
      <c r="G475" s="1" t="s">
        <v>20</v>
      </c>
      <c r="H475" s="1" t="s">
        <v>19</v>
      </c>
      <c r="I475" s="1" t="s">
        <v>19</v>
      </c>
      <c r="J475" s="2">
        <v>48.7</v>
      </c>
      <c r="K475" s="3">
        <v>68</v>
      </c>
      <c r="L475" s="3" t="str">
        <f t="shared" si="7"/>
        <v>65-69</v>
      </c>
      <c r="M475" s="1" t="s">
        <v>30</v>
      </c>
    </row>
    <row r="476" spans="1:13" x14ac:dyDescent="0.35">
      <c r="A476">
        <v>473</v>
      </c>
      <c r="B476" s="1" t="s">
        <v>17</v>
      </c>
      <c r="C476" s="2">
        <v>2.7</v>
      </c>
      <c r="D476" s="3">
        <v>87.9</v>
      </c>
      <c r="E476" s="2">
        <v>8.1999999999999993</v>
      </c>
      <c r="F476" s="1" t="s">
        <v>33</v>
      </c>
      <c r="G476" s="1" t="s">
        <v>20</v>
      </c>
      <c r="H476" s="1" t="s">
        <v>19</v>
      </c>
      <c r="I476" s="1" t="s">
        <v>20</v>
      </c>
      <c r="J476" s="2">
        <v>78.599999999999994</v>
      </c>
      <c r="K476" s="3">
        <v>82</v>
      </c>
      <c r="L476" s="3" t="str">
        <f t="shared" si="7"/>
        <v>80-84</v>
      </c>
      <c r="M476" s="1" t="s">
        <v>28</v>
      </c>
    </row>
    <row r="477" spans="1:13" x14ac:dyDescent="0.35">
      <c r="A477">
        <v>474</v>
      </c>
      <c r="B477" s="1" t="s">
        <v>23</v>
      </c>
      <c r="C477" s="2">
        <v>4.4000000000000004</v>
      </c>
      <c r="D477" s="3">
        <v>87.6</v>
      </c>
      <c r="E477" s="2">
        <v>7</v>
      </c>
      <c r="F477" s="1" t="s">
        <v>24</v>
      </c>
      <c r="G477" s="1" t="s">
        <v>19</v>
      </c>
      <c r="H477" s="1" t="s">
        <v>19</v>
      </c>
      <c r="I477" s="1" t="s">
        <v>20</v>
      </c>
      <c r="J477" s="2">
        <v>67.2</v>
      </c>
      <c r="K477" s="3">
        <v>94</v>
      </c>
      <c r="L477" s="3" t="str">
        <f t="shared" si="7"/>
        <v>90-94</v>
      </c>
      <c r="M477" s="1" t="s">
        <v>21</v>
      </c>
    </row>
    <row r="478" spans="1:13" x14ac:dyDescent="0.35">
      <c r="A478">
        <v>475</v>
      </c>
      <c r="B478" s="1" t="s">
        <v>17</v>
      </c>
      <c r="C478" s="2">
        <v>3.8</v>
      </c>
      <c r="D478" s="3">
        <v>83.7</v>
      </c>
      <c r="E478" s="2">
        <v>6.2</v>
      </c>
      <c r="F478" s="1" t="s">
        <v>18</v>
      </c>
      <c r="G478" s="1" t="s">
        <v>20</v>
      </c>
      <c r="H478" s="1" t="s">
        <v>20</v>
      </c>
      <c r="I478" s="1" t="s">
        <v>20</v>
      </c>
      <c r="J478" s="2">
        <v>78.5</v>
      </c>
      <c r="K478" s="3">
        <v>91</v>
      </c>
      <c r="L478" s="3" t="str">
        <f t="shared" si="7"/>
        <v>90-94</v>
      </c>
      <c r="M478" s="1" t="s">
        <v>21</v>
      </c>
    </row>
    <row r="479" spans="1:13" x14ac:dyDescent="0.35">
      <c r="A479">
        <v>476</v>
      </c>
      <c r="B479" s="1" t="s">
        <v>23</v>
      </c>
      <c r="C479" s="2">
        <v>1.2</v>
      </c>
      <c r="D479" s="3">
        <v>93.1</v>
      </c>
      <c r="E479" s="2">
        <v>7.4</v>
      </c>
      <c r="F479" s="1" t="s">
        <v>27</v>
      </c>
      <c r="G479" s="1" t="s">
        <v>19</v>
      </c>
      <c r="H479" s="1" t="s">
        <v>20</v>
      </c>
      <c r="I479" s="1" t="s">
        <v>20</v>
      </c>
      <c r="J479" s="2">
        <v>79.3</v>
      </c>
      <c r="K479" s="3">
        <v>85</v>
      </c>
      <c r="L479" s="3" t="str">
        <f t="shared" si="7"/>
        <v>85-89</v>
      </c>
      <c r="M479" s="1" t="s">
        <v>28</v>
      </c>
    </row>
    <row r="480" spans="1:13" x14ac:dyDescent="0.35">
      <c r="A480">
        <v>477</v>
      </c>
      <c r="B480" s="1" t="s">
        <v>17</v>
      </c>
      <c r="C480" s="2">
        <v>5.8</v>
      </c>
      <c r="D480" s="3">
        <v>92.9</v>
      </c>
      <c r="E480" s="2">
        <v>5.5</v>
      </c>
      <c r="F480" s="1" t="s">
        <v>34</v>
      </c>
      <c r="G480" s="1" t="s">
        <v>19</v>
      </c>
      <c r="H480" s="1" t="s">
        <v>20</v>
      </c>
      <c r="I480" s="1" t="s">
        <v>19</v>
      </c>
      <c r="J480" s="2">
        <v>89.3</v>
      </c>
      <c r="K480" s="3">
        <v>100</v>
      </c>
      <c r="L480" s="3" t="str">
        <f t="shared" si="7"/>
        <v>95-100</v>
      </c>
      <c r="M480" s="1" t="s">
        <v>21</v>
      </c>
    </row>
    <row r="481" spans="1:13" x14ac:dyDescent="0.35">
      <c r="A481">
        <v>478</v>
      </c>
      <c r="B481" s="1" t="s">
        <v>23</v>
      </c>
      <c r="C481" s="2">
        <v>6.2</v>
      </c>
      <c r="D481" s="3">
        <v>67.5</v>
      </c>
      <c r="E481" s="2">
        <v>7.6</v>
      </c>
      <c r="F481" s="1" t="s">
        <v>24</v>
      </c>
      <c r="G481" s="1" t="s">
        <v>19</v>
      </c>
      <c r="H481" s="1" t="s">
        <v>19</v>
      </c>
      <c r="I481" s="1" t="s">
        <v>20</v>
      </c>
      <c r="J481" s="2">
        <v>86.2</v>
      </c>
      <c r="K481" s="3">
        <v>100</v>
      </c>
      <c r="L481" s="3" t="str">
        <f t="shared" si="7"/>
        <v>95-100</v>
      </c>
      <c r="M481" s="1" t="s">
        <v>21</v>
      </c>
    </row>
    <row r="482" spans="1:13" x14ac:dyDescent="0.35">
      <c r="A482">
        <v>479</v>
      </c>
      <c r="B482" s="1" t="s">
        <v>17</v>
      </c>
      <c r="C482" s="2">
        <v>2.6</v>
      </c>
      <c r="D482" s="3">
        <v>98</v>
      </c>
      <c r="E482" s="2">
        <v>7.3</v>
      </c>
      <c r="F482" s="1" t="s">
        <v>33</v>
      </c>
      <c r="G482" s="1" t="s">
        <v>19</v>
      </c>
      <c r="H482" s="1" t="s">
        <v>20</v>
      </c>
      <c r="I482" s="1" t="s">
        <v>19</v>
      </c>
      <c r="J482" s="2">
        <v>86.2</v>
      </c>
      <c r="K482" s="3">
        <v>87</v>
      </c>
      <c r="L482" s="3" t="str">
        <f t="shared" si="7"/>
        <v>85-89</v>
      </c>
      <c r="M482" s="1" t="s">
        <v>28</v>
      </c>
    </row>
    <row r="483" spans="1:13" x14ac:dyDescent="0.35">
      <c r="A483">
        <v>480</v>
      </c>
      <c r="B483" s="1" t="s">
        <v>23</v>
      </c>
      <c r="C483" s="2">
        <v>2.9</v>
      </c>
      <c r="D483" s="3">
        <v>68.400000000000006</v>
      </c>
      <c r="E483" s="2">
        <v>6.4</v>
      </c>
      <c r="F483" s="1" t="s">
        <v>24</v>
      </c>
      <c r="G483" s="1" t="s">
        <v>20</v>
      </c>
      <c r="H483" s="1" t="s">
        <v>19</v>
      </c>
      <c r="I483" s="1" t="s">
        <v>20</v>
      </c>
      <c r="J483" s="2">
        <v>87.3</v>
      </c>
      <c r="K483" s="3">
        <v>85</v>
      </c>
      <c r="L483" s="3" t="str">
        <f t="shared" si="7"/>
        <v>85-89</v>
      </c>
      <c r="M483" s="1" t="s">
        <v>28</v>
      </c>
    </row>
    <row r="484" spans="1:13" x14ac:dyDescent="0.35">
      <c r="A484">
        <v>481</v>
      </c>
      <c r="B484" s="1" t="s">
        <v>23</v>
      </c>
      <c r="C484" s="2">
        <v>3.9</v>
      </c>
      <c r="D484" s="3">
        <v>95.3</v>
      </c>
      <c r="E484" s="2">
        <v>5.8</v>
      </c>
      <c r="F484" s="1" t="s">
        <v>24</v>
      </c>
      <c r="G484" s="1" t="s">
        <v>19</v>
      </c>
      <c r="H484" s="1" t="s">
        <v>19</v>
      </c>
      <c r="I484" s="1" t="s">
        <v>20</v>
      </c>
      <c r="J484" s="2">
        <v>73.5</v>
      </c>
      <c r="K484" s="3">
        <v>90</v>
      </c>
      <c r="L484" s="3" t="str">
        <f t="shared" si="7"/>
        <v>90-94</v>
      </c>
      <c r="M484" s="1" t="s">
        <v>28</v>
      </c>
    </row>
    <row r="485" spans="1:13" x14ac:dyDescent="0.35">
      <c r="A485">
        <v>482</v>
      </c>
      <c r="B485" s="1" t="s">
        <v>23</v>
      </c>
      <c r="C485" s="2">
        <v>4</v>
      </c>
      <c r="D485" s="3">
        <v>96.3</v>
      </c>
      <c r="E485" s="2">
        <v>5.7</v>
      </c>
      <c r="F485" s="1" t="s">
        <v>18</v>
      </c>
      <c r="G485" s="1" t="s">
        <v>19</v>
      </c>
      <c r="H485" s="1" t="s">
        <v>20</v>
      </c>
      <c r="I485" s="1" t="s">
        <v>20</v>
      </c>
      <c r="J485" s="2">
        <v>70.400000000000006</v>
      </c>
      <c r="K485" s="3">
        <v>92</v>
      </c>
      <c r="L485" s="3" t="str">
        <f t="shared" si="7"/>
        <v>90-94</v>
      </c>
      <c r="M485" s="1" t="s">
        <v>21</v>
      </c>
    </row>
    <row r="486" spans="1:13" x14ac:dyDescent="0.35">
      <c r="A486">
        <v>483</v>
      </c>
      <c r="B486" s="1" t="s">
        <v>17</v>
      </c>
      <c r="C486" s="2">
        <v>4.5</v>
      </c>
      <c r="D486" s="3">
        <v>74.099999999999994</v>
      </c>
      <c r="E486" s="2">
        <v>7.4</v>
      </c>
      <c r="F486" s="1" t="s">
        <v>24</v>
      </c>
      <c r="G486" s="1" t="s">
        <v>19</v>
      </c>
      <c r="H486" s="1" t="s">
        <v>20</v>
      </c>
      <c r="I486" s="1" t="s">
        <v>19</v>
      </c>
      <c r="J486" s="2">
        <v>80.5</v>
      </c>
      <c r="K486" s="3">
        <v>87</v>
      </c>
      <c r="L486" s="3" t="str">
        <f t="shared" si="7"/>
        <v>85-89</v>
      </c>
      <c r="M486" s="1" t="s">
        <v>28</v>
      </c>
    </row>
    <row r="487" spans="1:13" x14ac:dyDescent="0.35">
      <c r="A487">
        <v>484</v>
      </c>
      <c r="B487" s="1" t="s">
        <v>23</v>
      </c>
      <c r="C487" s="2">
        <v>6.5</v>
      </c>
      <c r="D487" s="3">
        <v>80.900000000000006</v>
      </c>
      <c r="E487" s="2">
        <v>8.3000000000000007</v>
      </c>
      <c r="F487" s="1" t="s">
        <v>33</v>
      </c>
      <c r="G487" s="1" t="s">
        <v>19</v>
      </c>
      <c r="H487" s="1" t="s">
        <v>19</v>
      </c>
      <c r="I487" s="1" t="s">
        <v>20</v>
      </c>
      <c r="J487" s="2">
        <v>78.8</v>
      </c>
      <c r="K487" s="3">
        <v>100</v>
      </c>
      <c r="L487" s="3" t="str">
        <f t="shared" si="7"/>
        <v>95-100</v>
      </c>
      <c r="M487" s="1" t="s">
        <v>21</v>
      </c>
    </row>
    <row r="488" spans="1:13" x14ac:dyDescent="0.35">
      <c r="A488">
        <v>485</v>
      </c>
      <c r="B488" s="1" t="s">
        <v>17</v>
      </c>
      <c r="C488" s="2">
        <v>3.2</v>
      </c>
      <c r="D488" s="3">
        <v>73.900000000000006</v>
      </c>
      <c r="E488" s="2">
        <v>6</v>
      </c>
      <c r="F488" s="1" t="s">
        <v>24</v>
      </c>
      <c r="G488" s="1" t="s">
        <v>19</v>
      </c>
      <c r="H488" s="1" t="s">
        <v>19</v>
      </c>
      <c r="I488" s="1" t="s">
        <v>20</v>
      </c>
      <c r="J488" s="2">
        <v>66.3</v>
      </c>
      <c r="K488" s="3">
        <v>76</v>
      </c>
      <c r="L488" s="3" t="str">
        <f t="shared" si="7"/>
        <v>75-79</v>
      </c>
      <c r="M488" s="1" t="s">
        <v>32</v>
      </c>
    </row>
    <row r="489" spans="1:13" x14ac:dyDescent="0.35">
      <c r="A489">
        <v>486</v>
      </c>
      <c r="B489" s="1" t="s">
        <v>23</v>
      </c>
      <c r="C489" s="2">
        <v>2.2999999999999998</v>
      </c>
      <c r="D489" s="3">
        <v>82.9</v>
      </c>
      <c r="E489" s="2">
        <v>7.4</v>
      </c>
      <c r="F489" s="1" t="s">
        <v>33</v>
      </c>
      <c r="G489" s="1" t="s">
        <v>19</v>
      </c>
      <c r="H489" s="1" t="s">
        <v>19</v>
      </c>
      <c r="I489" s="1" t="s">
        <v>19</v>
      </c>
      <c r="J489" s="2">
        <v>74.900000000000006</v>
      </c>
      <c r="K489" s="3">
        <v>87</v>
      </c>
      <c r="L489" s="3" t="str">
        <f t="shared" si="7"/>
        <v>85-89</v>
      </c>
      <c r="M489" s="1" t="s">
        <v>28</v>
      </c>
    </row>
    <row r="490" spans="1:13" x14ac:dyDescent="0.35">
      <c r="A490">
        <v>487</v>
      </c>
      <c r="B490" s="1" t="s">
        <v>17</v>
      </c>
      <c r="C490" s="2">
        <v>1.4</v>
      </c>
      <c r="D490" s="3">
        <v>81.900000000000006</v>
      </c>
      <c r="E490" s="2">
        <v>4.3</v>
      </c>
      <c r="F490" s="1" t="s">
        <v>24</v>
      </c>
      <c r="G490" s="1" t="s">
        <v>19</v>
      </c>
      <c r="H490" s="1" t="s">
        <v>20</v>
      </c>
      <c r="I490" s="1" t="s">
        <v>20</v>
      </c>
      <c r="J490" s="2">
        <v>69.599999999999994</v>
      </c>
      <c r="K490" s="3">
        <v>67</v>
      </c>
      <c r="L490" s="3" t="str">
        <f t="shared" si="7"/>
        <v>65-69</v>
      </c>
      <c r="M490" s="1" t="s">
        <v>30</v>
      </c>
    </row>
    <row r="491" spans="1:13" x14ac:dyDescent="0.35">
      <c r="A491">
        <v>488</v>
      </c>
      <c r="B491" s="1" t="s">
        <v>23</v>
      </c>
      <c r="C491" s="2">
        <v>2.4</v>
      </c>
      <c r="D491" s="3">
        <v>92.8</v>
      </c>
      <c r="E491" s="2">
        <v>6.1</v>
      </c>
      <c r="F491" s="1" t="s">
        <v>24</v>
      </c>
      <c r="G491" s="1" t="s">
        <v>19</v>
      </c>
      <c r="H491" s="1" t="s">
        <v>19</v>
      </c>
      <c r="I491" s="1" t="s">
        <v>20</v>
      </c>
      <c r="J491" s="2">
        <v>59.8</v>
      </c>
      <c r="K491" s="3">
        <v>74</v>
      </c>
      <c r="L491" s="3" t="str">
        <f t="shared" si="7"/>
        <v>70-74</v>
      </c>
      <c r="M491" s="1" t="s">
        <v>32</v>
      </c>
    </row>
    <row r="492" spans="1:13" x14ac:dyDescent="0.35">
      <c r="A492">
        <v>489</v>
      </c>
      <c r="B492" s="1" t="s">
        <v>17</v>
      </c>
      <c r="C492" s="2">
        <v>3.5</v>
      </c>
      <c r="D492" s="3">
        <v>98.1</v>
      </c>
      <c r="E492" s="2">
        <v>6.8</v>
      </c>
      <c r="F492" s="1" t="s">
        <v>24</v>
      </c>
      <c r="G492" s="1" t="s">
        <v>19</v>
      </c>
      <c r="H492" s="1" t="s">
        <v>20</v>
      </c>
      <c r="I492" s="1" t="s">
        <v>20</v>
      </c>
      <c r="J492" s="2">
        <v>85.5</v>
      </c>
      <c r="K492" s="3">
        <v>100</v>
      </c>
      <c r="L492" s="3" t="str">
        <f t="shared" si="7"/>
        <v>95-100</v>
      </c>
      <c r="M492" s="1" t="s">
        <v>21</v>
      </c>
    </row>
    <row r="493" spans="1:13" x14ac:dyDescent="0.35">
      <c r="A493">
        <v>490</v>
      </c>
      <c r="B493" s="1" t="s">
        <v>17</v>
      </c>
      <c r="C493" s="2">
        <v>6.2</v>
      </c>
      <c r="D493" s="3">
        <v>99</v>
      </c>
      <c r="E493" s="2">
        <v>5.7</v>
      </c>
      <c r="F493" s="1" t="s">
        <v>24</v>
      </c>
      <c r="G493" s="1" t="s">
        <v>19</v>
      </c>
      <c r="H493" s="1" t="s">
        <v>19</v>
      </c>
      <c r="I493" s="1" t="s">
        <v>20</v>
      </c>
      <c r="J493" s="2">
        <v>70.7</v>
      </c>
      <c r="K493" s="3">
        <v>100</v>
      </c>
      <c r="L493" s="3" t="str">
        <f t="shared" si="7"/>
        <v>95-100</v>
      </c>
      <c r="M493" s="1" t="s">
        <v>21</v>
      </c>
    </row>
    <row r="494" spans="1:13" x14ac:dyDescent="0.35">
      <c r="A494">
        <v>491</v>
      </c>
      <c r="B494" s="1" t="s">
        <v>23</v>
      </c>
      <c r="C494" s="2">
        <v>2.7</v>
      </c>
      <c r="D494" s="3">
        <v>79.400000000000006</v>
      </c>
      <c r="E494" s="2">
        <v>5.7</v>
      </c>
      <c r="F494" s="1" t="s">
        <v>24</v>
      </c>
      <c r="G494" s="1" t="s">
        <v>19</v>
      </c>
      <c r="H494" s="1" t="s">
        <v>19</v>
      </c>
      <c r="I494" s="1" t="s">
        <v>20</v>
      </c>
      <c r="J494" s="2">
        <v>94.6</v>
      </c>
      <c r="K494" s="3">
        <v>74</v>
      </c>
      <c r="L494" s="3" t="str">
        <f t="shared" si="7"/>
        <v>70-74</v>
      </c>
      <c r="M494" s="1" t="s">
        <v>32</v>
      </c>
    </row>
    <row r="495" spans="1:13" x14ac:dyDescent="0.35">
      <c r="A495">
        <v>492</v>
      </c>
      <c r="B495" s="1" t="s">
        <v>17</v>
      </c>
      <c r="C495" s="2">
        <v>3.8</v>
      </c>
      <c r="D495" s="3">
        <v>82.9</v>
      </c>
      <c r="E495" s="2">
        <v>6</v>
      </c>
      <c r="F495" s="1" t="s">
        <v>24</v>
      </c>
      <c r="G495" s="1" t="s">
        <v>19</v>
      </c>
      <c r="H495" s="1" t="s">
        <v>19</v>
      </c>
      <c r="I495" s="1" t="s">
        <v>19</v>
      </c>
      <c r="J495" s="2">
        <v>50.5</v>
      </c>
      <c r="K495" s="3">
        <v>71</v>
      </c>
      <c r="L495" s="3" t="str">
        <f t="shared" si="7"/>
        <v>70-74</v>
      </c>
      <c r="M495" s="1" t="s">
        <v>32</v>
      </c>
    </row>
    <row r="496" spans="1:13" x14ac:dyDescent="0.35">
      <c r="A496">
        <v>493</v>
      </c>
      <c r="B496" s="1" t="s">
        <v>17</v>
      </c>
      <c r="C496" s="2">
        <v>3.5</v>
      </c>
      <c r="D496" s="3">
        <v>68.2</v>
      </c>
      <c r="E496" s="2">
        <v>7.2</v>
      </c>
      <c r="F496" s="1" t="s">
        <v>18</v>
      </c>
      <c r="G496" s="1" t="s">
        <v>19</v>
      </c>
      <c r="H496" s="1" t="s">
        <v>19</v>
      </c>
      <c r="I496" s="1" t="s">
        <v>20</v>
      </c>
      <c r="J496" s="2">
        <v>63.3</v>
      </c>
      <c r="K496" s="3">
        <v>67</v>
      </c>
      <c r="L496" s="3" t="str">
        <f t="shared" si="7"/>
        <v>65-69</v>
      </c>
      <c r="M496" s="1" t="s">
        <v>30</v>
      </c>
    </row>
    <row r="497" spans="1:13" x14ac:dyDescent="0.35">
      <c r="A497">
        <v>494</v>
      </c>
      <c r="B497" s="1" t="s">
        <v>23</v>
      </c>
      <c r="C497" s="2">
        <v>5.3</v>
      </c>
      <c r="D497" s="3">
        <v>76.900000000000006</v>
      </c>
      <c r="E497" s="2">
        <v>6.6</v>
      </c>
      <c r="F497" s="1" t="s">
        <v>24</v>
      </c>
      <c r="G497" s="1" t="s">
        <v>19</v>
      </c>
      <c r="H497" s="1" t="s">
        <v>19</v>
      </c>
      <c r="I497" s="1" t="s">
        <v>19</v>
      </c>
      <c r="J497" s="2">
        <v>70.400000000000006</v>
      </c>
      <c r="K497" s="3">
        <v>82</v>
      </c>
      <c r="L497" s="3" t="str">
        <f t="shared" si="7"/>
        <v>80-84</v>
      </c>
      <c r="M497" s="1" t="s">
        <v>28</v>
      </c>
    </row>
    <row r="498" spans="1:13" x14ac:dyDescent="0.35">
      <c r="A498">
        <v>495</v>
      </c>
      <c r="B498" s="1" t="s">
        <v>17</v>
      </c>
      <c r="C498" s="2">
        <v>7.3</v>
      </c>
      <c r="D498" s="3">
        <v>94.6</v>
      </c>
      <c r="E498" s="2">
        <v>4.0999999999999996</v>
      </c>
      <c r="F498" s="1" t="s">
        <v>18</v>
      </c>
      <c r="G498" s="1" t="s">
        <v>19</v>
      </c>
      <c r="H498" s="1" t="s">
        <v>20</v>
      </c>
      <c r="I498" s="1" t="s">
        <v>20</v>
      </c>
      <c r="J498" s="2">
        <v>83.6</v>
      </c>
      <c r="K498" s="3">
        <v>89</v>
      </c>
      <c r="L498" s="3" t="str">
        <f t="shared" si="7"/>
        <v>85-89</v>
      </c>
      <c r="M498" s="1" t="s">
        <v>28</v>
      </c>
    </row>
    <row r="499" spans="1:13" x14ac:dyDescent="0.35">
      <c r="A499">
        <v>496</v>
      </c>
      <c r="B499" s="1" t="s">
        <v>17</v>
      </c>
      <c r="C499" s="2">
        <v>2.7</v>
      </c>
      <c r="D499" s="3">
        <v>100</v>
      </c>
      <c r="E499" s="2">
        <v>4.3</v>
      </c>
      <c r="F499" s="1" t="s">
        <v>18</v>
      </c>
      <c r="G499" s="1" t="s">
        <v>20</v>
      </c>
      <c r="H499" s="1" t="s">
        <v>20</v>
      </c>
      <c r="I499" s="1" t="s">
        <v>20</v>
      </c>
      <c r="J499" s="2">
        <v>74.8</v>
      </c>
      <c r="K499" s="3">
        <v>79</v>
      </c>
      <c r="L499" s="3" t="str">
        <f t="shared" si="7"/>
        <v>75-79</v>
      </c>
      <c r="M499" s="1" t="s">
        <v>32</v>
      </c>
    </row>
    <row r="500" spans="1:13" x14ac:dyDescent="0.35">
      <c r="A500">
        <v>497</v>
      </c>
      <c r="B500" s="1" t="s">
        <v>17</v>
      </c>
      <c r="C500" s="2">
        <v>2.8</v>
      </c>
      <c r="D500" s="3">
        <v>72.7</v>
      </c>
      <c r="E500" s="2">
        <v>6.1</v>
      </c>
      <c r="F500" s="1" t="s">
        <v>34</v>
      </c>
      <c r="G500" s="1" t="s">
        <v>19</v>
      </c>
      <c r="H500" s="1" t="s">
        <v>20</v>
      </c>
      <c r="I500" s="1" t="s">
        <v>20</v>
      </c>
      <c r="J500" s="2">
        <v>73.7</v>
      </c>
      <c r="K500" s="3">
        <v>71</v>
      </c>
      <c r="L500" s="3" t="str">
        <f t="shared" si="7"/>
        <v>70-74</v>
      </c>
      <c r="M500" s="1" t="s">
        <v>32</v>
      </c>
    </row>
    <row r="501" spans="1:13" x14ac:dyDescent="0.35">
      <c r="A501">
        <v>498</v>
      </c>
      <c r="B501" s="1" t="s">
        <v>23</v>
      </c>
      <c r="C501" s="2">
        <v>5.0999999999999996</v>
      </c>
      <c r="D501" s="3">
        <v>79.099999999999994</v>
      </c>
      <c r="E501" s="2">
        <v>7.3</v>
      </c>
      <c r="F501" s="1" t="s">
        <v>27</v>
      </c>
      <c r="G501" s="1" t="s">
        <v>19</v>
      </c>
      <c r="H501" s="1" t="s">
        <v>20</v>
      </c>
      <c r="I501" s="1" t="s">
        <v>20</v>
      </c>
      <c r="J501" s="2">
        <v>56.5</v>
      </c>
      <c r="K501" s="3">
        <v>85</v>
      </c>
      <c r="L501" s="3" t="str">
        <f t="shared" si="7"/>
        <v>85-89</v>
      </c>
      <c r="M501" s="1" t="s">
        <v>28</v>
      </c>
    </row>
    <row r="502" spans="1:13" x14ac:dyDescent="0.35">
      <c r="A502">
        <v>499</v>
      </c>
      <c r="B502" s="1" t="s">
        <v>17</v>
      </c>
      <c r="C502" s="2">
        <v>4.5</v>
      </c>
      <c r="D502" s="3">
        <v>84.7</v>
      </c>
      <c r="E502" s="2">
        <v>3.5</v>
      </c>
      <c r="F502" s="1" t="s">
        <v>18</v>
      </c>
      <c r="G502" s="1" t="s">
        <v>20</v>
      </c>
      <c r="H502" s="1" t="s">
        <v>20</v>
      </c>
      <c r="I502" s="1" t="s">
        <v>19</v>
      </c>
      <c r="J502" s="2">
        <v>56.1</v>
      </c>
      <c r="K502" s="3">
        <v>62</v>
      </c>
      <c r="L502" s="3" t="str">
        <f t="shared" si="7"/>
        <v>60-64</v>
      </c>
      <c r="M502" s="1" t="s">
        <v>30</v>
      </c>
    </row>
    <row r="503" spans="1:13" x14ac:dyDescent="0.35">
      <c r="A503">
        <v>500</v>
      </c>
      <c r="B503" s="1" t="s">
        <v>23</v>
      </c>
      <c r="C503" s="2">
        <v>6.3</v>
      </c>
      <c r="D503" s="3">
        <v>87.8</v>
      </c>
      <c r="E503" s="2">
        <v>6.2</v>
      </c>
      <c r="F503" s="1" t="s">
        <v>24</v>
      </c>
      <c r="G503" s="1" t="s">
        <v>19</v>
      </c>
      <c r="H503" s="1" t="s">
        <v>20</v>
      </c>
      <c r="I503" s="1" t="s">
        <v>20</v>
      </c>
      <c r="J503" s="2">
        <v>73.900000000000006</v>
      </c>
      <c r="K503" s="3">
        <v>100</v>
      </c>
      <c r="L503" s="3" t="str">
        <f t="shared" si="7"/>
        <v>95-100</v>
      </c>
      <c r="M503" s="1" t="s">
        <v>21</v>
      </c>
    </row>
    <row r="504" spans="1:13" x14ac:dyDescent="0.35">
      <c r="A504">
        <v>501</v>
      </c>
      <c r="B504" s="1" t="s">
        <v>17</v>
      </c>
      <c r="C504" s="2">
        <v>4.4000000000000004</v>
      </c>
      <c r="D504" s="3">
        <v>76.900000000000006</v>
      </c>
      <c r="E504" s="2">
        <v>6.2</v>
      </c>
      <c r="F504" s="1" t="s">
        <v>24</v>
      </c>
      <c r="G504" s="1" t="s">
        <v>19</v>
      </c>
      <c r="H504" s="1" t="s">
        <v>20</v>
      </c>
      <c r="I504" s="1" t="s">
        <v>20</v>
      </c>
      <c r="J504" s="2">
        <v>53.6</v>
      </c>
      <c r="K504" s="3">
        <v>76</v>
      </c>
      <c r="L504" s="3" t="str">
        <f t="shared" si="7"/>
        <v>75-79</v>
      </c>
      <c r="M504" s="1" t="s">
        <v>32</v>
      </c>
    </row>
    <row r="505" spans="1:13" x14ac:dyDescent="0.35">
      <c r="A505">
        <v>502</v>
      </c>
      <c r="B505" s="1" t="s">
        <v>17</v>
      </c>
      <c r="C505" s="2">
        <v>3</v>
      </c>
      <c r="D505" s="3">
        <v>89.2</v>
      </c>
      <c r="E505" s="2">
        <v>8.5</v>
      </c>
      <c r="F505" s="1" t="s">
        <v>27</v>
      </c>
      <c r="G505" s="1" t="s">
        <v>19</v>
      </c>
      <c r="H505" s="1" t="s">
        <v>19</v>
      </c>
      <c r="I505" s="1" t="s">
        <v>19</v>
      </c>
      <c r="J505" s="2">
        <v>63.6</v>
      </c>
      <c r="K505" s="3">
        <v>90</v>
      </c>
      <c r="L505" s="3" t="str">
        <f t="shared" si="7"/>
        <v>90-94</v>
      </c>
      <c r="M505" s="1" t="s">
        <v>21</v>
      </c>
    </row>
    <row r="506" spans="1:13" x14ac:dyDescent="0.35">
      <c r="A506">
        <v>503</v>
      </c>
      <c r="B506" s="1" t="s">
        <v>17</v>
      </c>
      <c r="C506" s="2">
        <v>4.4000000000000004</v>
      </c>
      <c r="D506" s="3">
        <v>80.3</v>
      </c>
      <c r="E506" s="2">
        <v>6.3</v>
      </c>
      <c r="F506" s="1" t="s">
        <v>24</v>
      </c>
      <c r="G506" s="1" t="s">
        <v>20</v>
      </c>
      <c r="H506" s="1" t="s">
        <v>19</v>
      </c>
      <c r="I506" s="1" t="s">
        <v>20</v>
      </c>
      <c r="J506" s="2">
        <v>76</v>
      </c>
      <c r="K506" s="3">
        <v>93</v>
      </c>
      <c r="L506" s="3" t="str">
        <f t="shared" si="7"/>
        <v>90-94</v>
      </c>
      <c r="M506" s="1" t="s">
        <v>21</v>
      </c>
    </row>
    <row r="507" spans="1:13" x14ac:dyDescent="0.35">
      <c r="A507">
        <v>504</v>
      </c>
      <c r="B507" s="1" t="s">
        <v>23</v>
      </c>
      <c r="C507" s="2">
        <v>5.2</v>
      </c>
      <c r="D507" s="3">
        <v>84.9</v>
      </c>
      <c r="E507" s="2">
        <v>7.3</v>
      </c>
      <c r="F507" s="1" t="s">
        <v>24</v>
      </c>
      <c r="G507" s="1" t="s">
        <v>20</v>
      </c>
      <c r="H507" s="1" t="s">
        <v>19</v>
      </c>
      <c r="I507" s="1" t="s">
        <v>20</v>
      </c>
      <c r="J507" s="2">
        <v>58.2</v>
      </c>
      <c r="K507" s="3">
        <v>89</v>
      </c>
      <c r="L507" s="3" t="str">
        <f t="shared" si="7"/>
        <v>85-89</v>
      </c>
      <c r="M507" s="1" t="s">
        <v>28</v>
      </c>
    </row>
    <row r="508" spans="1:13" x14ac:dyDescent="0.35">
      <c r="A508">
        <v>505</v>
      </c>
      <c r="B508" s="1" t="s">
        <v>17</v>
      </c>
      <c r="C508" s="2">
        <v>4.7</v>
      </c>
      <c r="D508" s="3">
        <v>90.5</v>
      </c>
      <c r="E508" s="2">
        <v>7</v>
      </c>
      <c r="F508" s="1" t="s">
        <v>24</v>
      </c>
      <c r="G508" s="1" t="s">
        <v>19</v>
      </c>
      <c r="H508" s="1" t="s">
        <v>19</v>
      </c>
      <c r="I508" s="1" t="s">
        <v>20</v>
      </c>
      <c r="J508" s="2">
        <v>89.3</v>
      </c>
      <c r="K508" s="3">
        <v>99</v>
      </c>
      <c r="L508" s="3" t="str">
        <f t="shared" si="7"/>
        <v>95-100</v>
      </c>
      <c r="M508" s="1" t="s">
        <v>21</v>
      </c>
    </row>
    <row r="509" spans="1:13" x14ac:dyDescent="0.35">
      <c r="A509">
        <v>506</v>
      </c>
      <c r="B509" s="1" t="s">
        <v>17</v>
      </c>
      <c r="C509" s="2">
        <v>4.3</v>
      </c>
      <c r="D509" s="3">
        <v>85.1</v>
      </c>
      <c r="E509" s="2">
        <v>4.2</v>
      </c>
      <c r="F509" s="1" t="s">
        <v>24</v>
      </c>
      <c r="G509" s="1" t="s">
        <v>19</v>
      </c>
      <c r="H509" s="1" t="s">
        <v>19</v>
      </c>
      <c r="I509" s="1" t="s">
        <v>19</v>
      </c>
      <c r="J509" s="2">
        <v>84.7</v>
      </c>
      <c r="K509" s="3">
        <v>100</v>
      </c>
      <c r="L509" s="3" t="str">
        <f t="shared" si="7"/>
        <v>95-100</v>
      </c>
      <c r="M509" s="1" t="s">
        <v>21</v>
      </c>
    </row>
    <row r="510" spans="1:13" x14ac:dyDescent="0.35">
      <c r="A510">
        <v>507</v>
      </c>
      <c r="B510" s="1" t="s">
        <v>23</v>
      </c>
      <c r="C510" s="2">
        <v>5.0999999999999996</v>
      </c>
      <c r="D510" s="3">
        <v>80.599999999999994</v>
      </c>
      <c r="E510" s="2">
        <v>7.7</v>
      </c>
      <c r="F510" s="1" t="s">
        <v>24</v>
      </c>
      <c r="G510" s="1" t="s">
        <v>19</v>
      </c>
      <c r="H510" s="1" t="s">
        <v>20</v>
      </c>
      <c r="I510" s="1" t="s">
        <v>20</v>
      </c>
      <c r="J510" s="2">
        <v>51.1</v>
      </c>
      <c r="K510" s="3">
        <v>75</v>
      </c>
      <c r="L510" s="3" t="str">
        <f t="shared" si="7"/>
        <v>75-79</v>
      </c>
      <c r="M510" s="1" t="s">
        <v>32</v>
      </c>
    </row>
    <row r="511" spans="1:13" x14ac:dyDescent="0.35">
      <c r="A511">
        <v>508</v>
      </c>
      <c r="B511" s="1" t="s">
        <v>17</v>
      </c>
      <c r="C511" s="2">
        <v>5.3</v>
      </c>
      <c r="D511" s="3">
        <v>83.9</v>
      </c>
      <c r="E511" s="2">
        <v>7.1</v>
      </c>
      <c r="F511" s="1" t="s">
        <v>33</v>
      </c>
      <c r="G511" s="1" t="s">
        <v>20</v>
      </c>
      <c r="H511" s="1" t="s">
        <v>19</v>
      </c>
      <c r="I511" s="1" t="s">
        <v>19</v>
      </c>
      <c r="J511" s="2">
        <v>58.8</v>
      </c>
      <c r="K511" s="3">
        <v>73</v>
      </c>
      <c r="L511" s="3" t="str">
        <f t="shared" si="7"/>
        <v>70-74</v>
      </c>
      <c r="M511" s="1" t="s">
        <v>32</v>
      </c>
    </row>
    <row r="512" spans="1:13" x14ac:dyDescent="0.35">
      <c r="A512">
        <v>509</v>
      </c>
      <c r="B512" s="1" t="s">
        <v>23</v>
      </c>
      <c r="C512" s="2">
        <v>5.6</v>
      </c>
      <c r="D512" s="3">
        <v>84.1</v>
      </c>
      <c r="E512" s="2">
        <v>7.4</v>
      </c>
      <c r="F512" s="1" t="s">
        <v>24</v>
      </c>
      <c r="G512" s="1" t="s">
        <v>20</v>
      </c>
      <c r="H512" s="1" t="s">
        <v>19</v>
      </c>
      <c r="I512" s="1" t="s">
        <v>19</v>
      </c>
      <c r="J512" s="2">
        <v>42.6</v>
      </c>
      <c r="K512" s="3">
        <v>76</v>
      </c>
      <c r="L512" s="3" t="str">
        <f t="shared" si="7"/>
        <v>75-79</v>
      </c>
      <c r="M512" s="1" t="s">
        <v>32</v>
      </c>
    </row>
    <row r="513" spans="1:13" x14ac:dyDescent="0.35">
      <c r="A513">
        <v>510</v>
      </c>
      <c r="B513" s="1" t="s">
        <v>23</v>
      </c>
      <c r="C513" s="2">
        <v>4.5</v>
      </c>
      <c r="D513" s="3">
        <v>81.3</v>
      </c>
      <c r="E513" s="2">
        <v>10</v>
      </c>
      <c r="F513" s="1" t="s">
        <v>18</v>
      </c>
      <c r="G513" s="1" t="s">
        <v>19</v>
      </c>
      <c r="H513" s="1" t="s">
        <v>19</v>
      </c>
      <c r="I513" s="1" t="s">
        <v>19</v>
      </c>
      <c r="J513" s="2">
        <v>60.6</v>
      </c>
      <c r="K513" s="3">
        <v>100</v>
      </c>
      <c r="L513" s="3" t="str">
        <f t="shared" si="7"/>
        <v>95-100</v>
      </c>
      <c r="M513" s="1" t="s">
        <v>21</v>
      </c>
    </row>
    <row r="514" spans="1:13" x14ac:dyDescent="0.35">
      <c r="A514">
        <v>511</v>
      </c>
      <c r="B514" s="1" t="s">
        <v>17</v>
      </c>
      <c r="C514" s="2">
        <v>3.2</v>
      </c>
      <c r="D514" s="3">
        <v>82.4</v>
      </c>
      <c r="E514" s="2">
        <v>4.3</v>
      </c>
      <c r="F514" s="1" t="s">
        <v>24</v>
      </c>
      <c r="G514" s="1" t="s">
        <v>19</v>
      </c>
      <c r="H514" s="1" t="s">
        <v>19</v>
      </c>
      <c r="I514" s="1" t="s">
        <v>19</v>
      </c>
      <c r="J514" s="2">
        <v>79.2</v>
      </c>
      <c r="K514" s="3">
        <v>80</v>
      </c>
      <c r="L514" s="3" t="str">
        <f t="shared" si="7"/>
        <v>80-84</v>
      </c>
      <c r="M514" s="1" t="s">
        <v>32</v>
      </c>
    </row>
    <row r="515" spans="1:13" x14ac:dyDescent="0.35">
      <c r="A515">
        <v>512</v>
      </c>
      <c r="B515" s="1" t="s">
        <v>23</v>
      </c>
      <c r="C515" s="2">
        <v>3.7</v>
      </c>
      <c r="D515" s="3">
        <v>100</v>
      </c>
      <c r="E515" s="2">
        <v>8.9</v>
      </c>
      <c r="F515" s="1" t="s">
        <v>24</v>
      </c>
      <c r="G515" s="1" t="s">
        <v>19</v>
      </c>
      <c r="H515" s="1" t="s">
        <v>19</v>
      </c>
      <c r="I515" s="1" t="s">
        <v>19</v>
      </c>
      <c r="J515" s="2">
        <v>65</v>
      </c>
      <c r="K515" s="3">
        <v>88</v>
      </c>
      <c r="L515" s="3" t="str">
        <f t="shared" si="7"/>
        <v>85-89</v>
      </c>
      <c r="M515" s="1" t="s">
        <v>28</v>
      </c>
    </row>
    <row r="516" spans="1:13" x14ac:dyDescent="0.35">
      <c r="A516">
        <v>513</v>
      </c>
      <c r="B516" s="1" t="s">
        <v>17</v>
      </c>
      <c r="C516" s="2">
        <v>5.3</v>
      </c>
      <c r="D516" s="3">
        <v>90.6</v>
      </c>
      <c r="E516" s="2">
        <v>6.5</v>
      </c>
      <c r="F516" s="1" t="s">
        <v>27</v>
      </c>
      <c r="G516" s="1" t="s">
        <v>19</v>
      </c>
      <c r="H516" s="1" t="s">
        <v>19</v>
      </c>
      <c r="I516" s="1" t="s">
        <v>20</v>
      </c>
      <c r="J516" s="2">
        <v>75.5</v>
      </c>
      <c r="K516" s="3">
        <v>89</v>
      </c>
      <c r="L516" s="3" t="str">
        <f t="shared" si="7"/>
        <v>85-89</v>
      </c>
      <c r="M516" s="1" t="s">
        <v>28</v>
      </c>
    </row>
    <row r="517" spans="1:13" x14ac:dyDescent="0.35">
      <c r="A517">
        <v>514</v>
      </c>
      <c r="B517" s="1" t="s">
        <v>23</v>
      </c>
      <c r="C517" s="2">
        <v>2.2999999999999998</v>
      </c>
      <c r="D517" s="3">
        <v>82</v>
      </c>
      <c r="E517" s="2">
        <v>7.1</v>
      </c>
      <c r="F517" s="1" t="s">
        <v>24</v>
      </c>
      <c r="G517" s="1" t="s">
        <v>19</v>
      </c>
      <c r="H517" s="1" t="s">
        <v>19</v>
      </c>
      <c r="I517" s="1" t="s">
        <v>20</v>
      </c>
      <c r="J517" s="2">
        <v>51.7</v>
      </c>
      <c r="K517" s="3">
        <v>78</v>
      </c>
      <c r="L517" s="3" t="str">
        <f t="shared" ref="L517:L580" si="8">IF(K517&gt;=95,"95-100",IF(K517&gt;=90,"90-94",IF(K517&gt;=85,"85-89",IF(K517&gt;=80,"80-84",IF(K517&gt;=75,"75-79",IF(K517&gt;=70,"70-74",IF(K517&gt;=65,"65-69",IF(K517&gt;=60,"60-64",IF(K517&gt;=55,"55-59","Below 55")))))))))</f>
        <v>75-79</v>
      </c>
      <c r="M517" s="1" t="s">
        <v>32</v>
      </c>
    </row>
    <row r="518" spans="1:13" x14ac:dyDescent="0.35">
      <c r="A518">
        <v>515</v>
      </c>
      <c r="B518" s="1" t="s">
        <v>23</v>
      </c>
      <c r="C518" s="2">
        <v>4.0999999999999996</v>
      </c>
      <c r="D518" s="3">
        <v>92</v>
      </c>
      <c r="E518" s="2">
        <v>6.7</v>
      </c>
      <c r="F518" s="1" t="s">
        <v>33</v>
      </c>
      <c r="G518" s="1" t="s">
        <v>19</v>
      </c>
      <c r="H518" s="1" t="s">
        <v>19</v>
      </c>
      <c r="I518" s="1" t="s">
        <v>19</v>
      </c>
      <c r="J518" s="2">
        <v>79.599999999999994</v>
      </c>
      <c r="K518" s="3">
        <v>97</v>
      </c>
      <c r="L518" s="3" t="str">
        <f t="shared" si="8"/>
        <v>95-100</v>
      </c>
      <c r="M518" s="1" t="s">
        <v>21</v>
      </c>
    </row>
    <row r="519" spans="1:13" x14ac:dyDescent="0.35">
      <c r="A519">
        <v>516</v>
      </c>
      <c r="B519" s="1" t="s">
        <v>17</v>
      </c>
      <c r="C519" s="2">
        <v>2.9</v>
      </c>
      <c r="D519" s="3">
        <v>81.7</v>
      </c>
      <c r="E519" s="2">
        <v>6.3</v>
      </c>
      <c r="F519" s="1" t="s">
        <v>18</v>
      </c>
      <c r="G519" s="1" t="s">
        <v>19</v>
      </c>
      <c r="H519" s="1" t="s">
        <v>20</v>
      </c>
      <c r="I519" s="1" t="s">
        <v>19</v>
      </c>
      <c r="J519" s="2">
        <v>63.3</v>
      </c>
      <c r="K519" s="3">
        <v>79</v>
      </c>
      <c r="L519" s="3" t="str">
        <f t="shared" si="8"/>
        <v>75-79</v>
      </c>
      <c r="M519" s="1" t="s">
        <v>32</v>
      </c>
    </row>
    <row r="520" spans="1:13" x14ac:dyDescent="0.35">
      <c r="A520">
        <v>517</v>
      </c>
      <c r="B520" s="1" t="s">
        <v>23</v>
      </c>
      <c r="C520" s="2">
        <v>3.5</v>
      </c>
      <c r="D520" s="3">
        <v>96.7</v>
      </c>
      <c r="E520" s="2">
        <v>6.1</v>
      </c>
      <c r="F520" s="1" t="s">
        <v>24</v>
      </c>
      <c r="G520" s="1" t="s">
        <v>19</v>
      </c>
      <c r="H520" s="1" t="s">
        <v>20</v>
      </c>
      <c r="I520" s="1" t="s">
        <v>20</v>
      </c>
      <c r="J520" s="2">
        <v>70.099999999999994</v>
      </c>
      <c r="K520" s="3">
        <v>84</v>
      </c>
      <c r="L520" s="3" t="str">
        <f t="shared" si="8"/>
        <v>80-84</v>
      </c>
      <c r="M520" s="1" t="s">
        <v>28</v>
      </c>
    </row>
    <row r="521" spans="1:13" x14ac:dyDescent="0.35">
      <c r="A521">
        <v>518</v>
      </c>
      <c r="B521" s="1" t="s">
        <v>23</v>
      </c>
      <c r="C521" s="2">
        <v>5.4</v>
      </c>
      <c r="D521" s="3">
        <v>88.7</v>
      </c>
      <c r="E521" s="2">
        <v>7.2</v>
      </c>
      <c r="F521" s="1" t="s">
        <v>27</v>
      </c>
      <c r="G521" s="1" t="s">
        <v>20</v>
      </c>
      <c r="H521" s="1" t="s">
        <v>19</v>
      </c>
      <c r="I521" s="1" t="s">
        <v>20</v>
      </c>
      <c r="J521" s="2">
        <v>68.900000000000006</v>
      </c>
      <c r="K521" s="3">
        <v>86</v>
      </c>
      <c r="L521" s="3" t="str">
        <f t="shared" si="8"/>
        <v>85-89</v>
      </c>
      <c r="M521" s="1" t="s">
        <v>28</v>
      </c>
    </row>
    <row r="522" spans="1:13" x14ac:dyDescent="0.35">
      <c r="A522">
        <v>519</v>
      </c>
      <c r="B522" s="1" t="s">
        <v>23</v>
      </c>
      <c r="C522" s="2">
        <v>3.8</v>
      </c>
      <c r="D522" s="3">
        <v>83.9</v>
      </c>
      <c r="E522" s="2">
        <v>5</v>
      </c>
      <c r="F522" s="1" t="s">
        <v>24</v>
      </c>
      <c r="G522" s="1" t="s">
        <v>19</v>
      </c>
      <c r="H522" s="1" t="s">
        <v>19</v>
      </c>
      <c r="I522" s="1" t="s">
        <v>19</v>
      </c>
      <c r="J522" s="2">
        <v>54.7</v>
      </c>
      <c r="K522" s="3">
        <v>68</v>
      </c>
      <c r="L522" s="3" t="str">
        <f t="shared" si="8"/>
        <v>65-69</v>
      </c>
      <c r="M522" s="1" t="s">
        <v>30</v>
      </c>
    </row>
    <row r="523" spans="1:13" x14ac:dyDescent="0.35">
      <c r="A523">
        <v>520</v>
      </c>
      <c r="B523" s="1" t="s">
        <v>23</v>
      </c>
      <c r="C523" s="2">
        <v>3.6</v>
      </c>
      <c r="D523" s="3">
        <v>89.5</v>
      </c>
      <c r="E523" s="2">
        <v>7.7</v>
      </c>
      <c r="F523" s="1" t="s">
        <v>34</v>
      </c>
      <c r="G523" s="1" t="s">
        <v>19</v>
      </c>
      <c r="H523" s="1" t="s">
        <v>19</v>
      </c>
      <c r="I523" s="1" t="s">
        <v>19</v>
      </c>
      <c r="J523" s="2">
        <v>56.2</v>
      </c>
      <c r="K523" s="3">
        <v>81</v>
      </c>
      <c r="L523" s="3" t="str">
        <f t="shared" si="8"/>
        <v>80-84</v>
      </c>
      <c r="M523" s="1" t="s">
        <v>28</v>
      </c>
    </row>
    <row r="524" spans="1:13" x14ac:dyDescent="0.35">
      <c r="A524">
        <v>521</v>
      </c>
      <c r="B524" s="1" t="s">
        <v>23</v>
      </c>
      <c r="C524" s="2">
        <v>1.5</v>
      </c>
      <c r="D524" s="3">
        <v>69.3</v>
      </c>
      <c r="E524" s="2">
        <v>6.3</v>
      </c>
      <c r="F524" s="1" t="s">
        <v>24</v>
      </c>
      <c r="G524" s="1" t="s">
        <v>19</v>
      </c>
      <c r="H524" s="1" t="s">
        <v>20</v>
      </c>
      <c r="I524" s="1" t="s">
        <v>19</v>
      </c>
      <c r="J524" s="2">
        <v>81.599999999999994</v>
      </c>
      <c r="K524" s="3">
        <v>65</v>
      </c>
      <c r="L524" s="3" t="str">
        <f t="shared" si="8"/>
        <v>65-69</v>
      </c>
      <c r="M524" s="1" t="s">
        <v>30</v>
      </c>
    </row>
    <row r="525" spans="1:13" x14ac:dyDescent="0.35">
      <c r="A525">
        <v>522</v>
      </c>
      <c r="B525" s="1" t="s">
        <v>17</v>
      </c>
      <c r="C525" s="2">
        <v>4.5999999999999996</v>
      </c>
      <c r="D525" s="3">
        <v>73.7</v>
      </c>
      <c r="E525" s="2">
        <v>5.4</v>
      </c>
      <c r="F525" s="1" t="s">
        <v>34</v>
      </c>
      <c r="G525" s="1" t="s">
        <v>20</v>
      </c>
      <c r="H525" s="1" t="s">
        <v>19</v>
      </c>
      <c r="I525" s="1" t="s">
        <v>19</v>
      </c>
      <c r="J525" s="2">
        <v>74.8</v>
      </c>
      <c r="K525" s="3">
        <v>72</v>
      </c>
      <c r="L525" s="3" t="str">
        <f t="shared" si="8"/>
        <v>70-74</v>
      </c>
      <c r="M525" s="1" t="s">
        <v>32</v>
      </c>
    </row>
    <row r="526" spans="1:13" x14ac:dyDescent="0.35">
      <c r="A526">
        <v>523</v>
      </c>
      <c r="B526" s="1" t="s">
        <v>23</v>
      </c>
      <c r="C526" s="2">
        <v>4.5</v>
      </c>
      <c r="D526" s="3">
        <v>73.099999999999994</v>
      </c>
      <c r="E526" s="2">
        <v>6.3</v>
      </c>
      <c r="F526" s="1" t="s">
        <v>24</v>
      </c>
      <c r="G526" s="1" t="s">
        <v>19</v>
      </c>
      <c r="H526" s="1" t="s">
        <v>19</v>
      </c>
      <c r="I526" s="1" t="s">
        <v>19</v>
      </c>
      <c r="J526" s="2">
        <v>82.6</v>
      </c>
      <c r="K526" s="3">
        <v>85</v>
      </c>
      <c r="L526" s="3" t="str">
        <f t="shared" si="8"/>
        <v>85-89</v>
      </c>
      <c r="M526" s="1" t="s">
        <v>28</v>
      </c>
    </row>
    <row r="527" spans="1:13" x14ac:dyDescent="0.35">
      <c r="A527">
        <v>524</v>
      </c>
      <c r="B527" s="1" t="s">
        <v>17</v>
      </c>
      <c r="C527" s="2">
        <v>6.7</v>
      </c>
      <c r="D527" s="3">
        <v>86.4</v>
      </c>
      <c r="E527" s="2">
        <v>8.3000000000000007</v>
      </c>
      <c r="F527" s="1" t="s">
        <v>18</v>
      </c>
      <c r="G527" s="1" t="s">
        <v>19</v>
      </c>
      <c r="H527" s="1" t="s">
        <v>20</v>
      </c>
      <c r="I527" s="1" t="s">
        <v>20</v>
      </c>
      <c r="J527" s="2">
        <v>73.900000000000006</v>
      </c>
      <c r="K527" s="3">
        <v>100</v>
      </c>
      <c r="L527" s="3" t="str">
        <f t="shared" si="8"/>
        <v>95-100</v>
      </c>
      <c r="M527" s="1" t="s">
        <v>21</v>
      </c>
    </row>
    <row r="528" spans="1:13" x14ac:dyDescent="0.35">
      <c r="A528">
        <v>525</v>
      </c>
      <c r="B528" s="1" t="s">
        <v>23</v>
      </c>
      <c r="C528" s="2">
        <v>3</v>
      </c>
      <c r="D528" s="3">
        <v>100</v>
      </c>
      <c r="E528" s="2">
        <v>6.2</v>
      </c>
      <c r="F528" s="1" t="s">
        <v>33</v>
      </c>
      <c r="G528" s="1" t="s">
        <v>19</v>
      </c>
      <c r="H528" s="1" t="s">
        <v>19</v>
      </c>
      <c r="I528" s="1" t="s">
        <v>19</v>
      </c>
      <c r="J528" s="2">
        <v>71.7</v>
      </c>
      <c r="K528" s="3">
        <v>82</v>
      </c>
      <c r="L528" s="3" t="str">
        <f t="shared" si="8"/>
        <v>80-84</v>
      </c>
      <c r="M528" s="1" t="s">
        <v>28</v>
      </c>
    </row>
    <row r="529" spans="1:13" x14ac:dyDescent="0.35">
      <c r="A529">
        <v>526</v>
      </c>
      <c r="B529" s="1" t="s">
        <v>17</v>
      </c>
      <c r="C529" s="2">
        <v>3.8</v>
      </c>
      <c r="D529" s="3">
        <v>100</v>
      </c>
      <c r="E529" s="2">
        <v>7.2</v>
      </c>
      <c r="F529" s="1" t="s">
        <v>27</v>
      </c>
      <c r="G529" s="1" t="s">
        <v>19</v>
      </c>
      <c r="H529" s="1" t="s">
        <v>19</v>
      </c>
      <c r="I529" s="1" t="s">
        <v>20</v>
      </c>
      <c r="J529" s="2">
        <v>49.3</v>
      </c>
      <c r="K529" s="3">
        <v>87</v>
      </c>
      <c r="L529" s="3" t="str">
        <f t="shared" si="8"/>
        <v>85-89</v>
      </c>
      <c r="M529" s="1" t="s">
        <v>28</v>
      </c>
    </row>
    <row r="530" spans="1:13" x14ac:dyDescent="0.35">
      <c r="A530">
        <v>527</v>
      </c>
      <c r="B530" s="1" t="s">
        <v>17</v>
      </c>
      <c r="C530" s="2">
        <v>3.9</v>
      </c>
      <c r="D530" s="3">
        <v>91.4</v>
      </c>
      <c r="E530" s="2">
        <v>5.9</v>
      </c>
      <c r="F530" s="1" t="s">
        <v>27</v>
      </c>
      <c r="G530" s="1" t="s">
        <v>19</v>
      </c>
      <c r="H530" s="1" t="s">
        <v>19</v>
      </c>
      <c r="I530" s="1" t="s">
        <v>19</v>
      </c>
      <c r="J530" s="2">
        <v>66.8</v>
      </c>
      <c r="K530" s="3">
        <v>85</v>
      </c>
      <c r="L530" s="3" t="str">
        <f t="shared" si="8"/>
        <v>85-89</v>
      </c>
      <c r="M530" s="1" t="s">
        <v>28</v>
      </c>
    </row>
    <row r="531" spans="1:13" x14ac:dyDescent="0.35">
      <c r="A531">
        <v>528</v>
      </c>
      <c r="B531" s="1" t="s">
        <v>23</v>
      </c>
      <c r="C531" s="2">
        <v>5.9</v>
      </c>
      <c r="D531" s="3">
        <v>90</v>
      </c>
      <c r="E531" s="2">
        <v>7.7</v>
      </c>
      <c r="F531" s="1" t="s">
        <v>33</v>
      </c>
      <c r="G531" s="1" t="s">
        <v>19</v>
      </c>
      <c r="H531" s="1" t="s">
        <v>20</v>
      </c>
      <c r="I531" s="1" t="s">
        <v>20</v>
      </c>
      <c r="J531" s="2">
        <v>69.7</v>
      </c>
      <c r="K531" s="3">
        <v>96</v>
      </c>
      <c r="L531" s="3" t="str">
        <f t="shared" si="8"/>
        <v>95-100</v>
      </c>
      <c r="M531" s="1" t="s">
        <v>21</v>
      </c>
    </row>
    <row r="532" spans="1:13" x14ac:dyDescent="0.35">
      <c r="A532">
        <v>529</v>
      </c>
      <c r="B532" s="1" t="s">
        <v>23</v>
      </c>
      <c r="C532" s="2">
        <v>3.4</v>
      </c>
      <c r="D532" s="3">
        <v>67</v>
      </c>
      <c r="E532" s="2">
        <v>7.6</v>
      </c>
      <c r="F532" s="1" t="s">
        <v>34</v>
      </c>
      <c r="G532" s="1" t="s">
        <v>20</v>
      </c>
      <c r="H532" s="1" t="s">
        <v>20</v>
      </c>
      <c r="I532" s="1" t="s">
        <v>20</v>
      </c>
      <c r="J532" s="2">
        <v>93.4</v>
      </c>
      <c r="K532" s="3">
        <v>84</v>
      </c>
      <c r="L532" s="3" t="str">
        <f t="shared" si="8"/>
        <v>80-84</v>
      </c>
      <c r="M532" s="1" t="s">
        <v>28</v>
      </c>
    </row>
    <row r="533" spans="1:13" x14ac:dyDescent="0.35">
      <c r="A533">
        <v>530</v>
      </c>
      <c r="B533" s="1" t="s">
        <v>23</v>
      </c>
      <c r="C533" s="2">
        <v>3.9</v>
      </c>
      <c r="D533" s="3">
        <v>79.599999999999994</v>
      </c>
      <c r="E533" s="2">
        <v>9</v>
      </c>
      <c r="F533" s="1" t="s">
        <v>24</v>
      </c>
      <c r="G533" s="1" t="s">
        <v>19</v>
      </c>
      <c r="H533" s="1" t="s">
        <v>20</v>
      </c>
      <c r="I533" s="1" t="s">
        <v>20</v>
      </c>
      <c r="J533" s="2">
        <v>78.2</v>
      </c>
      <c r="K533" s="3">
        <v>85</v>
      </c>
      <c r="L533" s="3" t="str">
        <f t="shared" si="8"/>
        <v>85-89</v>
      </c>
      <c r="M533" s="1" t="s">
        <v>28</v>
      </c>
    </row>
    <row r="534" spans="1:13" x14ac:dyDescent="0.35">
      <c r="A534">
        <v>531</v>
      </c>
      <c r="B534" s="1" t="s">
        <v>17</v>
      </c>
      <c r="C534" s="2">
        <v>4.4000000000000004</v>
      </c>
      <c r="D534" s="3">
        <v>77.099999999999994</v>
      </c>
      <c r="E534" s="2">
        <v>6.6</v>
      </c>
      <c r="F534" s="1" t="s">
        <v>24</v>
      </c>
      <c r="G534" s="1" t="s">
        <v>19</v>
      </c>
      <c r="H534" s="1" t="s">
        <v>19</v>
      </c>
      <c r="I534" s="1" t="s">
        <v>20</v>
      </c>
      <c r="J534" s="2">
        <v>88.4</v>
      </c>
      <c r="K534" s="3">
        <v>95</v>
      </c>
      <c r="L534" s="3" t="str">
        <f t="shared" si="8"/>
        <v>95-100</v>
      </c>
      <c r="M534" s="1" t="s">
        <v>21</v>
      </c>
    </row>
    <row r="535" spans="1:13" x14ac:dyDescent="0.35">
      <c r="A535">
        <v>532</v>
      </c>
      <c r="B535" s="1" t="s">
        <v>23</v>
      </c>
      <c r="C535" s="2">
        <v>3.8</v>
      </c>
      <c r="D535" s="3">
        <v>78.8</v>
      </c>
      <c r="E535" s="2">
        <v>7.6</v>
      </c>
      <c r="F535" s="1" t="s">
        <v>24</v>
      </c>
      <c r="G535" s="1" t="s">
        <v>19</v>
      </c>
      <c r="H535" s="1" t="s">
        <v>19</v>
      </c>
      <c r="I535" s="1" t="s">
        <v>20</v>
      </c>
      <c r="J535" s="2">
        <v>77.2</v>
      </c>
      <c r="K535" s="3">
        <v>90</v>
      </c>
      <c r="L535" s="3" t="str">
        <f t="shared" si="8"/>
        <v>90-94</v>
      </c>
      <c r="M535" s="1" t="s">
        <v>28</v>
      </c>
    </row>
    <row r="536" spans="1:13" x14ac:dyDescent="0.35">
      <c r="A536">
        <v>533</v>
      </c>
      <c r="B536" s="1" t="s">
        <v>17</v>
      </c>
      <c r="C536" s="2">
        <v>2.8</v>
      </c>
      <c r="D536" s="3">
        <v>83.3</v>
      </c>
      <c r="E536" s="2">
        <v>6.9</v>
      </c>
      <c r="F536" s="1" t="s">
        <v>18</v>
      </c>
      <c r="G536" s="1" t="s">
        <v>19</v>
      </c>
      <c r="H536" s="1" t="s">
        <v>20</v>
      </c>
      <c r="I536" s="1" t="s">
        <v>20</v>
      </c>
      <c r="J536" s="2">
        <v>61.5</v>
      </c>
      <c r="K536" s="3">
        <v>69</v>
      </c>
      <c r="L536" s="3" t="str">
        <f t="shared" si="8"/>
        <v>65-69</v>
      </c>
      <c r="M536" s="1" t="s">
        <v>30</v>
      </c>
    </row>
    <row r="537" spans="1:13" x14ac:dyDescent="0.35">
      <c r="A537">
        <v>534</v>
      </c>
      <c r="B537" s="1" t="s">
        <v>17</v>
      </c>
      <c r="C537" s="2">
        <v>3.8</v>
      </c>
      <c r="D537" s="3">
        <v>80.3</v>
      </c>
      <c r="E537" s="2">
        <v>8.4</v>
      </c>
      <c r="F537" s="1" t="s">
        <v>18</v>
      </c>
      <c r="G537" s="1" t="s">
        <v>19</v>
      </c>
      <c r="H537" s="1" t="s">
        <v>20</v>
      </c>
      <c r="I537" s="1" t="s">
        <v>20</v>
      </c>
      <c r="J537" s="2">
        <v>71.400000000000006</v>
      </c>
      <c r="K537" s="3">
        <v>93</v>
      </c>
      <c r="L537" s="3" t="str">
        <f t="shared" si="8"/>
        <v>90-94</v>
      </c>
      <c r="M537" s="1" t="s">
        <v>21</v>
      </c>
    </row>
    <row r="538" spans="1:13" x14ac:dyDescent="0.35">
      <c r="A538">
        <v>535</v>
      </c>
      <c r="B538" s="1" t="s">
        <v>17</v>
      </c>
      <c r="C538" s="2">
        <v>5.0999999999999996</v>
      </c>
      <c r="D538" s="3">
        <v>65.2</v>
      </c>
      <c r="E538" s="2">
        <v>5.9</v>
      </c>
      <c r="F538" s="1" t="s">
        <v>18</v>
      </c>
      <c r="G538" s="1" t="s">
        <v>19</v>
      </c>
      <c r="H538" s="1" t="s">
        <v>19</v>
      </c>
      <c r="I538" s="1" t="s">
        <v>20</v>
      </c>
      <c r="J538" s="2">
        <v>72.8</v>
      </c>
      <c r="K538" s="3">
        <v>81</v>
      </c>
      <c r="L538" s="3" t="str">
        <f t="shared" si="8"/>
        <v>80-84</v>
      </c>
      <c r="M538" s="1" t="s">
        <v>28</v>
      </c>
    </row>
    <row r="539" spans="1:13" x14ac:dyDescent="0.35">
      <c r="A539">
        <v>536</v>
      </c>
      <c r="B539" s="1" t="s">
        <v>23</v>
      </c>
      <c r="C539" s="2">
        <v>2</v>
      </c>
      <c r="D539" s="3">
        <v>92.5</v>
      </c>
      <c r="E539" s="2">
        <v>7.7</v>
      </c>
      <c r="F539" s="1" t="s">
        <v>24</v>
      </c>
      <c r="G539" s="1" t="s">
        <v>19</v>
      </c>
      <c r="H539" s="1" t="s">
        <v>20</v>
      </c>
      <c r="I539" s="1" t="s">
        <v>20</v>
      </c>
      <c r="J539" s="2">
        <v>58.7</v>
      </c>
      <c r="K539" s="3">
        <v>78</v>
      </c>
      <c r="L539" s="3" t="str">
        <f t="shared" si="8"/>
        <v>75-79</v>
      </c>
      <c r="M539" s="1" t="s">
        <v>32</v>
      </c>
    </row>
    <row r="540" spans="1:13" x14ac:dyDescent="0.35">
      <c r="A540">
        <v>537</v>
      </c>
      <c r="B540" s="1" t="s">
        <v>23</v>
      </c>
      <c r="C540" s="2">
        <v>3.7</v>
      </c>
      <c r="D540" s="3">
        <v>74.3</v>
      </c>
      <c r="E540" s="2">
        <v>6.6</v>
      </c>
      <c r="F540" s="1" t="s">
        <v>33</v>
      </c>
      <c r="G540" s="1" t="s">
        <v>19</v>
      </c>
      <c r="H540" s="1" t="s">
        <v>19</v>
      </c>
      <c r="I540" s="1" t="s">
        <v>20</v>
      </c>
      <c r="J540" s="2">
        <v>65.400000000000006</v>
      </c>
      <c r="K540" s="3">
        <v>88</v>
      </c>
      <c r="L540" s="3" t="str">
        <f t="shared" si="8"/>
        <v>85-89</v>
      </c>
      <c r="M540" s="1" t="s">
        <v>28</v>
      </c>
    </row>
    <row r="541" spans="1:13" x14ac:dyDescent="0.35">
      <c r="A541">
        <v>538</v>
      </c>
      <c r="B541" s="1" t="s">
        <v>17</v>
      </c>
      <c r="C541" s="2">
        <v>2.4</v>
      </c>
      <c r="D541" s="3">
        <v>87.4</v>
      </c>
      <c r="E541" s="2">
        <v>6.7</v>
      </c>
      <c r="F541" s="1" t="s">
        <v>24</v>
      </c>
      <c r="G541" s="1" t="s">
        <v>19</v>
      </c>
      <c r="H541" s="1" t="s">
        <v>19</v>
      </c>
      <c r="I541" s="1" t="s">
        <v>20</v>
      </c>
      <c r="J541" s="2">
        <v>67.5</v>
      </c>
      <c r="K541" s="3">
        <v>86</v>
      </c>
      <c r="L541" s="3" t="str">
        <f t="shared" si="8"/>
        <v>85-89</v>
      </c>
      <c r="M541" s="1" t="s">
        <v>28</v>
      </c>
    </row>
    <row r="542" spans="1:13" x14ac:dyDescent="0.35">
      <c r="A542">
        <v>539</v>
      </c>
      <c r="B542" s="1" t="s">
        <v>17</v>
      </c>
      <c r="C542" s="2">
        <v>5.3</v>
      </c>
      <c r="D542" s="3">
        <v>100</v>
      </c>
      <c r="E542" s="2">
        <v>6.9</v>
      </c>
      <c r="F542" s="1" t="s">
        <v>24</v>
      </c>
      <c r="G542" s="1" t="s">
        <v>19</v>
      </c>
      <c r="H542" s="1" t="s">
        <v>20</v>
      </c>
      <c r="I542" s="1" t="s">
        <v>20</v>
      </c>
      <c r="J542" s="2">
        <v>89.3</v>
      </c>
      <c r="K542" s="3">
        <v>100</v>
      </c>
      <c r="L542" s="3" t="str">
        <f t="shared" si="8"/>
        <v>95-100</v>
      </c>
      <c r="M542" s="1" t="s">
        <v>21</v>
      </c>
    </row>
    <row r="543" spans="1:13" x14ac:dyDescent="0.35">
      <c r="A543">
        <v>540</v>
      </c>
      <c r="B543" s="1" t="s">
        <v>23</v>
      </c>
      <c r="C543" s="2">
        <v>1.2</v>
      </c>
      <c r="D543" s="3">
        <v>75.8</v>
      </c>
      <c r="E543" s="2">
        <v>7.1</v>
      </c>
      <c r="F543" s="1" t="s">
        <v>18</v>
      </c>
      <c r="G543" s="1" t="s">
        <v>19</v>
      </c>
      <c r="H543" s="1" t="s">
        <v>19</v>
      </c>
      <c r="I543" s="1" t="s">
        <v>19</v>
      </c>
      <c r="J543" s="2">
        <v>45</v>
      </c>
      <c r="K543" s="3">
        <v>57</v>
      </c>
      <c r="L543" s="3" t="str">
        <f t="shared" si="8"/>
        <v>55-59</v>
      </c>
      <c r="M543" s="1" t="s">
        <v>35</v>
      </c>
    </row>
    <row r="544" spans="1:13" x14ac:dyDescent="0.35">
      <c r="A544">
        <v>541</v>
      </c>
      <c r="B544" s="1" t="s">
        <v>17</v>
      </c>
      <c r="C544" s="2">
        <v>2.7</v>
      </c>
      <c r="D544" s="3">
        <v>59.7</v>
      </c>
      <c r="E544" s="2">
        <v>6.7</v>
      </c>
      <c r="F544" s="1" t="s">
        <v>33</v>
      </c>
      <c r="G544" s="1" t="s">
        <v>20</v>
      </c>
      <c r="H544" s="1" t="s">
        <v>20</v>
      </c>
      <c r="I544" s="1" t="s">
        <v>19</v>
      </c>
      <c r="J544" s="2">
        <v>84.5</v>
      </c>
      <c r="K544" s="3">
        <v>76</v>
      </c>
      <c r="L544" s="3" t="str">
        <f t="shared" si="8"/>
        <v>75-79</v>
      </c>
      <c r="M544" s="1" t="s">
        <v>32</v>
      </c>
    </row>
    <row r="545" spans="1:13" x14ac:dyDescent="0.35">
      <c r="A545">
        <v>542</v>
      </c>
      <c r="B545" s="1" t="s">
        <v>23</v>
      </c>
      <c r="C545" s="2">
        <v>4.0999999999999996</v>
      </c>
      <c r="D545" s="3">
        <v>82.1</v>
      </c>
      <c r="E545" s="2">
        <v>7.1</v>
      </c>
      <c r="F545" s="1" t="s">
        <v>33</v>
      </c>
      <c r="G545" s="1" t="s">
        <v>19</v>
      </c>
      <c r="H545" s="1" t="s">
        <v>19</v>
      </c>
      <c r="I545" s="1" t="s">
        <v>20</v>
      </c>
      <c r="J545" s="2">
        <v>58.8</v>
      </c>
      <c r="K545" s="3">
        <v>87</v>
      </c>
      <c r="L545" s="3" t="str">
        <f t="shared" si="8"/>
        <v>85-89</v>
      </c>
      <c r="M545" s="1" t="s">
        <v>28</v>
      </c>
    </row>
    <row r="546" spans="1:13" x14ac:dyDescent="0.35">
      <c r="A546">
        <v>543</v>
      </c>
      <c r="B546" s="1" t="s">
        <v>17</v>
      </c>
      <c r="C546" s="2">
        <v>5.8</v>
      </c>
      <c r="D546" s="3">
        <v>96</v>
      </c>
      <c r="E546" s="2">
        <v>8.6999999999999993</v>
      </c>
      <c r="F546" s="1" t="s">
        <v>18</v>
      </c>
      <c r="G546" s="1" t="s">
        <v>19</v>
      </c>
      <c r="H546" s="1" t="s">
        <v>19</v>
      </c>
      <c r="I546" s="1" t="s">
        <v>19</v>
      </c>
      <c r="J546" s="2">
        <v>53.5</v>
      </c>
      <c r="K546" s="3">
        <v>89</v>
      </c>
      <c r="L546" s="3" t="str">
        <f t="shared" si="8"/>
        <v>85-89</v>
      </c>
      <c r="M546" s="1" t="s">
        <v>28</v>
      </c>
    </row>
    <row r="547" spans="1:13" x14ac:dyDescent="0.35">
      <c r="A547">
        <v>544</v>
      </c>
      <c r="B547" s="1" t="s">
        <v>23</v>
      </c>
      <c r="C547" s="2">
        <v>3.4</v>
      </c>
      <c r="D547" s="3">
        <v>100</v>
      </c>
      <c r="E547" s="2">
        <v>8</v>
      </c>
      <c r="F547" s="1" t="s">
        <v>24</v>
      </c>
      <c r="G547" s="1" t="s">
        <v>19</v>
      </c>
      <c r="H547" s="1" t="s">
        <v>20</v>
      </c>
      <c r="I547" s="1" t="s">
        <v>20</v>
      </c>
      <c r="J547" s="2">
        <v>84.2</v>
      </c>
      <c r="K547" s="3">
        <v>92</v>
      </c>
      <c r="L547" s="3" t="str">
        <f t="shared" si="8"/>
        <v>90-94</v>
      </c>
      <c r="M547" s="1" t="s">
        <v>21</v>
      </c>
    </row>
    <row r="548" spans="1:13" x14ac:dyDescent="0.35">
      <c r="A548">
        <v>545</v>
      </c>
      <c r="B548" s="1" t="s">
        <v>17</v>
      </c>
      <c r="C548" s="2">
        <v>2.7</v>
      </c>
      <c r="D548" s="3">
        <v>72.7</v>
      </c>
      <c r="E548" s="2">
        <v>7.8</v>
      </c>
      <c r="F548" s="1" t="s">
        <v>18</v>
      </c>
      <c r="G548" s="1" t="s">
        <v>19</v>
      </c>
      <c r="H548" s="1" t="s">
        <v>20</v>
      </c>
      <c r="I548" s="1" t="s">
        <v>19</v>
      </c>
      <c r="J548" s="2">
        <v>78.8</v>
      </c>
      <c r="K548" s="3">
        <v>66</v>
      </c>
      <c r="L548" s="3" t="str">
        <f t="shared" si="8"/>
        <v>65-69</v>
      </c>
      <c r="M548" s="1" t="s">
        <v>30</v>
      </c>
    </row>
    <row r="549" spans="1:13" x14ac:dyDescent="0.35">
      <c r="A549">
        <v>546</v>
      </c>
      <c r="B549" s="1" t="s">
        <v>23</v>
      </c>
      <c r="C549" s="2">
        <v>6.3</v>
      </c>
      <c r="D549" s="3">
        <v>90</v>
      </c>
      <c r="E549" s="2">
        <v>6.3</v>
      </c>
      <c r="F549" s="1" t="s">
        <v>24</v>
      </c>
      <c r="G549" s="1" t="s">
        <v>19</v>
      </c>
      <c r="H549" s="1" t="s">
        <v>19</v>
      </c>
      <c r="I549" s="1" t="s">
        <v>20</v>
      </c>
      <c r="J549" s="2">
        <v>85.1</v>
      </c>
      <c r="K549" s="3">
        <v>100</v>
      </c>
      <c r="L549" s="3" t="str">
        <f t="shared" si="8"/>
        <v>95-100</v>
      </c>
      <c r="M549" s="1" t="s">
        <v>21</v>
      </c>
    </row>
    <row r="550" spans="1:13" x14ac:dyDescent="0.35">
      <c r="A550">
        <v>547</v>
      </c>
      <c r="B550" s="1" t="s">
        <v>17</v>
      </c>
      <c r="C550" s="2">
        <v>1.3</v>
      </c>
      <c r="D550" s="3">
        <v>80.3</v>
      </c>
      <c r="E550" s="2">
        <v>5.7</v>
      </c>
      <c r="F550" s="1" t="s">
        <v>18</v>
      </c>
      <c r="G550" s="1" t="s">
        <v>20</v>
      </c>
      <c r="H550" s="1" t="s">
        <v>19</v>
      </c>
      <c r="I550" s="1" t="s">
        <v>20</v>
      </c>
      <c r="J550" s="2">
        <v>79.599999999999994</v>
      </c>
      <c r="K550" s="3">
        <v>71</v>
      </c>
      <c r="L550" s="3" t="str">
        <f t="shared" si="8"/>
        <v>70-74</v>
      </c>
      <c r="M550" s="1" t="s">
        <v>32</v>
      </c>
    </row>
    <row r="551" spans="1:13" x14ac:dyDescent="0.35">
      <c r="A551">
        <v>548</v>
      </c>
      <c r="B551" s="1" t="s">
        <v>23</v>
      </c>
      <c r="C551" s="2">
        <v>0.5</v>
      </c>
      <c r="D551" s="3">
        <v>83.9</v>
      </c>
      <c r="E551" s="2">
        <v>7.9</v>
      </c>
      <c r="F551" s="1" t="s">
        <v>18</v>
      </c>
      <c r="G551" s="1" t="s">
        <v>19</v>
      </c>
      <c r="H551" s="1" t="s">
        <v>20</v>
      </c>
      <c r="I551" s="1" t="s">
        <v>20</v>
      </c>
      <c r="J551" s="2">
        <v>94.7</v>
      </c>
      <c r="K551" s="3">
        <v>89</v>
      </c>
      <c r="L551" s="3" t="str">
        <f t="shared" si="8"/>
        <v>85-89</v>
      </c>
      <c r="M551" s="1" t="s">
        <v>28</v>
      </c>
    </row>
    <row r="552" spans="1:13" x14ac:dyDescent="0.35">
      <c r="A552">
        <v>549</v>
      </c>
      <c r="B552" s="1" t="s">
        <v>23</v>
      </c>
      <c r="C552" s="2">
        <v>4.2</v>
      </c>
      <c r="D552" s="3">
        <v>100</v>
      </c>
      <c r="E552" s="2">
        <v>7.9</v>
      </c>
      <c r="F552" s="1" t="s">
        <v>24</v>
      </c>
      <c r="G552" s="1" t="s">
        <v>19</v>
      </c>
      <c r="H552" s="1" t="s">
        <v>19</v>
      </c>
      <c r="I552" s="1" t="s">
        <v>20</v>
      </c>
      <c r="J552" s="2">
        <v>76.7</v>
      </c>
      <c r="K552" s="3">
        <v>100</v>
      </c>
      <c r="L552" s="3" t="str">
        <f t="shared" si="8"/>
        <v>95-100</v>
      </c>
      <c r="M552" s="1" t="s">
        <v>21</v>
      </c>
    </row>
    <row r="553" spans="1:13" x14ac:dyDescent="0.35">
      <c r="A553">
        <v>550</v>
      </c>
      <c r="B553" s="1" t="s">
        <v>17</v>
      </c>
      <c r="C553" s="2">
        <v>2.7</v>
      </c>
      <c r="D553" s="3">
        <v>70</v>
      </c>
      <c r="E553" s="2">
        <v>8.6</v>
      </c>
      <c r="F553" s="1" t="s">
        <v>24</v>
      </c>
      <c r="G553" s="1" t="s">
        <v>19</v>
      </c>
      <c r="H553" s="1" t="s">
        <v>20</v>
      </c>
      <c r="I553" s="1" t="s">
        <v>20</v>
      </c>
      <c r="J553" s="2">
        <v>68.099999999999994</v>
      </c>
      <c r="K553" s="3">
        <v>85</v>
      </c>
      <c r="L553" s="3" t="str">
        <f t="shared" si="8"/>
        <v>85-89</v>
      </c>
      <c r="M553" s="1" t="s">
        <v>28</v>
      </c>
    </row>
    <row r="554" spans="1:13" x14ac:dyDescent="0.35">
      <c r="A554">
        <v>551</v>
      </c>
      <c r="B554" s="1" t="s">
        <v>17</v>
      </c>
      <c r="C554" s="2">
        <v>2</v>
      </c>
      <c r="D554" s="3">
        <v>87.5</v>
      </c>
      <c r="E554" s="2">
        <v>6.1</v>
      </c>
      <c r="F554" s="1" t="s">
        <v>27</v>
      </c>
      <c r="G554" s="1" t="s">
        <v>19</v>
      </c>
      <c r="H554" s="1" t="s">
        <v>20</v>
      </c>
      <c r="I554" s="1" t="s">
        <v>20</v>
      </c>
      <c r="J554" s="2">
        <v>74.099999999999994</v>
      </c>
      <c r="K554" s="3">
        <v>75</v>
      </c>
      <c r="L554" s="3" t="str">
        <f t="shared" si="8"/>
        <v>75-79</v>
      </c>
      <c r="M554" s="1" t="s">
        <v>32</v>
      </c>
    </row>
    <row r="555" spans="1:13" x14ac:dyDescent="0.35">
      <c r="A555">
        <v>552</v>
      </c>
      <c r="B555" s="1" t="s">
        <v>23</v>
      </c>
      <c r="C555" s="2">
        <v>4.5999999999999996</v>
      </c>
      <c r="D555" s="3">
        <v>89.7</v>
      </c>
      <c r="E555" s="2">
        <v>6.5</v>
      </c>
      <c r="F555" s="1" t="s">
        <v>27</v>
      </c>
      <c r="G555" s="1" t="s">
        <v>19</v>
      </c>
      <c r="H555" s="1" t="s">
        <v>19</v>
      </c>
      <c r="I555" s="1" t="s">
        <v>20</v>
      </c>
      <c r="J555" s="2">
        <v>84.9</v>
      </c>
      <c r="K555" s="3">
        <v>100</v>
      </c>
      <c r="L555" s="3" t="str">
        <f t="shared" si="8"/>
        <v>95-100</v>
      </c>
      <c r="M555" s="1" t="s">
        <v>21</v>
      </c>
    </row>
    <row r="556" spans="1:13" x14ac:dyDescent="0.35">
      <c r="A556">
        <v>553</v>
      </c>
      <c r="B556" s="1" t="s">
        <v>17</v>
      </c>
      <c r="C556" s="2">
        <v>3.9</v>
      </c>
      <c r="D556" s="3">
        <v>95.9</v>
      </c>
      <c r="E556" s="2">
        <v>4.8</v>
      </c>
      <c r="F556" s="1" t="s">
        <v>18</v>
      </c>
      <c r="G556" s="1" t="s">
        <v>19</v>
      </c>
      <c r="H556" s="1" t="s">
        <v>19</v>
      </c>
      <c r="I556" s="1" t="s">
        <v>19</v>
      </c>
      <c r="J556" s="2">
        <v>60.6</v>
      </c>
      <c r="K556" s="3">
        <v>79</v>
      </c>
      <c r="L556" s="3" t="str">
        <f t="shared" si="8"/>
        <v>75-79</v>
      </c>
      <c r="M556" s="1" t="s">
        <v>32</v>
      </c>
    </row>
    <row r="557" spans="1:13" x14ac:dyDescent="0.35">
      <c r="A557">
        <v>554</v>
      </c>
      <c r="B557" s="1" t="s">
        <v>23</v>
      </c>
      <c r="C557" s="2">
        <v>2.7</v>
      </c>
      <c r="D557" s="3">
        <v>86</v>
      </c>
      <c r="E557" s="2">
        <v>6.3</v>
      </c>
      <c r="F557" s="1" t="s">
        <v>24</v>
      </c>
      <c r="G557" s="1" t="s">
        <v>19</v>
      </c>
      <c r="H557" s="1" t="s">
        <v>19</v>
      </c>
      <c r="I557" s="1" t="s">
        <v>20</v>
      </c>
      <c r="J557" s="2">
        <v>62.2</v>
      </c>
      <c r="K557" s="3">
        <v>83</v>
      </c>
      <c r="L557" s="3" t="str">
        <f t="shared" si="8"/>
        <v>80-84</v>
      </c>
      <c r="M557" s="1" t="s">
        <v>28</v>
      </c>
    </row>
    <row r="558" spans="1:13" x14ac:dyDescent="0.35">
      <c r="A558">
        <v>555</v>
      </c>
      <c r="B558" s="1" t="s">
        <v>17</v>
      </c>
      <c r="C558" s="2">
        <v>1.6</v>
      </c>
      <c r="D558" s="3">
        <v>88.1</v>
      </c>
      <c r="E558" s="2">
        <v>8</v>
      </c>
      <c r="F558" s="1" t="s">
        <v>24</v>
      </c>
      <c r="G558" s="1" t="s">
        <v>20</v>
      </c>
      <c r="H558" s="1" t="s">
        <v>20</v>
      </c>
      <c r="I558" s="1" t="s">
        <v>20</v>
      </c>
      <c r="J558" s="2">
        <v>66.3</v>
      </c>
      <c r="K558" s="3">
        <v>63</v>
      </c>
      <c r="L558" s="3" t="str">
        <f t="shared" si="8"/>
        <v>60-64</v>
      </c>
      <c r="M558" s="1" t="s">
        <v>30</v>
      </c>
    </row>
    <row r="559" spans="1:13" x14ac:dyDescent="0.35">
      <c r="A559">
        <v>556</v>
      </c>
      <c r="B559" s="1" t="s">
        <v>23</v>
      </c>
      <c r="C559" s="2">
        <v>4.8</v>
      </c>
      <c r="D559" s="3">
        <v>81.099999999999994</v>
      </c>
      <c r="E559" s="2">
        <v>6.2</v>
      </c>
      <c r="F559" s="1" t="s">
        <v>18</v>
      </c>
      <c r="G559" s="1" t="s">
        <v>19</v>
      </c>
      <c r="H559" s="1" t="s">
        <v>19</v>
      </c>
      <c r="I559" s="1" t="s">
        <v>20</v>
      </c>
      <c r="J559" s="2">
        <v>44.7</v>
      </c>
      <c r="K559" s="3">
        <v>81</v>
      </c>
      <c r="L559" s="3" t="str">
        <f t="shared" si="8"/>
        <v>80-84</v>
      </c>
      <c r="M559" s="1" t="s">
        <v>28</v>
      </c>
    </row>
    <row r="560" spans="1:13" x14ac:dyDescent="0.35">
      <c r="A560">
        <v>557</v>
      </c>
      <c r="B560" s="1" t="s">
        <v>23</v>
      </c>
      <c r="C560" s="2">
        <v>4.5</v>
      </c>
      <c r="D560" s="3">
        <v>87.7</v>
      </c>
      <c r="E560" s="2">
        <v>7.6</v>
      </c>
      <c r="F560" s="1" t="s">
        <v>27</v>
      </c>
      <c r="G560" s="1" t="s">
        <v>19</v>
      </c>
      <c r="H560" s="1" t="s">
        <v>19</v>
      </c>
      <c r="I560" s="1" t="s">
        <v>20</v>
      </c>
      <c r="J560" s="2">
        <v>71.7</v>
      </c>
      <c r="K560" s="3">
        <v>81</v>
      </c>
      <c r="L560" s="3" t="str">
        <f t="shared" si="8"/>
        <v>80-84</v>
      </c>
      <c r="M560" s="1" t="s">
        <v>28</v>
      </c>
    </row>
    <row r="561" spans="1:13" x14ac:dyDescent="0.35">
      <c r="A561">
        <v>558</v>
      </c>
      <c r="B561" s="1" t="s">
        <v>23</v>
      </c>
      <c r="C561" s="2">
        <v>3.4</v>
      </c>
      <c r="D561" s="3">
        <v>81.599999999999994</v>
      </c>
      <c r="E561" s="2">
        <v>6.6</v>
      </c>
      <c r="F561" s="1" t="s">
        <v>24</v>
      </c>
      <c r="G561" s="1" t="s">
        <v>19</v>
      </c>
      <c r="H561" s="1" t="s">
        <v>19</v>
      </c>
      <c r="I561" s="1" t="s">
        <v>20</v>
      </c>
      <c r="J561" s="2">
        <v>47.4</v>
      </c>
      <c r="K561" s="3">
        <v>73</v>
      </c>
      <c r="L561" s="3" t="str">
        <f t="shared" si="8"/>
        <v>70-74</v>
      </c>
      <c r="M561" s="1" t="s">
        <v>32</v>
      </c>
    </row>
    <row r="562" spans="1:13" x14ac:dyDescent="0.35">
      <c r="A562">
        <v>559</v>
      </c>
      <c r="B562" s="1" t="s">
        <v>23</v>
      </c>
      <c r="C562" s="2">
        <v>6.3</v>
      </c>
      <c r="D562" s="3">
        <v>91.2</v>
      </c>
      <c r="E562" s="2">
        <v>7.2</v>
      </c>
      <c r="F562" s="1" t="s">
        <v>33</v>
      </c>
      <c r="G562" s="1" t="s">
        <v>19</v>
      </c>
      <c r="H562" s="1" t="s">
        <v>20</v>
      </c>
      <c r="I562" s="1" t="s">
        <v>19</v>
      </c>
      <c r="J562" s="2">
        <v>70.599999999999994</v>
      </c>
      <c r="K562" s="3">
        <v>100</v>
      </c>
      <c r="L562" s="3" t="str">
        <f t="shared" si="8"/>
        <v>95-100</v>
      </c>
      <c r="M562" s="1" t="s">
        <v>21</v>
      </c>
    </row>
    <row r="563" spans="1:13" x14ac:dyDescent="0.35">
      <c r="A563">
        <v>560</v>
      </c>
      <c r="B563" s="1" t="s">
        <v>23</v>
      </c>
      <c r="C563" s="2">
        <v>1.9</v>
      </c>
      <c r="D563" s="3">
        <v>81.3</v>
      </c>
      <c r="E563" s="2">
        <v>5.4</v>
      </c>
      <c r="F563" s="1" t="s">
        <v>24</v>
      </c>
      <c r="G563" s="1" t="s">
        <v>19</v>
      </c>
      <c r="H563" s="1" t="s">
        <v>19</v>
      </c>
      <c r="I563" s="1" t="s">
        <v>19</v>
      </c>
      <c r="J563" s="2">
        <v>80.400000000000006</v>
      </c>
      <c r="K563" s="3">
        <v>74</v>
      </c>
      <c r="L563" s="3" t="str">
        <f t="shared" si="8"/>
        <v>70-74</v>
      </c>
      <c r="M563" s="1" t="s">
        <v>32</v>
      </c>
    </row>
    <row r="564" spans="1:13" x14ac:dyDescent="0.35">
      <c r="A564">
        <v>561</v>
      </c>
      <c r="B564" s="1" t="s">
        <v>23</v>
      </c>
      <c r="C564" s="2">
        <v>1.2</v>
      </c>
      <c r="D564" s="3">
        <v>88.8</v>
      </c>
      <c r="E564" s="2">
        <v>6.9</v>
      </c>
      <c r="F564" s="1" t="s">
        <v>27</v>
      </c>
      <c r="G564" s="1" t="s">
        <v>19</v>
      </c>
      <c r="H564" s="1" t="s">
        <v>19</v>
      </c>
      <c r="I564" s="1" t="s">
        <v>20</v>
      </c>
      <c r="J564" s="2">
        <v>64.3</v>
      </c>
      <c r="K564" s="3">
        <v>68</v>
      </c>
      <c r="L564" s="3" t="str">
        <f t="shared" si="8"/>
        <v>65-69</v>
      </c>
      <c r="M564" s="1" t="s">
        <v>30</v>
      </c>
    </row>
    <row r="565" spans="1:13" x14ac:dyDescent="0.35">
      <c r="A565">
        <v>562</v>
      </c>
      <c r="B565" s="1" t="s">
        <v>17</v>
      </c>
      <c r="C565" s="2">
        <v>2.5</v>
      </c>
      <c r="D565" s="3">
        <v>84.7</v>
      </c>
      <c r="E565" s="2">
        <v>3.2</v>
      </c>
      <c r="F565" s="1" t="s">
        <v>18</v>
      </c>
      <c r="G565" s="1" t="s">
        <v>20</v>
      </c>
      <c r="H565" s="1" t="s">
        <v>20</v>
      </c>
      <c r="I565" s="1" t="s">
        <v>20</v>
      </c>
      <c r="J565" s="2">
        <v>90.1</v>
      </c>
      <c r="K565" s="3">
        <v>84</v>
      </c>
      <c r="L565" s="3" t="str">
        <f t="shared" si="8"/>
        <v>80-84</v>
      </c>
      <c r="M565" s="1" t="s">
        <v>28</v>
      </c>
    </row>
    <row r="566" spans="1:13" x14ac:dyDescent="0.35">
      <c r="A566">
        <v>563</v>
      </c>
      <c r="B566" s="1" t="s">
        <v>17</v>
      </c>
      <c r="C566" s="2">
        <v>3.4</v>
      </c>
      <c r="D566" s="3">
        <v>96.3</v>
      </c>
      <c r="E566" s="2">
        <v>6.6</v>
      </c>
      <c r="F566" s="1" t="s">
        <v>33</v>
      </c>
      <c r="G566" s="1" t="s">
        <v>20</v>
      </c>
      <c r="H566" s="1" t="s">
        <v>20</v>
      </c>
      <c r="I566" s="1" t="s">
        <v>20</v>
      </c>
      <c r="J566" s="2">
        <v>52.5</v>
      </c>
      <c r="K566" s="3">
        <v>75</v>
      </c>
      <c r="L566" s="3" t="str">
        <f t="shared" si="8"/>
        <v>75-79</v>
      </c>
      <c r="M566" s="1" t="s">
        <v>32</v>
      </c>
    </row>
    <row r="567" spans="1:13" x14ac:dyDescent="0.35">
      <c r="A567">
        <v>564</v>
      </c>
      <c r="B567" s="1" t="s">
        <v>17</v>
      </c>
      <c r="C567" s="2">
        <v>3.9</v>
      </c>
      <c r="D567" s="3">
        <v>84.5</v>
      </c>
      <c r="E567" s="2">
        <v>4.8</v>
      </c>
      <c r="F567" s="1" t="s">
        <v>24</v>
      </c>
      <c r="G567" s="1" t="s">
        <v>20</v>
      </c>
      <c r="H567" s="1" t="s">
        <v>20</v>
      </c>
      <c r="I567" s="1" t="s">
        <v>19</v>
      </c>
      <c r="J567" s="2">
        <v>84.3</v>
      </c>
      <c r="K567" s="3">
        <v>79</v>
      </c>
      <c r="L567" s="3" t="str">
        <f t="shared" si="8"/>
        <v>75-79</v>
      </c>
      <c r="M567" s="1" t="s">
        <v>32</v>
      </c>
    </row>
    <row r="568" spans="1:13" x14ac:dyDescent="0.35">
      <c r="A568">
        <v>565</v>
      </c>
      <c r="B568" s="1" t="s">
        <v>23</v>
      </c>
      <c r="C568" s="2">
        <v>3.1</v>
      </c>
      <c r="D568" s="3">
        <v>67.3</v>
      </c>
      <c r="E568" s="2">
        <v>8.1999999999999993</v>
      </c>
      <c r="F568" s="1" t="s">
        <v>18</v>
      </c>
      <c r="G568" s="1" t="s">
        <v>19</v>
      </c>
      <c r="H568" s="1" t="s">
        <v>19</v>
      </c>
      <c r="I568" s="1" t="s">
        <v>20</v>
      </c>
      <c r="J568" s="2">
        <v>78.099999999999994</v>
      </c>
      <c r="K568" s="3">
        <v>83</v>
      </c>
      <c r="L568" s="3" t="str">
        <f t="shared" si="8"/>
        <v>80-84</v>
      </c>
      <c r="M568" s="1" t="s">
        <v>28</v>
      </c>
    </row>
    <row r="569" spans="1:13" x14ac:dyDescent="0.35">
      <c r="A569">
        <v>566</v>
      </c>
      <c r="B569" s="1" t="s">
        <v>23</v>
      </c>
      <c r="C569" s="2">
        <v>4</v>
      </c>
      <c r="D569" s="3">
        <v>97.6</v>
      </c>
      <c r="E569" s="2">
        <v>7.7</v>
      </c>
      <c r="F569" s="1" t="s">
        <v>24</v>
      </c>
      <c r="G569" s="1" t="s">
        <v>19</v>
      </c>
      <c r="H569" s="1" t="s">
        <v>19</v>
      </c>
      <c r="I569" s="1" t="s">
        <v>20</v>
      </c>
      <c r="J569" s="2">
        <v>49.4</v>
      </c>
      <c r="K569" s="3">
        <v>100</v>
      </c>
      <c r="L569" s="3" t="str">
        <f t="shared" si="8"/>
        <v>95-100</v>
      </c>
      <c r="M569" s="1" t="s">
        <v>21</v>
      </c>
    </row>
    <row r="570" spans="1:13" x14ac:dyDescent="0.35">
      <c r="A570">
        <v>567</v>
      </c>
      <c r="B570" s="1" t="s">
        <v>23</v>
      </c>
      <c r="C570" s="2">
        <v>1.6</v>
      </c>
      <c r="D570" s="3">
        <v>75.900000000000006</v>
      </c>
      <c r="E570" s="2">
        <v>7.4</v>
      </c>
      <c r="F570" s="1" t="s">
        <v>24</v>
      </c>
      <c r="G570" s="1" t="s">
        <v>19</v>
      </c>
      <c r="H570" s="1" t="s">
        <v>20</v>
      </c>
      <c r="I570" s="1" t="s">
        <v>20</v>
      </c>
      <c r="J570" s="2">
        <v>100</v>
      </c>
      <c r="K570" s="3">
        <v>93</v>
      </c>
      <c r="L570" s="3" t="str">
        <f t="shared" si="8"/>
        <v>90-94</v>
      </c>
      <c r="M570" s="1" t="s">
        <v>21</v>
      </c>
    </row>
    <row r="571" spans="1:13" x14ac:dyDescent="0.35">
      <c r="A571">
        <v>568</v>
      </c>
      <c r="B571" s="1" t="s">
        <v>23</v>
      </c>
      <c r="C571" s="2">
        <v>5.7</v>
      </c>
      <c r="D571" s="3">
        <v>78.5</v>
      </c>
      <c r="E571" s="2">
        <v>8.6</v>
      </c>
      <c r="F571" s="1" t="s">
        <v>27</v>
      </c>
      <c r="G571" s="1" t="s">
        <v>19</v>
      </c>
      <c r="H571" s="1" t="s">
        <v>19</v>
      </c>
      <c r="I571" s="1" t="s">
        <v>19</v>
      </c>
      <c r="J571" s="2">
        <v>69.2</v>
      </c>
      <c r="K571" s="3">
        <v>99</v>
      </c>
      <c r="L571" s="3" t="str">
        <f t="shared" si="8"/>
        <v>95-100</v>
      </c>
      <c r="M571" s="1" t="s">
        <v>21</v>
      </c>
    </row>
    <row r="572" spans="1:13" x14ac:dyDescent="0.35">
      <c r="A572">
        <v>569</v>
      </c>
      <c r="B572" s="1" t="s">
        <v>17</v>
      </c>
      <c r="C572" s="2">
        <v>3.4</v>
      </c>
      <c r="D572" s="3">
        <v>79</v>
      </c>
      <c r="E572" s="2">
        <v>5.7</v>
      </c>
      <c r="F572" s="1" t="s">
        <v>27</v>
      </c>
      <c r="G572" s="1" t="s">
        <v>19</v>
      </c>
      <c r="H572" s="1" t="s">
        <v>20</v>
      </c>
      <c r="I572" s="1" t="s">
        <v>19</v>
      </c>
      <c r="J572" s="2">
        <v>59.5</v>
      </c>
      <c r="K572" s="3">
        <v>76</v>
      </c>
      <c r="L572" s="3" t="str">
        <f t="shared" si="8"/>
        <v>75-79</v>
      </c>
      <c r="M572" s="1" t="s">
        <v>32</v>
      </c>
    </row>
    <row r="573" spans="1:13" x14ac:dyDescent="0.35">
      <c r="A573">
        <v>570</v>
      </c>
      <c r="B573" s="1" t="s">
        <v>17</v>
      </c>
      <c r="C573" s="2">
        <v>5.2</v>
      </c>
      <c r="D573" s="3">
        <v>98.7</v>
      </c>
      <c r="E573" s="2">
        <v>8.9</v>
      </c>
      <c r="F573" s="1" t="s">
        <v>34</v>
      </c>
      <c r="G573" s="1" t="s">
        <v>19</v>
      </c>
      <c r="H573" s="1" t="s">
        <v>20</v>
      </c>
      <c r="I573" s="1" t="s">
        <v>19</v>
      </c>
      <c r="J573" s="2">
        <v>53.1</v>
      </c>
      <c r="K573" s="3">
        <v>91</v>
      </c>
      <c r="L573" s="3" t="str">
        <f t="shared" si="8"/>
        <v>90-94</v>
      </c>
      <c r="M573" s="1" t="s">
        <v>21</v>
      </c>
    </row>
    <row r="574" spans="1:13" x14ac:dyDescent="0.35">
      <c r="A574">
        <v>571</v>
      </c>
      <c r="B574" s="1" t="s">
        <v>23</v>
      </c>
      <c r="C574" s="2">
        <v>4</v>
      </c>
      <c r="D574" s="3">
        <v>63.6</v>
      </c>
      <c r="E574" s="2">
        <v>7.9</v>
      </c>
      <c r="F574" s="1" t="s">
        <v>18</v>
      </c>
      <c r="G574" s="1" t="s">
        <v>19</v>
      </c>
      <c r="H574" s="1" t="s">
        <v>19</v>
      </c>
      <c r="I574" s="1" t="s">
        <v>19</v>
      </c>
      <c r="J574" s="2">
        <v>67.400000000000006</v>
      </c>
      <c r="K574" s="3">
        <v>63</v>
      </c>
      <c r="L574" s="3" t="str">
        <f t="shared" si="8"/>
        <v>60-64</v>
      </c>
      <c r="M574" s="1" t="s">
        <v>30</v>
      </c>
    </row>
    <row r="575" spans="1:13" x14ac:dyDescent="0.35">
      <c r="A575">
        <v>572</v>
      </c>
      <c r="B575" s="1" t="s">
        <v>17</v>
      </c>
      <c r="C575" s="2">
        <v>4.2</v>
      </c>
      <c r="D575" s="3">
        <v>100</v>
      </c>
      <c r="E575" s="2">
        <v>6.5</v>
      </c>
      <c r="F575" s="1" t="s">
        <v>33</v>
      </c>
      <c r="G575" s="1" t="s">
        <v>19</v>
      </c>
      <c r="H575" s="1" t="s">
        <v>20</v>
      </c>
      <c r="I575" s="1" t="s">
        <v>19</v>
      </c>
      <c r="J575" s="2">
        <v>68.5</v>
      </c>
      <c r="K575" s="3">
        <v>85</v>
      </c>
      <c r="L575" s="3" t="str">
        <f t="shared" si="8"/>
        <v>85-89</v>
      </c>
      <c r="M575" s="1" t="s">
        <v>28</v>
      </c>
    </row>
    <row r="576" spans="1:13" x14ac:dyDescent="0.35">
      <c r="A576">
        <v>573</v>
      </c>
      <c r="B576" s="1" t="s">
        <v>17</v>
      </c>
      <c r="C576" s="2">
        <v>4.4000000000000004</v>
      </c>
      <c r="D576" s="3">
        <v>95.6</v>
      </c>
      <c r="E576" s="2">
        <v>8.1999999999999993</v>
      </c>
      <c r="F576" s="1" t="s">
        <v>24</v>
      </c>
      <c r="G576" s="1" t="s">
        <v>19</v>
      </c>
      <c r="H576" s="1" t="s">
        <v>20</v>
      </c>
      <c r="I576" s="1" t="s">
        <v>19</v>
      </c>
      <c r="J576" s="2">
        <v>71.2</v>
      </c>
      <c r="K576" s="3">
        <v>89</v>
      </c>
      <c r="L576" s="3" t="str">
        <f t="shared" si="8"/>
        <v>85-89</v>
      </c>
      <c r="M576" s="1" t="s">
        <v>28</v>
      </c>
    </row>
    <row r="577" spans="1:13" x14ac:dyDescent="0.35">
      <c r="A577">
        <v>574</v>
      </c>
      <c r="B577" s="1" t="s">
        <v>23</v>
      </c>
      <c r="C577" s="2">
        <v>4.2</v>
      </c>
      <c r="D577" s="3">
        <v>87.2</v>
      </c>
      <c r="E577" s="2">
        <v>5.5</v>
      </c>
      <c r="F577" s="1" t="s">
        <v>24</v>
      </c>
      <c r="G577" s="1" t="s">
        <v>19</v>
      </c>
      <c r="H577" s="1" t="s">
        <v>19</v>
      </c>
      <c r="I577" s="1" t="s">
        <v>20</v>
      </c>
      <c r="J577" s="2">
        <v>66.400000000000006</v>
      </c>
      <c r="K577" s="3">
        <v>75</v>
      </c>
      <c r="L577" s="3" t="str">
        <f t="shared" si="8"/>
        <v>75-79</v>
      </c>
      <c r="M577" s="1" t="s">
        <v>32</v>
      </c>
    </row>
    <row r="578" spans="1:13" x14ac:dyDescent="0.35">
      <c r="A578">
        <v>575</v>
      </c>
      <c r="B578" s="1" t="s">
        <v>17</v>
      </c>
      <c r="C578" s="2">
        <v>4.5</v>
      </c>
      <c r="D578" s="3">
        <v>84.5</v>
      </c>
      <c r="E578" s="2">
        <v>5.8</v>
      </c>
      <c r="F578" s="1" t="s">
        <v>24</v>
      </c>
      <c r="G578" s="1" t="s">
        <v>19</v>
      </c>
      <c r="H578" s="1" t="s">
        <v>19</v>
      </c>
      <c r="I578" s="1" t="s">
        <v>20</v>
      </c>
      <c r="J578" s="2">
        <v>77.599999999999994</v>
      </c>
      <c r="K578" s="3">
        <v>85</v>
      </c>
      <c r="L578" s="3" t="str">
        <f t="shared" si="8"/>
        <v>85-89</v>
      </c>
      <c r="M578" s="1" t="s">
        <v>28</v>
      </c>
    </row>
    <row r="579" spans="1:13" x14ac:dyDescent="0.35">
      <c r="A579">
        <v>576</v>
      </c>
      <c r="B579" s="1" t="s">
        <v>23</v>
      </c>
      <c r="C579" s="2">
        <v>5.5</v>
      </c>
      <c r="D579" s="3">
        <v>87.9</v>
      </c>
      <c r="E579" s="2">
        <v>6.1</v>
      </c>
      <c r="F579" s="1" t="s">
        <v>18</v>
      </c>
      <c r="G579" s="1" t="s">
        <v>19</v>
      </c>
      <c r="H579" s="1" t="s">
        <v>19</v>
      </c>
      <c r="I579" s="1" t="s">
        <v>20</v>
      </c>
      <c r="J579" s="2">
        <v>65.3</v>
      </c>
      <c r="K579" s="3">
        <v>81</v>
      </c>
      <c r="L579" s="3" t="str">
        <f t="shared" si="8"/>
        <v>80-84</v>
      </c>
      <c r="M579" s="1" t="s">
        <v>28</v>
      </c>
    </row>
    <row r="580" spans="1:13" x14ac:dyDescent="0.35">
      <c r="A580">
        <v>577</v>
      </c>
      <c r="B580" s="1" t="s">
        <v>17</v>
      </c>
      <c r="C580" s="2">
        <v>3.8</v>
      </c>
      <c r="D580" s="3">
        <v>90.2</v>
      </c>
      <c r="E580" s="2">
        <v>6.2</v>
      </c>
      <c r="F580" s="1" t="s">
        <v>18</v>
      </c>
      <c r="G580" s="1" t="s">
        <v>19</v>
      </c>
      <c r="H580" s="1" t="s">
        <v>19</v>
      </c>
      <c r="I580" s="1" t="s">
        <v>19</v>
      </c>
      <c r="J580" s="2">
        <v>46.8</v>
      </c>
      <c r="K580" s="3">
        <v>76</v>
      </c>
      <c r="L580" s="3" t="str">
        <f t="shared" si="8"/>
        <v>75-79</v>
      </c>
      <c r="M580" s="1" t="s">
        <v>32</v>
      </c>
    </row>
    <row r="581" spans="1:13" x14ac:dyDescent="0.35">
      <c r="A581">
        <v>578</v>
      </c>
      <c r="B581" s="1" t="s">
        <v>23</v>
      </c>
      <c r="C581" s="2">
        <v>4.5999999999999996</v>
      </c>
      <c r="D581" s="3">
        <v>91.5</v>
      </c>
      <c r="E581" s="2">
        <v>5.5</v>
      </c>
      <c r="F581" s="1" t="s">
        <v>24</v>
      </c>
      <c r="G581" s="1" t="s">
        <v>19</v>
      </c>
      <c r="H581" s="1" t="s">
        <v>19</v>
      </c>
      <c r="I581" s="1" t="s">
        <v>20</v>
      </c>
      <c r="J581" s="2">
        <v>68.2</v>
      </c>
      <c r="K581" s="3">
        <v>96</v>
      </c>
      <c r="L581" s="3" t="str">
        <f t="shared" ref="L581:L644" si="9">IF(K581&gt;=95,"95-100",IF(K581&gt;=90,"90-94",IF(K581&gt;=85,"85-89",IF(K581&gt;=80,"80-84",IF(K581&gt;=75,"75-79",IF(K581&gt;=70,"70-74",IF(K581&gt;=65,"65-69",IF(K581&gt;=60,"60-64",IF(K581&gt;=55,"55-59","Below 55")))))))))</f>
        <v>95-100</v>
      </c>
      <c r="M581" s="1" t="s">
        <v>21</v>
      </c>
    </row>
    <row r="582" spans="1:13" x14ac:dyDescent="0.35">
      <c r="A582">
        <v>579</v>
      </c>
      <c r="B582" s="1" t="s">
        <v>23</v>
      </c>
      <c r="C582" s="2">
        <v>3.4</v>
      </c>
      <c r="D582" s="3">
        <v>90.6</v>
      </c>
      <c r="E582" s="2">
        <v>8.3000000000000007</v>
      </c>
      <c r="F582" s="1" t="s">
        <v>18</v>
      </c>
      <c r="G582" s="1" t="s">
        <v>19</v>
      </c>
      <c r="H582" s="1" t="s">
        <v>20</v>
      </c>
      <c r="I582" s="1" t="s">
        <v>20</v>
      </c>
      <c r="J582" s="2">
        <v>41.6</v>
      </c>
      <c r="K582" s="3">
        <v>83</v>
      </c>
      <c r="L582" s="3" t="str">
        <f t="shared" si="9"/>
        <v>80-84</v>
      </c>
      <c r="M582" s="1" t="s">
        <v>28</v>
      </c>
    </row>
    <row r="583" spans="1:13" x14ac:dyDescent="0.35">
      <c r="A583">
        <v>580</v>
      </c>
      <c r="B583" s="1" t="s">
        <v>23</v>
      </c>
      <c r="C583" s="2">
        <v>5.7</v>
      </c>
      <c r="D583" s="3">
        <v>85.9</v>
      </c>
      <c r="E583" s="2">
        <v>6.5</v>
      </c>
      <c r="F583" s="1" t="s">
        <v>33</v>
      </c>
      <c r="G583" s="1" t="s">
        <v>19</v>
      </c>
      <c r="H583" s="1" t="s">
        <v>20</v>
      </c>
      <c r="I583" s="1" t="s">
        <v>19</v>
      </c>
      <c r="J583" s="2">
        <v>74.2</v>
      </c>
      <c r="K583" s="3">
        <v>96</v>
      </c>
      <c r="L583" s="3" t="str">
        <f t="shared" si="9"/>
        <v>95-100</v>
      </c>
      <c r="M583" s="1" t="s">
        <v>21</v>
      </c>
    </row>
    <row r="584" spans="1:13" x14ac:dyDescent="0.35">
      <c r="A584">
        <v>581</v>
      </c>
      <c r="B584" s="1" t="s">
        <v>23</v>
      </c>
      <c r="C584" s="2">
        <v>2.5</v>
      </c>
      <c r="D584" s="3">
        <v>83</v>
      </c>
      <c r="E584" s="2">
        <v>7.2</v>
      </c>
      <c r="F584" s="1" t="s">
        <v>18</v>
      </c>
      <c r="G584" s="1" t="s">
        <v>19</v>
      </c>
      <c r="H584" s="1" t="s">
        <v>19</v>
      </c>
      <c r="I584" s="1" t="s">
        <v>20</v>
      </c>
      <c r="J584" s="2">
        <v>58.2</v>
      </c>
      <c r="K584" s="3">
        <v>70</v>
      </c>
      <c r="L584" s="3" t="str">
        <f t="shared" si="9"/>
        <v>70-74</v>
      </c>
      <c r="M584" s="1" t="s">
        <v>32</v>
      </c>
    </row>
    <row r="585" spans="1:13" x14ac:dyDescent="0.35">
      <c r="A585">
        <v>582</v>
      </c>
      <c r="B585" s="1" t="s">
        <v>17</v>
      </c>
      <c r="C585" s="2">
        <v>6.2</v>
      </c>
      <c r="D585" s="3">
        <v>83.5</v>
      </c>
      <c r="E585" s="2">
        <v>6.1</v>
      </c>
      <c r="F585" s="1" t="s">
        <v>24</v>
      </c>
      <c r="G585" s="1" t="s">
        <v>19</v>
      </c>
      <c r="H585" s="1" t="s">
        <v>19</v>
      </c>
      <c r="I585" s="1" t="s">
        <v>19</v>
      </c>
      <c r="J585" s="2">
        <v>72</v>
      </c>
      <c r="K585" s="3">
        <v>83</v>
      </c>
      <c r="L585" s="3" t="str">
        <f t="shared" si="9"/>
        <v>80-84</v>
      </c>
      <c r="M585" s="1" t="s">
        <v>28</v>
      </c>
    </row>
    <row r="586" spans="1:13" x14ac:dyDescent="0.35">
      <c r="A586">
        <v>583</v>
      </c>
      <c r="B586" s="1" t="s">
        <v>23</v>
      </c>
      <c r="C586" s="2">
        <v>3.4</v>
      </c>
      <c r="D586" s="3">
        <v>83.1</v>
      </c>
      <c r="E586" s="2">
        <v>4.5999999999999996</v>
      </c>
      <c r="F586" s="1" t="s">
        <v>24</v>
      </c>
      <c r="G586" s="1" t="s">
        <v>19</v>
      </c>
      <c r="H586" s="1" t="s">
        <v>20</v>
      </c>
      <c r="I586" s="1" t="s">
        <v>20</v>
      </c>
      <c r="J586" s="2">
        <v>85.8</v>
      </c>
      <c r="K586" s="3">
        <v>77</v>
      </c>
      <c r="L586" s="3" t="str">
        <f t="shared" si="9"/>
        <v>75-79</v>
      </c>
      <c r="M586" s="1" t="s">
        <v>32</v>
      </c>
    </row>
    <row r="587" spans="1:13" x14ac:dyDescent="0.35">
      <c r="A587">
        <v>584</v>
      </c>
      <c r="B587" s="1" t="s">
        <v>23</v>
      </c>
      <c r="C587" s="2">
        <v>1.4</v>
      </c>
      <c r="D587" s="3">
        <v>96.3</v>
      </c>
      <c r="E587" s="2">
        <v>7.1</v>
      </c>
      <c r="F587" s="1" t="s">
        <v>24</v>
      </c>
      <c r="G587" s="1" t="s">
        <v>19</v>
      </c>
      <c r="H587" s="1" t="s">
        <v>19</v>
      </c>
      <c r="I587" s="1" t="s">
        <v>20</v>
      </c>
      <c r="J587" s="2">
        <v>58.6</v>
      </c>
      <c r="K587" s="3">
        <v>68</v>
      </c>
      <c r="L587" s="3" t="str">
        <f t="shared" si="9"/>
        <v>65-69</v>
      </c>
      <c r="M587" s="1" t="s">
        <v>30</v>
      </c>
    </row>
    <row r="588" spans="1:13" x14ac:dyDescent="0.35">
      <c r="A588">
        <v>585</v>
      </c>
      <c r="B588" s="1" t="s">
        <v>23</v>
      </c>
      <c r="C588" s="2">
        <v>3.7</v>
      </c>
      <c r="D588" s="3">
        <v>90.9</v>
      </c>
      <c r="E588" s="2">
        <v>4.5</v>
      </c>
      <c r="F588" s="1" t="s">
        <v>24</v>
      </c>
      <c r="G588" s="1" t="s">
        <v>19</v>
      </c>
      <c r="H588" s="1" t="s">
        <v>20</v>
      </c>
      <c r="I588" s="1" t="s">
        <v>20</v>
      </c>
      <c r="J588" s="2">
        <v>82.7</v>
      </c>
      <c r="K588" s="3">
        <v>85</v>
      </c>
      <c r="L588" s="3" t="str">
        <f t="shared" si="9"/>
        <v>85-89</v>
      </c>
      <c r="M588" s="1" t="s">
        <v>28</v>
      </c>
    </row>
    <row r="589" spans="1:13" x14ac:dyDescent="0.35">
      <c r="A589">
        <v>586</v>
      </c>
      <c r="B589" s="1" t="s">
        <v>17</v>
      </c>
      <c r="C589" s="2">
        <v>2.5</v>
      </c>
      <c r="D589" s="3">
        <v>55.6</v>
      </c>
      <c r="E589" s="2">
        <v>6.7</v>
      </c>
      <c r="F589" s="1" t="s">
        <v>18</v>
      </c>
      <c r="G589" s="1" t="s">
        <v>19</v>
      </c>
      <c r="H589" s="1" t="s">
        <v>19</v>
      </c>
      <c r="I589" s="1" t="s">
        <v>20</v>
      </c>
      <c r="J589" s="2">
        <v>64.8</v>
      </c>
      <c r="K589" s="3">
        <v>68</v>
      </c>
      <c r="L589" s="3" t="str">
        <f t="shared" si="9"/>
        <v>65-69</v>
      </c>
      <c r="M589" s="1" t="s">
        <v>30</v>
      </c>
    </row>
    <row r="590" spans="1:13" x14ac:dyDescent="0.35">
      <c r="A590">
        <v>587</v>
      </c>
      <c r="B590" s="1" t="s">
        <v>23</v>
      </c>
      <c r="C590" s="2">
        <v>4.8</v>
      </c>
      <c r="D590" s="3">
        <v>91.6</v>
      </c>
      <c r="E590" s="2">
        <v>5.2</v>
      </c>
      <c r="F590" s="1" t="s">
        <v>18</v>
      </c>
      <c r="G590" s="1" t="s">
        <v>20</v>
      </c>
      <c r="H590" s="1" t="s">
        <v>19</v>
      </c>
      <c r="I590" s="1" t="s">
        <v>20</v>
      </c>
      <c r="J590" s="2">
        <v>91</v>
      </c>
      <c r="K590" s="3">
        <v>89</v>
      </c>
      <c r="L590" s="3" t="str">
        <f t="shared" si="9"/>
        <v>85-89</v>
      </c>
      <c r="M590" s="1" t="s">
        <v>28</v>
      </c>
    </row>
    <row r="591" spans="1:13" x14ac:dyDescent="0.35">
      <c r="A591">
        <v>588</v>
      </c>
      <c r="B591" s="1" t="s">
        <v>17</v>
      </c>
      <c r="C591" s="2">
        <v>2.5</v>
      </c>
      <c r="D591" s="3">
        <v>86.9</v>
      </c>
      <c r="E591" s="2">
        <v>9.1999999999999993</v>
      </c>
      <c r="F591" s="1" t="s">
        <v>33</v>
      </c>
      <c r="G591" s="1" t="s">
        <v>19</v>
      </c>
      <c r="H591" s="1" t="s">
        <v>19</v>
      </c>
      <c r="I591" s="1" t="s">
        <v>20</v>
      </c>
      <c r="J591" s="2">
        <v>65.599999999999994</v>
      </c>
      <c r="K591" s="3">
        <v>85</v>
      </c>
      <c r="L591" s="3" t="str">
        <f t="shared" si="9"/>
        <v>85-89</v>
      </c>
      <c r="M591" s="1" t="s">
        <v>28</v>
      </c>
    </row>
    <row r="592" spans="1:13" x14ac:dyDescent="0.35">
      <c r="A592">
        <v>589</v>
      </c>
      <c r="B592" s="1" t="s">
        <v>23</v>
      </c>
      <c r="C592" s="2">
        <v>2.8</v>
      </c>
      <c r="D592" s="3">
        <v>84.8</v>
      </c>
      <c r="E592" s="2">
        <v>7.9</v>
      </c>
      <c r="F592" s="1" t="s">
        <v>18</v>
      </c>
      <c r="G592" s="1" t="s">
        <v>19</v>
      </c>
      <c r="H592" s="1" t="s">
        <v>20</v>
      </c>
      <c r="I592" s="1" t="s">
        <v>20</v>
      </c>
      <c r="J592" s="2">
        <v>59.9</v>
      </c>
      <c r="K592" s="3">
        <v>77</v>
      </c>
      <c r="L592" s="3" t="str">
        <f t="shared" si="9"/>
        <v>75-79</v>
      </c>
      <c r="M592" s="1" t="s">
        <v>32</v>
      </c>
    </row>
    <row r="593" spans="1:13" x14ac:dyDescent="0.35">
      <c r="A593">
        <v>590</v>
      </c>
      <c r="B593" s="1" t="s">
        <v>17</v>
      </c>
      <c r="C593" s="2">
        <v>0.7</v>
      </c>
      <c r="D593" s="3">
        <v>81.099999999999994</v>
      </c>
      <c r="E593" s="2">
        <v>6.9</v>
      </c>
      <c r="F593" s="1" t="s">
        <v>33</v>
      </c>
      <c r="G593" s="1" t="s">
        <v>19</v>
      </c>
      <c r="H593" s="1" t="s">
        <v>19</v>
      </c>
      <c r="I593" s="1" t="s">
        <v>19</v>
      </c>
      <c r="J593" s="2">
        <v>78.2</v>
      </c>
      <c r="K593" s="3">
        <v>72</v>
      </c>
      <c r="L593" s="3" t="str">
        <f t="shared" si="9"/>
        <v>70-74</v>
      </c>
      <c r="M593" s="1" t="s">
        <v>32</v>
      </c>
    </row>
    <row r="594" spans="1:13" x14ac:dyDescent="0.35">
      <c r="A594">
        <v>591</v>
      </c>
      <c r="B594" s="1" t="s">
        <v>17</v>
      </c>
      <c r="C594" s="2">
        <v>2.8</v>
      </c>
      <c r="D594" s="3">
        <v>96.2</v>
      </c>
      <c r="E594" s="2">
        <v>8.3000000000000007</v>
      </c>
      <c r="F594" s="1" t="s">
        <v>24</v>
      </c>
      <c r="G594" s="1" t="s">
        <v>19</v>
      </c>
      <c r="H594" s="1" t="s">
        <v>20</v>
      </c>
      <c r="I594" s="1" t="s">
        <v>19</v>
      </c>
      <c r="J594" s="2">
        <v>64.8</v>
      </c>
      <c r="K594" s="3">
        <v>89</v>
      </c>
      <c r="L594" s="3" t="str">
        <f t="shared" si="9"/>
        <v>85-89</v>
      </c>
      <c r="M594" s="1" t="s">
        <v>28</v>
      </c>
    </row>
    <row r="595" spans="1:13" x14ac:dyDescent="0.35">
      <c r="A595">
        <v>592</v>
      </c>
      <c r="B595" s="1" t="s">
        <v>23</v>
      </c>
      <c r="C595" s="2">
        <v>0.5</v>
      </c>
      <c r="D595" s="3">
        <v>94.5</v>
      </c>
      <c r="E595" s="2">
        <v>5.8</v>
      </c>
      <c r="F595" s="1" t="s">
        <v>18</v>
      </c>
      <c r="G595" s="1" t="s">
        <v>19</v>
      </c>
      <c r="H595" s="1" t="s">
        <v>19</v>
      </c>
      <c r="I595" s="1" t="s">
        <v>20</v>
      </c>
      <c r="J595" s="2">
        <v>59.9</v>
      </c>
      <c r="K595" s="3">
        <v>63</v>
      </c>
      <c r="L595" s="3" t="str">
        <f t="shared" si="9"/>
        <v>60-64</v>
      </c>
      <c r="M595" s="1" t="s">
        <v>30</v>
      </c>
    </row>
    <row r="596" spans="1:13" x14ac:dyDescent="0.35">
      <c r="A596">
        <v>593</v>
      </c>
      <c r="B596" s="1" t="s">
        <v>17</v>
      </c>
      <c r="C596" s="2">
        <v>1.1000000000000001</v>
      </c>
      <c r="D596" s="3">
        <v>77.3</v>
      </c>
      <c r="E596" s="2">
        <v>7.5</v>
      </c>
      <c r="F596" s="1" t="s">
        <v>33</v>
      </c>
      <c r="G596" s="1" t="s">
        <v>19</v>
      </c>
      <c r="H596" s="1" t="s">
        <v>19</v>
      </c>
      <c r="I596" s="1" t="s">
        <v>20</v>
      </c>
      <c r="J596" s="2">
        <v>64.3</v>
      </c>
      <c r="K596" s="3">
        <v>73</v>
      </c>
      <c r="L596" s="3" t="str">
        <f t="shared" si="9"/>
        <v>70-74</v>
      </c>
      <c r="M596" s="1" t="s">
        <v>32</v>
      </c>
    </row>
    <row r="597" spans="1:13" x14ac:dyDescent="0.35">
      <c r="A597">
        <v>594</v>
      </c>
      <c r="B597" s="1" t="s">
        <v>23</v>
      </c>
      <c r="C597" s="2">
        <v>4.5999999999999996</v>
      </c>
      <c r="D597" s="3">
        <v>89.1</v>
      </c>
      <c r="E597" s="2">
        <v>7</v>
      </c>
      <c r="F597" s="1" t="s">
        <v>24</v>
      </c>
      <c r="G597" s="1" t="s">
        <v>20</v>
      </c>
      <c r="H597" s="1" t="s">
        <v>19</v>
      </c>
      <c r="I597" s="1" t="s">
        <v>20</v>
      </c>
      <c r="J597" s="2">
        <v>69.5</v>
      </c>
      <c r="K597" s="3">
        <v>87</v>
      </c>
      <c r="L597" s="3" t="str">
        <f t="shared" si="9"/>
        <v>85-89</v>
      </c>
      <c r="M597" s="1" t="s">
        <v>28</v>
      </c>
    </row>
    <row r="598" spans="1:13" x14ac:dyDescent="0.35">
      <c r="A598">
        <v>595</v>
      </c>
      <c r="B598" s="1" t="s">
        <v>23</v>
      </c>
      <c r="C598" s="2">
        <v>4.7</v>
      </c>
      <c r="D598" s="3">
        <v>75.3</v>
      </c>
      <c r="E598" s="2">
        <v>7.1</v>
      </c>
      <c r="F598" s="1" t="s">
        <v>24</v>
      </c>
      <c r="G598" s="1" t="s">
        <v>19</v>
      </c>
      <c r="H598" s="1" t="s">
        <v>20</v>
      </c>
      <c r="I598" s="1" t="s">
        <v>19</v>
      </c>
      <c r="J598" s="2">
        <v>86.1</v>
      </c>
      <c r="K598" s="3">
        <v>89</v>
      </c>
      <c r="L598" s="3" t="str">
        <f t="shared" si="9"/>
        <v>85-89</v>
      </c>
      <c r="M598" s="1" t="s">
        <v>28</v>
      </c>
    </row>
    <row r="599" spans="1:13" x14ac:dyDescent="0.35">
      <c r="A599">
        <v>596</v>
      </c>
      <c r="B599" s="1" t="s">
        <v>23</v>
      </c>
      <c r="C599" s="2">
        <v>4.0999999999999996</v>
      </c>
      <c r="D599" s="3">
        <v>71.2</v>
      </c>
      <c r="E599" s="2">
        <v>8.3000000000000007</v>
      </c>
      <c r="F599" s="1" t="s">
        <v>34</v>
      </c>
      <c r="G599" s="1" t="s">
        <v>19</v>
      </c>
      <c r="H599" s="1" t="s">
        <v>20</v>
      </c>
      <c r="I599" s="1" t="s">
        <v>20</v>
      </c>
      <c r="J599" s="2">
        <v>46.8</v>
      </c>
      <c r="K599" s="3">
        <v>80</v>
      </c>
      <c r="L599" s="3" t="str">
        <f t="shared" si="9"/>
        <v>80-84</v>
      </c>
      <c r="M599" s="1" t="s">
        <v>28</v>
      </c>
    </row>
    <row r="600" spans="1:13" x14ac:dyDescent="0.35">
      <c r="A600">
        <v>597</v>
      </c>
      <c r="B600" s="1" t="s">
        <v>17</v>
      </c>
      <c r="C600" s="2">
        <v>2</v>
      </c>
      <c r="D600" s="3">
        <v>78.7</v>
      </c>
      <c r="E600" s="2">
        <v>7.7</v>
      </c>
      <c r="F600" s="1" t="s">
        <v>24</v>
      </c>
      <c r="G600" s="1" t="s">
        <v>19</v>
      </c>
      <c r="H600" s="1" t="s">
        <v>19</v>
      </c>
      <c r="I600" s="1" t="s">
        <v>19</v>
      </c>
      <c r="J600" s="2">
        <v>70.3</v>
      </c>
      <c r="K600" s="3">
        <v>80</v>
      </c>
      <c r="L600" s="3" t="str">
        <f t="shared" si="9"/>
        <v>80-84</v>
      </c>
      <c r="M600" s="1" t="s">
        <v>28</v>
      </c>
    </row>
    <row r="601" spans="1:13" x14ac:dyDescent="0.35">
      <c r="A601">
        <v>598</v>
      </c>
      <c r="B601" s="1" t="s">
        <v>17</v>
      </c>
      <c r="C601" s="2">
        <v>3.4</v>
      </c>
      <c r="D601" s="3">
        <v>93.6</v>
      </c>
      <c r="E601" s="2">
        <v>7.1</v>
      </c>
      <c r="F601" s="1" t="s">
        <v>33</v>
      </c>
      <c r="G601" s="1" t="s">
        <v>20</v>
      </c>
      <c r="H601" s="1" t="s">
        <v>19</v>
      </c>
      <c r="I601" s="1" t="s">
        <v>20</v>
      </c>
      <c r="J601" s="2">
        <v>77.5</v>
      </c>
      <c r="K601" s="3">
        <v>81</v>
      </c>
      <c r="L601" s="3" t="str">
        <f t="shared" si="9"/>
        <v>80-84</v>
      </c>
      <c r="M601" s="1" t="s">
        <v>28</v>
      </c>
    </row>
    <row r="602" spans="1:13" x14ac:dyDescent="0.35">
      <c r="A602">
        <v>599</v>
      </c>
      <c r="B602" s="1" t="s">
        <v>23</v>
      </c>
      <c r="C602" s="2">
        <v>3.5</v>
      </c>
      <c r="D602" s="3">
        <v>94.5</v>
      </c>
      <c r="E602" s="2">
        <v>4.8</v>
      </c>
      <c r="F602" s="1" t="s">
        <v>24</v>
      </c>
      <c r="G602" s="1" t="s">
        <v>19</v>
      </c>
      <c r="H602" s="1" t="s">
        <v>19</v>
      </c>
      <c r="I602" s="1" t="s">
        <v>20</v>
      </c>
      <c r="J602" s="2">
        <v>72.3</v>
      </c>
      <c r="K602" s="3">
        <v>86</v>
      </c>
      <c r="L602" s="3" t="str">
        <f t="shared" si="9"/>
        <v>85-89</v>
      </c>
      <c r="M602" s="1" t="s">
        <v>28</v>
      </c>
    </row>
    <row r="603" spans="1:13" x14ac:dyDescent="0.35">
      <c r="A603">
        <v>600</v>
      </c>
      <c r="B603" s="1" t="s">
        <v>23</v>
      </c>
      <c r="C603" s="2">
        <v>1.8</v>
      </c>
      <c r="D603" s="3">
        <v>90.1</v>
      </c>
      <c r="E603" s="2">
        <v>5.6</v>
      </c>
      <c r="F603" s="1" t="s">
        <v>33</v>
      </c>
      <c r="G603" s="1" t="s">
        <v>19</v>
      </c>
      <c r="H603" s="1" t="s">
        <v>19</v>
      </c>
      <c r="I603" s="1" t="s">
        <v>20</v>
      </c>
      <c r="J603" s="2">
        <v>85.7</v>
      </c>
      <c r="K603" s="3">
        <v>86</v>
      </c>
      <c r="L603" s="3" t="str">
        <f t="shared" si="9"/>
        <v>85-89</v>
      </c>
      <c r="M603" s="1" t="s">
        <v>28</v>
      </c>
    </row>
    <row r="604" spans="1:13" x14ac:dyDescent="0.35">
      <c r="A604">
        <v>601</v>
      </c>
      <c r="B604" s="1" t="s">
        <v>17</v>
      </c>
      <c r="C604" s="2">
        <v>5.8</v>
      </c>
      <c r="D604" s="3">
        <v>92.3</v>
      </c>
      <c r="E604" s="2">
        <v>6.7</v>
      </c>
      <c r="F604" s="1" t="s">
        <v>24</v>
      </c>
      <c r="G604" s="1" t="s">
        <v>19</v>
      </c>
      <c r="H604" s="1" t="s">
        <v>19</v>
      </c>
      <c r="I604" s="1" t="s">
        <v>19</v>
      </c>
      <c r="J604" s="2">
        <v>69.099999999999994</v>
      </c>
      <c r="K604" s="3">
        <v>93</v>
      </c>
      <c r="L604" s="3" t="str">
        <f t="shared" si="9"/>
        <v>90-94</v>
      </c>
      <c r="M604" s="1" t="s">
        <v>21</v>
      </c>
    </row>
    <row r="605" spans="1:13" x14ac:dyDescent="0.35">
      <c r="A605">
        <v>602</v>
      </c>
      <c r="B605" s="1" t="s">
        <v>23</v>
      </c>
      <c r="C605" s="2">
        <v>4.8</v>
      </c>
      <c r="D605" s="3">
        <v>90.2</v>
      </c>
      <c r="E605" s="2">
        <v>6.9</v>
      </c>
      <c r="F605" s="1" t="s">
        <v>24</v>
      </c>
      <c r="G605" s="1" t="s">
        <v>19</v>
      </c>
      <c r="H605" s="1" t="s">
        <v>20</v>
      </c>
      <c r="I605" s="1" t="s">
        <v>20</v>
      </c>
      <c r="J605" s="2">
        <v>67.8</v>
      </c>
      <c r="K605" s="3">
        <v>95</v>
      </c>
      <c r="L605" s="3" t="str">
        <f t="shared" si="9"/>
        <v>95-100</v>
      </c>
      <c r="M605" s="1" t="s">
        <v>21</v>
      </c>
    </row>
    <row r="606" spans="1:13" x14ac:dyDescent="0.35">
      <c r="A606">
        <v>603</v>
      </c>
      <c r="B606" s="1" t="s">
        <v>23</v>
      </c>
      <c r="C606" s="2">
        <v>3.2</v>
      </c>
      <c r="D606" s="3">
        <v>78.599999999999994</v>
      </c>
      <c r="E606" s="2">
        <v>5.4</v>
      </c>
      <c r="F606" s="1" t="s">
        <v>18</v>
      </c>
      <c r="G606" s="1" t="s">
        <v>19</v>
      </c>
      <c r="H606" s="1" t="s">
        <v>20</v>
      </c>
      <c r="I606" s="1" t="s">
        <v>20</v>
      </c>
      <c r="J606" s="2">
        <v>77.099999999999994</v>
      </c>
      <c r="K606" s="3">
        <v>84</v>
      </c>
      <c r="L606" s="3" t="str">
        <f t="shared" si="9"/>
        <v>80-84</v>
      </c>
      <c r="M606" s="1" t="s">
        <v>28</v>
      </c>
    </row>
    <row r="607" spans="1:13" x14ac:dyDescent="0.35">
      <c r="A607">
        <v>604</v>
      </c>
      <c r="B607" s="1" t="s">
        <v>23</v>
      </c>
      <c r="C607" s="2">
        <v>3.5</v>
      </c>
      <c r="D607" s="3">
        <v>89.3</v>
      </c>
      <c r="E607" s="2">
        <v>9.6999999999999993</v>
      </c>
      <c r="F607" s="1" t="s">
        <v>24</v>
      </c>
      <c r="G607" s="1" t="s">
        <v>19</v>
      </c>
      <c r="H607" s="1" t="s">
        <v>19</v>
      </c>
      <c r="I607" s="1" t="s">
        <v>20</v>
      </c>
      <c r="J607" s="2">
        <v>71.2</v>
      </c>
      <c r="K607" s="3">
        <v>100</v>
      </c>
      <c r="L607" s="3" t="str">
        <f t="shared" si="9"/>
        <v>95-100</v>
      </c>
      <c r="M607" s="1" t="s">
        <v>21</v>
      </c>
    </row>
    <row r="608" spans="1:13" x14ac:dyDescent="0.35">
      <c r="A608">
        <v>605</v>
      </c>
      <c r="B608" s="1" t="s">
        <v>17</v>
      </c>
      <c r="C608" s="2">
        <v>3.8</v>
      </c>
      <c r="D608" s="3">
        <v>93</v>
      </c>
      <c r="E608" s="2">
        <v>8.6</v>
      </c>
      <c r="F608" s="1" t="s">
        <v>18</v>
      </c>
      <c r="G608" s="1" t="s">
        <v>19</v>
      </c>
      <c r="H608" s="1" t="s">
        <v>19</v>
      </c>
      <c r="I608" s="1" t="s">
        <v>20</v>
      </c>
      <c r="J608" s="2">
        <v>65.3</v>
      </c>
      <c r="K608" s="3">
        <v>81</v>
      </c>
      <c r="L608" s="3" t="str">
        <f t="shared" si="9"/>
        <v>80-84</v>
      </c>
      <c r="M608" s="1" t="s">
        <v>28</v>
      </c>
    </row>
    <row r="609" spans="1:13" x14ac:dyDescent="0.35">
      <c r="A609">
        <v>606</v>
      </c>
      <c r="B609" s="1" t="s">
        <v>17</v>
      </c>
      <c r="C609" s="2">
        <v>0.5</v>
      </c>
      <c r="D609" s="3">
        <v>92.5</v>
      </c>
      <c r="E609" s="2">
        <v>7.5</v>
      </c>
      <c r="F609" s="1" t="s">
        <v>24</v>
      </c>
      <c r="G609" s="1" t="s">
        <v>19</v>
      </c>
      <c r="H609" s="1" t="s">
        <v>20</v>
      </c>
      <c r="I609" s="1" t="s">
        <v>20</v>
      </c>
      <c r="J609" s="2">
        <v>76.2</v>
      </c>
      <c r="K609" s="3">
        <v>76</v>
      </c>
      <c r="L609" s="3" t="str">
        <f t="shared" si="9"/>
        <v>75-79</v>
      </c>
      <c r="M609" s="1" t="s">
        <v>32</v>
      </c>
    </row>
    <row r="610" spans="1:13" x14ac:dyDescent="0.35">
      <c r="A610">
        <v>607</v>
      </c>
      <c r="B610" s="1" t="s">
        <v>17</v>
      </c>
      <c r="C610" s="2">
        <v>3.1</v>
      </c>
      <c r="D610" s="3">
        <v>96.9</v>
      </c>
      <c r="E610" s="2">
        <v>6.9</v>
      </c>
      <c r="F610" s="1" t="s">
        <v>24</v>
      </c>
      <c r="G610" s="1" t="s">
        <v>20</v>
      </c>
      <c r="H610" s="1" t="s">
        <v>20</v>
      </c>
      <c r="I610" s="1" t="s">
        <v>20</v>
      </c>
      <c r="J610" s="2">
        <v>62.2</v>
      </c>
      <c r="K610" s="3">
        <v>74</v>
      </c>
      <c r="L610" s="3" t="str">
        <f t="shared" si="9"/>
        <v>70-74</v>
      </c>
      <c r="M610" s="1" t="s">
        <v>32</v>
      </c>
    </row>
    <row r="611" spans="1:13" x14ac:dyDescent="0.35">
      <c r="A611">
        <v>608</v>
      </c>
      <c r="B611" s="1" t="s">
        <v>23</v>
      </c>
      <c r="C611" s="2">
        <v>2.5</v>
      </c>
      <c r="D611" s="3">
        <v>92.1</v>
      </c>
      <c r="E611" s="2">
        <v>6.5</v>
      </c>
      <c r="F611" s="1" t="s">
        <v>24</v>
      </c>
      <c r="G611" s="1" t="s">
        <v>19</v>
      </c>
      <c r="H611" s="1" t="s">
        <v>19</v>
      </c>
      <c r="I611" s="1" t="s">
        <v>20</v>
      </c>
      <c r="J611" s="2">
        <v>62.7</v>
      </c>
      <c r="K611" s="3">
        <v>84</v>
      </c>
      <c r="L611" s="3" t="str">
        <f t="shared" si="9"/>
        <v>80-84</v>
      </c>
      <c r="M611" s="1" t="s">
        <v>28</v>
      </c>
    </row>
    <row r="612" spans="1:13" x14ac:dyDescent="0.35">
      <c r="A612">
        <v>609</v>
      </c>
      <c r="B612" s="1" t="s">
        <v>23</v>
      </c>
      <c r="C612" s="2">
        <v>2</v>
      </c>
      <c r="D612" s="3">
        <v>88.5</v>
      </c>
      <c r="E612" s="2">
        <v>5.7</v>
      </c>
      <c r="F612" s="1" t="s">
        <v>24</v>
      </c>
      <c r="G612" s="1" t="s">
        <v>20</v>
      </c>
      <c r="H612" s="1" t="s">
        <v>19</v>
      </c>
      <c r="I612" s="1" t="s">
        <v>19</v>
      </c>
      <c r="J612" s="2">
        <v>63.7</v>
      </c>
      <c r="K612" s="3">
        <v>59</v>
      </c>
      <c r="L612" s="3" t="str">
        <f t="shared" si="9"/>
        <v>55-59</v>
      </c>
      <c r="M612" s="1" t="s">
        <v>35</v>
      </c>
    </row>
    <row r="613" spans="1:13" x14ac:dyDescent="0.35">
      <c r="A613">
        <v>610</v>
      </c>
      <c r="B613" s="1" t="s">
        <v>23</v>
      </c>
      <c r="C613" s="2">
        <v>3.1</v>
      </c>
      <c r="D613" s="3">
        <v>95.7</v>
      </c>
      <c r="E613" s="2">
        <v>6.9</v>
      </c>
      <c r="F613" s="1" t="s">
        <v>27</v>
      </c>
      <c r="G613" s="1" t="s">
        <v>19</v>
      </c>
      <c r="H613" s="1" t="s">
        <v>19</v>
      </c>
      <c r="I613" s="1" t="s">
        <v>20</v>
      </c>
      <c r="J613" s="2">
        <v>86.2</v>
      </c>
      <c r="K613" s="3">
        <v>96</v>
      </c>
      <c r="L613" s="3" t="str">
        <f t="shared" si="9"/>
        <v>95-100</v>
      </c>
      <c r="M613" s="1" t="s">
        <v>21</v>
      </c>
    </row>
    <row r="614" spans="1:13" x14ac:dyDescent="0.35">
      <c r="A614">
        <v>611</v>
      </c>
      <c r="B614" s="1" t="s">
        <v>17</v>
      </c>
      <c r="C614" s="2">
        <v>6.2</v>
      </c>
      <c r="D614" s="3">
        <v>84.7</v>
      </c>
      <c r="E614" s="2">
        <v>7.1</v>
      </c>
      <c r="F614" s="1" t="s">
        <v>24</v>
      </c>
      <c r="G614" s="1" t="s">
        <v>19</v>
      </c>
      <c r="H614" s="1" t="s">
        <v>19</v>
      </c>
      <c r="I614" s="1" t="s">
        <v>20</v>
      </c>
      <c r="J614" s="2">
        <v>31.3</v>
      </c>
      <c r="K614" s="3">
        <v>79</v>
      </c>
      <c r="L614" s="3" t="str">
        <f t="shared" si="9"/>
        <v>75-79</v>
      </c>
      <c r="M614" s="1" t="s">
        <v>32</v>
      </c>
    </row>
    <row r="615" spans="1:13" x14ac:dyDescent="0.35">
      <c r="A615">
        <v>612</v>
      </c>
      <c r="B615" s="1" t="s">
        <v>23</v>
      </c>
      <c r="C615" s="2">
        <v>4.5</v>
      </c>
      <c r="D615" s="3">
        <v>76.2</v>
      </c>
      <c r="E615" s="2">
        <v>5.3</v>
      </c>
      <c r="F615" s="1" t="s">
        <v>18</v>
      </c>
      <c r="G615" s="1" t="s">
        <v>19</v>
      </c>
      <c r="H615" s="1" t="s">
        <v>19</v>
      </c>
      <c r="I615" s="1" t="s">
        <v>19</v>
      </c>
      <c r="J615" s="2">
        <v>74.7</v>
      </c>
      <c r="K615" s="3">
        <v>80</v>
      </c>
      <c r="L615" s="3" t="str">
        <f t="shared" si="9"/>
        <v>80-84</v>
      </c>
      <c r="M615" s="1" t="s">
        <v>32</v>
      </c>
    </row>
    <row r="616" spans="1:13" x14ac:dyDescent="0.35">
      <c r="A616">
        <v>613</v>
      </c>
      <c r="B616" s="1" t="s">
        <v>23</v>
      </c>
      <c r="C616" s="2">
        <v>2.6</v>
      </c>
      <c r="D616" s="3">
        <v>83.4</v>
      </c>
      <c r="E616" s="2">
        <v>7.2</v>
      </c>
      <c r="F616" s="1" t="s">
        <v>24</v>
      </c>
      <c r="G616" s="1" t="s">
        <v>19</v>
      </c>
      <c r="H616" s="1" t="s">
        <v>19</v>
      </c>
      <c r="I616" s="1" t="s">
        <v>19</v>
      </c>
      <c r="J616" s="2">
        <v>70.400000000000006</v>
      </c>
      <c r="K616" s="3">
        <v>70</v>
      </c>
      <c r="L616" s="3" t="str">
        <f t="shared" si="9"/>
        <v>70-74</v>
      </c>
      <c r="M616" s="1" t="s">
        <v>32</v>
      </c>
    </row>
    <row r="617" spans="1:13" x14ac:dyDescent="0.35">
      <c r="A617">
        <v>614</v>
      </c>
      <c r="B617" s="1" t="s">
        <v>23</v>
      </c>
      <c r="C617" s="2">
        <v>4.4000000000000004</v>
      </c>
      <c r="D617" s="3">
        <v>77.599999999999994</v>
      </c>
      <c r="E617" s="2">
        <v>6.6</v>
      </c>
      <c r="F617" s="1" t="s">
        <v>24</v>
      </c>
      <c r="G617" s="1" t="s">
        <v>19</v>
      </c>
      <c r="H617" s="1" t="s">
        <v>20</v>
      </c>
      <c r="I617" s="1" t="s">
        <v>20</v>
      </c>
      <c r="J617" s="2">
        <v>49.8</v>
      </c>
      <c r="K617" s="3">
        <v>75</v>
      </c>
      <c r="L617" s="3" t="str">
        <f t="shared" si="9"/>
        <v>75-79</v>
      </c>
      <c r="M617" s="1" t="s">
        <v>32</v>
      </c>
    </row>
    <row r="618" spans="1:13" x14ac:dyDescent="0.35">
      <c r="A618">
        <v>615</v>
      </c>
      <c r="B618" s="1" t="s">
        <v>23</v>
      </c>
      <c r="C618" s="2">
        <v>5.6</v>
      </c>
      <c r="D618" s="3">
        <v>78.2</v>
      </c>
      <c r="E618" s="2">
        <v>4.5</v>
      </c>
      <c r="F618" s="1" t="s">
        <v>27</v>
      </c>
      <c r="G618" s="1" t="s">
        <v>19</v>
      </c>
      <c r="H618" s="1" t="s">
        <v>19</v>
      </c>
      <c r="I618" s="1" t="s">
        <v>19</v>
      </c>
      <c r="J618" s="2">
        <v>73.7</v>
      </c>
      <c r="K618" s="3">
        <v>95</v>
      </c>
      <c r="L618" s="3" t="str">
        <f t="shared" si="9"/>
        <v>95-100</v>
      </c>
      <c r="M618" s="1" t="s">
        <v>21</v>
      </c>
    </row>
    <row r="619" spans="1:13" x14ac:dyDescent="0.35">
      <c r="A619">
        <v>616</v>
      </c>
      <c r="B619" s="1" t="s">
        <v>17</v>
      </c>
      <c r="C619" s="2">
        <v>4.9000000000000004</v>
      </c>
      <c r="D619" s="3">
        <v>83.6</v>
      </c>
      <c r="E619" s="2">
        <v>5.8</v>
      </c>
      <c r="F619" s="1" t="s">
        <v>24</v>
      </c>
      <c r="G619" s="1" t="s">
        <v>19</v>
      </c>
      <c r="H619" s="1" t="s">
        <v>19</v>
      </c>
      <c r="I619" s="1" t="s">
        <v>20</v>
      </c>
      <c r="J619" s="2">
        <v>75.7</v>
      </c>
      <c r="K619" s="3">
        <v>92</v>
      </c>
      <c r="L619" s="3" t="str">
        <f t="shared" si="9"/>
        <v>90-94</v>
      </c>
      <c r="M619" s="1" t="s">
        <v>21</v>
      </c>
    </row>
    <row r="620" spans="1:13" x14ac:dyDescent="0.35">
      <c r="A620">
        <v>617</v>
      </c>
      <c r="B620" s="1" t="s">
        <v>17</v>
      </c>
      <c r="C620" s="2">
        <v>3.6</v>
      </c>
      <c r="D620" s="3">
        <v>77.099999999999994</v>
      </c>
      <c r="E620" s="2">
        <v>6.3</v>
      </c>
      <c r="F620" s="1" t="s">
        <v>27</v>
      </c>
      <c r="G620" s="1" t="s">
        <v>19</v>
      </c>
      <c r="H620" s="1" t="s">
        <v>19</v>
      </c>
      <c r="I620" s="1" t="s">
        <v>19</v>
      </c>
      <c r="J620" s="2">
        <v>77.099999999999994</v>
      </c>
      <c r="K620" s="3">
        <v>86</v>
      </c>
      <c r="L620" s="3" t="str">
        <f t="shared" si="9"/>
        <v>85-89</v>
      </c>
      <c r="M620" s="1" t="s">
        <v>28</v>
      </c>
    </row>
    <row r="621" spans="1:13" x14ac:dyDescent="0.35">
      <c r="A621">
        <v>618</v>
      </c>
      <c r="B621" s="1" t="s">
        <v>23</v>
      </c>
      <c r="C621" s="2">
        <v>2.5</v>
      </c>
      <c r="D621" s="3">
        <v>81.900000000000006</v>
      </c>
      <c r="E621" s="2">
        <v>9.1</v>
      </c>
      <c r="F621" s="1" t="s">
        <v>24</v>
      </c>
      <c r="G621" s="1" t="s">
        <v>19</v>
      </c>
      <c r="H621" s="1" t="s">
        <v>20</v>
      </c>
      <c r="I621" s="1" t="s">
        <v>20</v>
      </c>
      <c r="J621" s="2">
        <v>38.200000000000003</v>
      </c>
      <c r="K621" s="3">
        <v>79</v>
      </c>
      <c r="L621" s="3" t="str">
        <f t="shared" si="9"/>
        <v>75-79</v>
      </c>
      <c r="M621" s="1" t="s">
        <v>32</v>
      </c>
    </row>
    <row r="622" spans="1:13" x14ac:dyDescent="0.35">
      <c r="A622">
        <v>619</v>
      </c>
      <c r="B622" s="1" t="s">
        <v>17</v>
      </c>
      <c r="C622" s="2">
        <v>4.5</v>
      </c>
      <c r="D622" s="3">
        <v>66.099999999999994</v>
      </c>
      <c r="E622" s="2">
        <v>7.5</v>
      </c>
      <c r="F622" s="1" t="s">
        <v>33</v>
      </c>
      <c r="G622" s="1" t="s">
        <v>19</v>
      </c>
      <c r="H622" s="1" t="s">
        <v>20</v>
      </c>
      <c r="I622" s="1" t="s">
        <v>20</v>
      </c>
      <c r="J622" s="2">
        <v>86.4</v>
      </c>
      <c r="K622" s="3">
        <v>92</v>
      </c>
      <c r="L622" s="3" t="str">
        <f t="shared" si="9"/>
        <v>90-94</v>
      </c>
      <c r="M622" s="1" t="s">
        <v>21</v>
      </c>
    </row>
    <row r="623" spans="1:13" x14ac:dyDescent="0.35">
      <c r="A623">
        <v>620</v>
      </c>
      <c r="B623" s="1" t="s">
        <v>17</v>
      </c>
      <c r="C623" s="2">
        <v>4.0999999999999996</v>
      </c>
      <c r="D623" s="3">
        <v>87.1</v>
      </c>
      <c r="E623" s="2">
        <v>5.2</v>
      </c>
      <c r="F623" s="1" t="s">
        <v>18</v>
      </c>
      <c r="G623" s="1" t="s">
        <v>19</v>
      </c>
      <c r="H623" s="1" t="s">
        <v>19</v>
      </c>
      <c r="I623" s="1" t="s">
        <v>20</v>
      </c>
      <c r="J623" s="2">
        <v>61.1</v>
      </c>
      <c r="K623" s="3">
        <v>80</v>
      </c>
      <c r="L623" s="3" t="str">
        <f t="shared" si="9"/>
        <v>80-84</v>
      </c>
      <c r="M623" s="1" t="s">
        <v>28</v>
      </c>
    </row>
    <row r="624" spans="1:13" x14ac:dyDescent="0.35">
      <c r="A624">
        <v>621</v>
      </c>
      <c r="B624" s="1" t="s">
        <v>23</v>
      </c>
      <c r="C624" s="2">
        <v>4.8</v>
      </c>
      <c r="D624" s="3">
        <v>85</v>
      </c>
      <c r="E624" s="2">
        <v>7.4</v>
      </c>
      <c r="F624" s="1" t="s">
        <v>34</v>
      </c>
      <c r="G624" s="1" t="s">
        <v>19</v>
      </c>
      <c r="H624" s="1" t="s">
        <v>19</v>
      </c>
      <c r="I624" s="1" t="s">
        <v>20</v>
      </c>
      <c r="J624" s="2">
        <v>78.2</v>
      </c>
      <c r="K624" s="3">
        <v>98</v>
      </c>
      <c r="L624" s="3" t="str">
        <f t="shared" si="9"/>
        <v>95-100</v>
      </c>
      <c r="M624" s="1" t="s">
        <v>21</v>
      </c>
    </row>
    <row r="625" spans="1:13" x14ac:dyDescent="0.35">
      <c r="A625">
        <v>622</v>
      </c>
      <c r="B625" s="1" t="s">
        <v>23</v>
      </c>
      <c r="C625" s="2">
        <v>4.5</v>
      </c>
      <c r="D625" s="3">
        <v>76.8</v>
      </c>
      <c r="E625" s="2">
        <v>4.9000000000000004</v>
      </c>
      <c r="F625" s="1" t="s">
        <v>18</v>
      </c>
      <c r="G625" s="1" t="s">
        <v>20</v>
      </c>
      <c r="H625" s="1" t="s">
        <v>20</v>
      </c>
      <c r="I625" s="1" t="s">
        <v>20</v>
      </c>
      <c r="J625" s="2">
        <v>78.900000000000006</v>
      </c>
      <c r="K625" s="3">
        <v>79</v>
      </c>
      <c r="L625" s="3" t="str">
        <f t="shared" si="9"/>
        <v>75-79</v>
      </c>
      <c r="M625" s="1" t="s">
        <v>32</v>
      </c>
    </row>
    <row r="626" spans="1:13" x14ac:dyDescent="0.35">
      <c r="A626">
        <v>623</v>
      </c>
      <c r="B626" s="1" t="s">
        <v>17</v>
      </c>
      <c r="C626" s="2">
        <v>5.0999999999999996</v>
      </c>
      <c r="D626" s="3">
        <v>91.6</v>
      </c>
      <c r="E626" s="2">
        <v>8.1</v>
      </c>
      <c r="F626" s="1" t="s">
        <v>18</v>
      </c>
      <c r="G626" s="1" t="s">
        <v>19</v>
      </c>
      <c r="H626" s="1" t="s">
        <v>19</v>
      </c>
      <c r="I626" s="1" t="s">
        <v>20</v>
      </c>
      <c r="J626" s="2">
        <v>59.5</v>
      </c>
      <c r="K626" s="3">
        <v>90</v>
      </c>
      <c r="L626" s="3" t="str">
        <f t="shared" si="9"/>
        <v>90-94</v>
      </c>
      <c r="M626" s="1" t="s">
        <v>28</v>
      </c>
    </row>
    <row r="627" spans="1:13" x14ac:dyDescent="0.35">
      <c r="A627">
        <v>624</v>
      </c>
      <c r="B627" s="1" t="s">
        <v>23</v>
      </c>
      <c r="C627" s="2">
        <v>2.7</v>
      </c>
      <c r="D627" s="3">
        <v>94.4</v>
      </c>
      <c r="E627" s="2">
        <v>6.2</v>
      </c>
      <c r="F627" s="1" t="s">
        <v>24</v>
      </c>
      <c r="G627" s="1" t="s">
        <v>19</v>
      </c>
      <c r="H627" s="1" t="s">
        <v>19</v>
      </c>
      <c r="I627" s="1" t="s">
        <v>19</v>
      </c>
      <c r="J627" s="2">
        <v>77.900000000000006</v>
      </c>
      <c r="K627" s="3">
        <v>76</v>
      </c>
      <c r="L627" s="3" t="str">
        <f t="shared" si="9"/>
        <v>75-79</v>
      </c>
      <c r="M627" s="1" t="s">
        <v>32</v>
      </c>
    </row>
    <row r="628" spans="1:13" x14ac:dyDescent="0.35">
      <c r="A628">
        <v>625</v>
      </c>
      <c r="B628" s="1" t="s">
        <v>17</v>
      </c>
      <c r="C628" s="2">
        <v>5.5</v>
      </c>
      <c r="D628" s="3">
        <v>68.900000000000006</v>
      </c>
      <c r="E628" s="2">
        <v>6.7</v>
      </c>
      <c r="F628" s="1" t="s">
        <v>24</v>
      </c>
      <c r="G628" s="1" t="s">
        <v>19</v>
      </c>
      <c r="H628" s="1" t="s">
        <v>19</v>
      </c>
      <c r="I628" s="1" t="s">
        <v>19</v>
      </c>
      <c r="J628" s="2">
        <v>65.400000000000006</v>
      </c>
      <c r="K628" s="3">
        <v>90</v>
      </c>
      <c r="L628" s="3" t="str">
        <f t="shared" si="9"/>
        <v>90-94</v>
      </c>
      <c r="M628" s="1" t="s">
        <v>28</v>
      </c>
    </row>
    <row r="629" spans="1:13" x14ac:dyDescent="0.35">
      <c r="A629">
        <v>626</v>
      </c>
      <c r="B629" s="1" t="s">
        <v>23</v>
      </c>
      <c r="C629" s="2">
        <v>3.8</v>
      </c>
      <c r="D629" s="3">
        <v>77.400000000000006</v>
      </c>
      <c r="E629" s="2">
        <v>8.4</v>
      </c>
      <c r="F629" s="1" t="s">
        <v>27</v>
      </c>
      <c r="G629" s="1" t="s">
        <v>19</v>
      </c>
      <c r="H629" s="1" t="s">
        <v>19</v>
      </c>
      <c r="I629" s="1" t="s">
        <v>19</v>
      </c>
      <c r="J629" s="2">
        <v>45.1</v>
      </c>
      <c r="K629" s="3">
        <v>71</v>
      </c>
      <c r="L629" s="3" t="str">
        <f t="shared" si="9"/>
        <v>70-74</v>
      </c>
      <c r="M629" s="1" t="s">
        <v>32</v>
      </c>
    </row>
    <row r="630" spans="1:13" x14ac:dyDescent="0.35">
      <c r="A630">
        <v>627</v>
      </c>
      <c r="B630" s="1" t="s">
        <v>17</v>
      </c>
      <c r="C630" s="2">
        <v>6.6</v>
      </c>
      <c r="D630" s="3">
        <v>77.3</v>
      </c>
      <c r="E630" s="2">
        <v>5.3</v>
      </c>
      <c r="F630" s="1" t="s">
        <v>24</v>
      </c>
      <c r="G630" s="1" t="s">
        <v>20</v>
      </c>
      <c r="H630" s="1" t="s">
        <v>19</v>
      </c>
      <c r="I630" s="1" t="s">
        <v>20</v>
      </c>
      <c r="J630" s="2">
        <v>84</v>
      </c>
      <c r="K630" s="3">
        <v>97</v>
      </c>
      <c r="L630" s="3" t="str">
        <f t="shared" si="9"/>
        <v>95-100</v>
      </c>
      <c r="M630" s="1" t="s">
        <v>21</v>
      </c>
    </row>
    <row r="631" spans="1:13" x14ac:dyDescent="0.35">
      <c r="A631">
        <v>628</v>
      </c>
      <c r="B631" s="1" t="s">
        <v>23</v>
      </c>
      <c r="C631" s="2">
        <v>2.5</v>
      </c>
      <c r="D631" s="3">
        <v>75.599999999999994</v>
      </c>
      <c r="E631" s="2">
        <v>5.0999999999999996</v>
      </c>
      <c r="F631" s="1" t="s">
        <v>18</v>
      </c>
      <c r="G631" s="1" t="s">
        <v>19</v>
      </c>
      <c r="H631" s="1" t="s">
        <v>20</v>
      </c>
      <c r="I631" s="1" t="s">
        <v>19</v>
      </c>
      <c r="J631" s="2">
        <v>60.7</v>
      </c>
      <c r="K631" s="3">
        <v>62</v>
      </c>
      <c r="L631" s="3" t="str">
        <f t="shared" si="9"/>
        <v>60-64</v>
      </c>
      <c r="M631" s="1" t="s">
        <v>30</v>
      </c>
    </row>
    <row r="632" spans="1:13" x14ac:dyDescent="0.35">
      <c r="A632">
        <v>629</v>
      </c>
      <c r="B632" s="1" t="s">
        <v>17</v>
      </c>
      <c r="C632" s="2">
        <v>6.1</v>
      </c>
      <c r="D632" s="3">
        <v>93.3</v>
      </c>
      <c r="E632" s="2">
        <v>6.1</v>
      </c>
      <c r="F632" s="1" t="s">
        <v>33</v>
      </c>
      <c r="G632" s="1" t="s">
        <v>19</v>
      </c>
      <c r="H632" s="1" t="s">
        <v>20</v>
      </c>
      <c r="I632" s="1" t="s">
        <v>19</v>
      </c>
      <c r="J632" s="2">
        <v>59.7</v>
      </c>
      <c r="K632" s="3">
        <v>94</v>
      </c>
      <c r="L632" s="3" t="str">
        <f t="shared" si="9"/>
        <v>90-94</v>
      </c>
      <c r="M632" s="1" t="s">
        <v>21</v>
      </c>
    </row>
    <row r="633" spans="1:13" x14ac:dyDescent="0.35">
      <c r="A633">
        <v>630</v>
      </c>
      <c r="B633" s="1" t="s">
        <v>17</v>
      </c>
      <c r="C633" s="2">
        <v>3.8</v>
      </c>
      <c r="D633" s="3">
        <v>83.1</v>
      </c>
      <c r="E633" s="2">
        <v>8</v>
      </c>
      <c r="F633" s="1" t="s">
        <v>24</v>
      </c>
      <c r="G633" s="1" t="s">
        <v>19</v>
      </c>
      <c r="H633" s="1" t="s">
        <v>19</v>
      </c>
      <c r="I633" s="1" t="s">
        <v>20</v>
      </c>
      <c r="J633" s="2">
        <v>65.2</v>
      </c>
      <c r="K633" s="3">
        <v>81</v>
      </c>
      <c r="L633" s="3" t="str">
        <f t="shared" si="9"/>
        <v>80-84</v>
      </c>
      <c r="M633" s="1" t="s">
        <v>28</v>
      </c>
    </row>
    <row r="634" spans="1:13" x14ac:dyDescent="0.35">
      <c r="A634">
        <v>631</v>
      </c>
      <c r="B634" s="1" t="s">
        <v>17</v>
      </c>
      <c r="C634" s="2">
        <v>2.5</v>
      </c>
      <c r="D634" s="3">
        <v>82.4</v>
      </c>
      <c r="E634" s="2">
        <v>5</v>
      </c>
      <c r="F634" s="1" t="s">
        <v>27</v>
      </c>
      <c r="G634" s="1" t="s">
        <v>19</v>
      </c>
      <c r="H634" s="1" t="s">
        <v>20</v>
      </c>
      <c r="I634" s="1" t="s">
        <v>20</v>
      </c>
      <c r="J634" s="2">
        <v>73.3</v>
      </c>
      <c r="K634" s="3">
        <v>78</v>
      </c>
      <c r="L634" s="3" t="str">
        <f t="shared" si="9"/>
        <v>75-79</v>
      </c>
      <c r="M634" s="1" t="s">
        <v>32</v>
      </c>
    </row>
    <row r="635" spans="1:13" x14ac:dyDescent="0.35">
      <c r="A635">
        <v>632</v>
      </c>
      <c r="B635" s="1" t="s">
        <v>23</v>
      </c>
      <c r="C635" s="2">
        <v>2.8</v>
      </c>
      <c r="D635" s="3">
        <v>65</v>
      </c>
      <c r="E635" s="2">
        <v>3.4</v>
      </c>
      <c r="F635" s="1" t="s">
        <v>33</v>
      </c>
      <c r="G635" s="1" t="s">
        <v>20</v>
      </c>
      <c r="H635" s="1" t="s">
        <v>19</v>
      </c>
      <c r="I635" s="1" t="s">
        <v>20</v>
      </c>
      <c r="J635" s="2">
        <v>69.3</v>
      </c>
      <c r="K635" s="3">
        <v>71</v>
      </c>
      <c r="L635" s="3" t="str">
        <f t="shared" si="9"/>
        <v>70-74</v>
      </c>
      <c r="M635" s="1" t="s">
        <v>32</v>
      </c>
    </row>
    <row r="636" spans="1:13" x14ac:dyDescent="0.35">
      <c r="A636">
        <v>633</v>
      </c>
      <c r="B636" s="1" t="s">
        <v>17</v>
      </c>
      <c r="C636" s="2">
        <v>3</v>
      </c>
      <c r="D636" s="3">
        <v>91.4</v>
      </c>
      <c r="E636" s="2">
        <v>6.3</v>
      </c>
      <c r="F636" s="1" t="s">
        <v>18</v>
      </c>
      <c r="G636" s="1" t="s">
        <v>19</v>
      </c>
      <c r="H636" s="1" t="s">
        <v>19</v>
      </c>
      <c r="I636" s="1" t="s">
        <v>19</v>
      </c>
      <c r="J636" s="2">
        <v>76.599999999999994</v>
      </c>
      <c r="K636" s="3">
        <v>89</v>
      </c>
      <c r="L636" s="3" t="str">
        <f t="shared" si="9"/>
        <v>85-89</v>
      </c>
      <c r="M636" s="1" t="s">
        <v>28</v>
      </c>
    </row>
    <row r="637" spans="1:13" x14ac:dyDescent="0.35">
      <c r="A637">
        <v>634</v>
      </c>
      <c r="B637" s="1" t="s">
        <v>17</v>
      </c>
      <c r="C637" s="2">
        <v>4.0999999999999996</v>
      </c>
      <c r="D637" s="3">
        <v>72.599999999999994</v>
      </c>
      <c r="E637" s="2">
        <v>7.5</v>
      </c>
      <c r="F637" s="1" t="s">
        <v>34</v>
      </c>
      <c r="G637" s="1" t="s">
        <v>19</v>
      </c>
      <c r="H637" s="1" t="s">
        <v>20</v>
      </c>
      <c r="I637" s="1" t="s">
        <v>19</v>
      </c>
      <c r="J637" s="2">
        <v>53.9</v>
      </c>
      <c r="K637" s="3">
        <v>74</v>
      </c>
      <c r="L637" s="3" t="str">
        <f t="shared" si="9"/>
        <v>70-74</v>
      </c>
      <c r="M637" s="1" t="s">
        <v>32</v>
      </c>
    </row>
    <row r="638" spans="1:13" x14ac:dyDescent="0.35">
      <c r="A638">
        <v>635</v>
      </c>
      <c r="B638" s="1" t="s">
        <v>23</v>
      </c>
      <c r="C638" s="2">
        <v>4.3</v>
      </c>
      <c r="D638" s="3">
        <v>85.6</v>
      </c>
      <c r="E638" s="2">
        <v>8.1999999999999993</v>
      </c>
      <c r="F638" s="1" t="s">
        <v>24</v>
      </c>
      <c r="G638" s="1" t="s">
        <v>19</v>
      </c>
      <c r="H638" s="1" t="s">
        <v>20</v>
      </c>
      <c r="I638" s="1" t="s">
        <v>20</v>
      </c>
      <c r="J638" s="2">
        <v>61.1</v>
      </c>
      <c r="K638" s="3">
        <v>76</v>
      </c>
      <c r="L638" s="3" t="str">
        <f t="shared" si="9"/>
        <v>75-79</v>
      </c>
      <c r="M638" s="1" t="s">
        <v>32</v>
      </c>
    </row>
    <row r="639" spans="1:13" x14ac:dyDescent="0.35">
      <c r="A639">
        <v>636</v>
      </c>
      <c r="B639" s="1" t="s">
        <v>23</v>
      </c>
      <c r="C639" s="2">
        <v>2.6</v>
      </c>
      <c r="D639" s="3">
        <v>87.8</v>
      </c>
      <c r="E639" s="2">
        <v>6.2</v>
      </c>
      <c r="F639" s="1" t="s">
        <v>24</v>
      </c>
      <c r="G639" s="1" t="s">
        <v>19</v>
      </c>
      <c r="H639" s="1" t="s">
        <v>19</v>
      </c>
      <c r="I639" s="1" t="s">
        <v>19</v>
      </c>
      <c r="J639" s="2">
        <v>68.599999999999994</v>
      </c>
      <c r="K639" s="3">
        <v>96</v>
      </c>
      <c r="L639" s="3" t="str">
        <f t="shared" si="9"/>
        <v>95-100</v>
      </c>
      <c r="M639" s="1" t="s">
        <v>21</v>
      </c>
    </row>
    <row r="640" spans="1:13" x14ac:dyDescent="0.35">
      <c r="A640">
        <v>637</v>
      </c>
      <c r="B640" s="1" t="s">
        <v>17</v>
      </c>
      <c r="C640" s="2">
        <v>3.5</v>
      </c>
      <c r="D640" s="3">
        <v>98.6</v>
      </c>
      <c r="E640" s="2">
        <v>6.3</v>
      </c>
      <c r="F640" s="1" t="s">
        <v>18</v>
      </c>
      <c r="G640" s="1" t="s">
        <v>19</v>
      </c>
      <c r="H640" s="1" t="s">
        <v>19</v>
      </c>
      <c r="I640" s="1" t="s">
        <v>20</v>
      </c>
      <c r="J640" s="2">
        <v>92.8</v>
      </c>
      <c r="K640" s="3">
        <v>100</v>
      </c>
      <c r="L640" s="3" t="str">
        <f t="shared" si="9"/>
        <v>95-100</v>
      </c>
      <c r="M640" s="1" t="s">
        <v>21</v>
      </c>
    </row>
    <row r="641" spans="1:13" x14ac:dyDescent="0.35">
      <c r="A641">
        <v>638</v>
      </c>
      <c r="B641" s="1" t="s">
        <v>17</v>
      </c>
      <c r="C641" s="2">
        <v>6.7</v>
      </c>
      <c r="D641" s="3">
        <v>71.900000000000006</v>
      </c>
      <c r="E641" s="2">
        <v>8.1999999999999993</v>
      </c>
      <c r="F641" s="1" t="s">
        <v>24</v>
      </c>
      <c r="G641" s="1" t="s">
        <v>19</v>
      </c>
      <c r="H641" s="1" t="s">
        <v>20</v>
      </c>
      <c r="I641" s="1" t="s">
        <v>20</v>
      </c>
      <c r="J641" s="2">
        <v>68.599999999999994</v>
      </c>
      <c r="K641" s="3">
        <v>100</v>
      </c>
      <c r="L641" s="3" t="str">
        <f t="shared" si="9"/>
        <v>95-100</v>
      </c>
      <c r="M641" s="1" t="s">
        <v>21</v>
      </c>
    </row>
    <row r="642" spans="1:13" x14ac:dyDescent="0.35">
      <c r="A642">
        <v>639</v>
      </c>
      <c r="B642" s="1" t="s">
        <v>23</v>
      </c>
      <c r="C642" s="2">
        <v>6.1</v>
      </c>
      <c r="D642" s="3">
        <v>54.8</v>
      </c>
      <c r="E642" s="2">
        <v>4.5999999999999996</v>
      </c>
      <c r="F642" s="1" t="s">
        <v>33</v>
      </c>
      <c r="G642" s="1" t="s">
        <v>19</v>
      </c>
      <c r="H642" s="1" t="s">
        <v>20</v>
      </c>
      <c r="I642" s="1" t="s">
        <v>20</v>
      </c>
      <c r="J642" s="2">
        <v>83</v>
      </c>
      <c r="K642" s="3">
        <v>84</v>
      </c>
      <c r="L642" s="3" t="str">
        <f t="shared" si="9"/>
        <v>80-84</v>
      </c>
      <c r="M642" s="1" t="s">
        <v>28</v>
      </c>
    </row>
    <row r="643" spans="1:13" x14ac:dyDescent="0.35">
      <c r="A643">
        <v>640</v>
      </c>
      <c r="B643" s="1" t="s">
        <v>23</v>
      </c>
      <c r="C643" s="2">
        <v>4.2</v>
      </c>
      <c r="D643" s="3">
        <v>86.8</v>
      </c>
      <c r="E643" s="2">
        <v>6.3</v>
      </c>
      <c r="F643" s="1" t="s">
        <v>27</v>
      </c>
      <c r="G643" s="1" t="s">
        <v>20</v>
      </c>
      <c r="H643" s="1" t="s">
        <v>20</v>
      </c>
      <c r="I643" s="1" t="s">
        <v>19</v>
      </c>
      <c r="J643" s="2">
        <v>70.5</v>
      </c>
      <c r="K643" s="3">
        <v>79</v>
      </c>
      <c r="L643" s="3" t="str">
        <f t="shared" si="9"/>
        <v>75-79</v>
      </c>
      <c r="M643" s="1" t="s">
        <v>32</v>
      </c>
    </row>
    <row r="644" spans="1:13" x14ac:dyDescent="0.35">
      <c r="A644">
        <v>641</v>
      </c>
      <c r="B644" s="1" t="s">
        <v>23</v>
      </c>
      <c r="C644" s="2">
        <v>3.6</v>
      </c>
      <c r="D644" s="3">
        <v>100</v>
      </c>
      <c r="E644" s="2">
        <v>7</v>
      </c>
      <c r="F644" s="1" t="s">
        <v>18</v>
      </c>
      <c r="G644" s="1" t="s">
        <v>19</v>
      </c>
      <c r="H644" s="1" t="s">
        <v>19</v>
      </c>
      <c r="I644" s="1" t="s">
        <v>20</v>
      </c>
      <c r="J644" s="2">
        <v>64.2</v>
      </c>
      <c r="K644" s="3">
        <v>86</v>
      </c>
      <c r="L644" s="3" t="str">
        <f t="shared" si="9"/>
        <v>85-89</v>
      </c>
      <c r="M644" s="1" t="s">
        <v>28</v>
      </c>
    </row>
    <row r="645" spans="1:13" x14ac:dyDescent="0.35">
      <c r="A645">
        <v>642</v>
      </c>
      <c r="B645" s="1" t="s">
        <v>23</v>
      </c>
      <c r="C645" s="2">
        <v>3.7</v>
      </c>
      <c r="D645" s="3">
        <v>97.4</v>
      </c>
      <c r="E645" s="2">
        <v>7.3</v>
      </c>
      <c r="F645" s="1" t="s">
        <v>24</v>
      </c>
      <c r="G645" s="1" t="s">
        <v>19</v>
      </c>
      <c r="H645" s="1" t="s">
        <v>19</v>
      </c>
      <c r="I645" s="1" t="s">
        <v>20</v>
      </c>
      <c r="J645" s="2">
        <v>67</v>
      </c>
      <c r="K645" s="3">
        <v>98</v>
      </c>
      <c r="L645" s="3" t="str">
        <f t="shared" ref="L645:L708" si="10">IF(K645&gt;=95,"95-100",IF(K645&gt;=90,"90-94",IF(K645&gt;=85,"85-89",IF(K645&gt;=80,"80-84",IF(K645&gt;=75,"75-79",IF(K645&gt;=70,"70-74",IF(K645&gt;=65,"65-69",IF(K645&gt;=60,"60-64",IF(K645&gt;=55,"55-59","Below 55")))))))))</f>
        <v>95-100</v>
      </c>
      <c r="M645" s="1" t="s">
        <v>21</v>
      </c>
    </row>
    <row r="646" spans="1:13" x14ac:dyDescent="0.35">
      <c r="A646">
        <v>643</v>
      </c>
      <c r="B646" s="1" t="s">
        <v>23</v>
      </c>
      <c r="C646" s="2">
        <v>4.4000000000000004</v>
      </c>
      <c r="D646" s="3">
        <v>87.1</v>
      </c>
      <c r="E646" s="2">
        <v>6.2</v>
      </c>
      <c r="F646" s="1" t="s">
        <v>27</v>
      </c>
      <c r="G646" s="1" t="s">
        <v>19</v>
      </c>
      <c r="H646" s="1" t="s">
        <v>19</v>
      </c>
      <c r="I646" s="1" t="s">
        <v>20</v>
      </c>
      <c r="J646" s="2">
        <v>68</v>
      </c>
      <c r="K646" s="3">
        <v>91</v>
      </c>
      <c r="L646" s="3" t="str">
        <f t="shared" si="10"/>
        <v>90-94</v>
      </c>
      <c r="M646" s="1" t="s">
        <v>21</v>
      </c>
    </row>
    <row r="647" spans="1:13" x14ac:dyDescent="0.35">
      <c r="A647">
        <v>644</v>
      </c>
      <c r="B647" s="1" t="s">
        <v>17</v>
      </c>
      <c r="C647" s="2">
        <v>2</v>
      </c>
      <c r="D647" s="3">
        <v>80.099999999999994</v>
      </c>
      <c r="E647" s="2">
        <v>6.8</v>
      </c>
      <c r="F647" s="1" t="s">
        <v>18</v>
      </c>
      <c r="G647" s="1" t="s">
        <v>20</v>
      </c>
      <c r="H647" s="1" t="s">
        <v>19</v>
      </c>
      <c r="I647" s="1" t="s">
        <v>20</v>
      </c>
      <c r="J647" s="2">
        <v>77.2</v>
      </c>
      <c r="K647" s="3">
        <v>70</v>
      </c>
      <c r="L647" s="3" t="str">
        <f t="shared" si="10"/>
        <v>70-74</v>
      </c>
      <c r="M647" s="1" t="s">
        <v>32</v>
      </c>
    </row>
    <row r="648" spans="1:13" x14ac:dyDescent="0.35">
      <c r="A648">
        <v>645</v>
      </c>
      <c r="B648" s="1" t="s">
        <v>23</v>
      </c>
      <c r="C648" s="2">
        <v>3.1</v>
      </c>
      <c r="D648" s="3">
        <v>93.1</v>
      </c>
      <c r="E648" s="2">
        <v>3.8</v>
      </c>
      <c r="F648" s="1" t="s">
        <v>18</v>
      </c>
      <c r="G648" s="1" t="s">
        <v>19</v>
      </c>
      <c r="H648" s="1" t="s">
        <v>20</v>
      </c>
      <c r="I648" s="1" t="s">
        <v>19</v>
      </c>
      <c r="J648" s="2">
        <v>86.5</v>
      </c>
      <c r="K648" s="3">
        <v>83</v>
      </c>
      <c r="L648" s="3" t="str">
        <f t="shared" si="10"/>
        <v>80-84</v>
      </c>
      <c r="M648" s="1" t="s">
        <v>28</v>
      </c>
    </row>
    <row r="649" spans="1:13" x14ac:dyDescent="0.35">
      <c r="A649">
        <v>646</v>
      </c>
      <c r="B649" s="1" t="s">
        <v>17</v>
      </c>
      <c r="C649" s="2">
        <v>1</v>
      </c>
      <c r="D649" s="3">
        <v>75.3</v>
      </c>
      <c r="E649" s="2">
        <v>6</v>
      </c>
      <c r="F649" s="1" t="s">
        <v>18</v>
      </c>
      <c r="G649" s="1" t="s">
        <v>19</v>
      </c>
      <c r="H649" s="1" t="s">
        <v>19</v>
      </c>
      <c r="I649" s="1" t="s">
        <v>19</v>
      </c>
      <c r="J649" s="2">
        <v>74.3</v>
      </c>
      <c r="K649" s="3">
        <v>76</v>
      </c>
      <c r="L649" s="3" t="str">
        <f t="shared" si="10"/>
        <v>75-79</v>
      </c>
      <c r="M649" s="1" t="s">
        <v>32</v>
      </c>
    </row>
    <row r="650" spans="1:13" x14ac:dyDescent="0.35">
      <c r="A650">
        <v>647</v>
      </c>
      <c r="B650" s="1" t="s">
        <v>17</v>
      </c>
      <c r="C650" s="2">
        <v>4.0999999999999996</v>
      </c>
      <c r="D650" s="3">
        <v>89.8</v>
      </c>
      <c r="E650" s="2">
        <v>7.3</v>
      </c>
      <c r="F650" s="1" t="s">
        <v>27</v>
      </c>
      <c r="G650" s="1" t="s">
        <v>19</v>
      </c>
      <c r="H650" s="1" t="s">
        <v>19</v>
      </c>
      <c r="I650" s="1" t="s">
        <v>20</v>
      </c>
      <c r="J650" s="2">
        <v>84.2</v>
      </c>
      <c r="K650" s="3">
        <v>100</v>
      </c>
      <c r="L650" s="3" t="str">
        <f t="shared" si="10"/>
        <v>95-100</v>
      </c>
      <c r="M650" s="1" t="s">
        <v>21</v>
      </c>
    </row>
    <row r="651" spans="1:13" x14ac:dyDescent="0.35">
      <c r="A651">
        <v>648</v>
      </c>
      <c r="B651" s="1" t="s">
        <v>17</v>
      </c>
      <c r="C651" s="2">
        <v>4.5</v>
      </c>
      <c r="D651" s="3">
        <v>90.1</v>
      </c>
      <c r="E651" s="2">
        <v>5.6</v>
      </c>
      <c r="F651" s="1" t="s">
        <v>18</v>
      </c>
      <c r="G651" s="1" t="s">
        <v>19</v>
      </c>
      <c r="H651" s="1" t="s">
        <v>20</v>
      </c>
      <c r="I651" s="1" t="s">
        <v>20</v>
      </c>
      <c r="J651" s="2">
        <v>58.4</v>
      </c>
      <c r="K651" s="3">
        <v>94</v>
      </c>
      <c r="L651" s="3" t="str">
        <f t="shared" si="10"/>
        <v>90-94</v>
      </c>
      <c r="M651" s="1" t="s">
        <v>21</v>
      </c>
    </row>
    <row r="652" spans="1:13" x14ac:dyDescent="0.35">
      <c r="A652">
        <v>649</v>
      </c>
      <c r="B652" s="1" t="s">
        <v>23</v>
      </c>
      <c r="C652" s="2">
        <v>2.8</v>
      </c>
      <c r="D652" s="3">
        <v>95.6</v>
      </c>
      <c r="E652" s="2">
        <v>6.9</v>
      </c>
      <c r="F652" s="1" t="s">
        <v>33</v>
      </c>
      <c r="G652" s="1" t="s">
        <v>19</v>
      </c>
      <c r="H652" s="1" t="s">
        <v>19</v>
      </c>
      <c r="I652" s="1" t="s">
        <v>20</v>
      </c>
      <c r="J652" s="2">
        <v>65</v>
      </c>
      <c r="K652" s="3">
        <v>89</v>
      </c>
      <c r="L652" s="3" t="str">
        <f t="shared" si="10"/>
        <v>85-89</v>
      </c>
      <c r="M652" s="1" t="s">
        <v>28</v>
      </c>
    </row>
    <row r="653" spans="1:13" x14ac:dyDescent="0.35">
      <c r="A653">
        <v>650</v>
      </c>
      <c r="B653" s="1" t="s">
        <v>17</v>
      </c>
      <c r="C653" s="2">
        <v>5.9</v>
      </c>
      <c r="D653" s="3">
        <v>100</v>
      </c>
      <c r="E653" s="2">
        <v>7.3</v>
      </c>
      <c r="F653" s="1" t="s">
        <v>33</v>
      </c>
      <c r="G653" s="1" t="s">
        <v>19</v>
      </c>
      <c r="H653" s="1" t="s">
        <v>19</v>
      </c>
      <c r="I653" s="1" t="s">
        <v>20</v>
      </c>
      <c r="J653" s="2">
        <v>61.3</v>
      </c>
      <c r="K653" s="3">
        <v>97</v>
      </c>
      <c r="L653" s="3" t="str">
        <f t="shared" si="10"/>
        <v>95-100</v>
      </c>
      <c r="M653" s="1" t="s">
        <v>21</v>
      </c>
    </row>
    <row r="654" spans="1:13" x14ac:dyDescent="0.35">
      <c r="A654">
        <v>651</v>
      </c>
      <c r="B654" s="1" t="s">
        <v>17</v>
      </c>
      <c r="C654" s="2">
        <v>1.7</v>
      </c>
      <c r="D654" s="3">
        <v>88.9</v>
      </c>
      <c r="E654" s="2">
        <v>6.4</v>
      </c>
      <c r="F654" s="1" t="s">
        <v>24</v>
      </c>
      <c r="G654" s="1" t="s">
        <v>19</v>
      </c>
      <c r="H654" s="1" t="s">
        <v>20</v>
      </c>
      <c r="I654" s="1" t="s">
        <v>20</v>
      </c>
      <c r="J654" s="2">
        <v>73.8</v>
      </c>
      <c r="K654" s="3">
        <v>60</v>
      </c>
      <c r="L654" s="3" t="str">
        <f t="shared" si="10"/>
        <v>60-64</v>
      </c>
      <c r="M654" s="1" t="s">
        <v>35</v>
      </c>
    </row>
    <row r="655" spans="1:13" x14ac:dyDescent="0.35">
      <c r="A655">
        <v>652</v>
      </c>
      <c r="B655" s="1" t="s">
        <v>23</v>
      </c>
      <c r="C655" s="2">
        <v>1.3</v>
      </c>
      <c r="D655" s="3">
        <v>79.900000000000006</v>
      </c>
      <c r="E655" s="2">
        <v>7</v>
      </c>
      <c r="F655" s="1" t="s">
        <v>18</v>
      </c>
      <c r="G655" s="1" t="s">
        <v>19</v>
      </c>
      <c r="H655" s="1" t="s">
        <v>20</v>
      </c>
      <c r="I655" s="1" t="s">
        <v>20</v>
      </c>
      <c r="J655" s="2">
        <v>65.7</v>
      </c>
      <c r="K655" s="3">
        <v>73</v>
      </c>
      <c r="L655" s="3" t="str">
        <f t="shared" si="10"/>
        <v>70-74</v>
      </c>
      <c r="M655" s="1" t="s">
        <v>32</v>
      </c>
    </row>
    <row r="656" spans="1:13" x14ac:dyDescent="0.35">
      <c r="A656">
        <v>653</v>
      </c>
      <c r="B656" s="1" t="s">
        <v>17</v>
      </c>
      <c r="C656" s="2">
        <v>3.8</v>
      </c>
      <c r="D656" s="3">
        <v>84.7</v>
      </c>
      <c r="E656" s="2">
        <v>5.6</v>
      </c>
      <c r="F656" s="1" t="s">
        <v>33</v>
      </c>
      <c r="G656" s="1" t="s">
        <v>19</v>
      </c>
      <c r="H656" s="1" t="s">
        <v>20</v>
      </c>
      <c r="I656" s="1" t="s">
        <v>20</v>
      </c>
      <c r="J656" s="2">
        <v>78.8</v>
      </c>
      <c r="K656" s="3">
        <v>88</v>
      </c>
      <c r="L656" s="3" t="str">
        <f t="shared" si="10"/>
        <v>85-89</v>
      </c>
      <c r="M656" s="1" t="s">
        <v>28</v>
      </c>
    </row>
    <row r="657" spans="1:13" x14ac:dyDescent="0.35">
      <c r="A657">
        <v>654</v>
      </c>
      <c r="B657" s="1" t="s">
        <v>17</v>
      </c>
      <c r="C657" s="2">
        <v>5.0999999999999996</v>
      </c>
      <c r="D657" s="3">
        <v>67.3</v>
      </c>
      <c r="E657" s="2">
        <v>6.6</v>
      </c>
      <c r="F657" s="1" t="s">
        <v>18</v>
      </c>
      <c r="G657" s="1" t="s">
        <v>20</v>
      </c>
      <c r="H657" s="1" t="s">
        <v>19</v>
      </c>
      <c r="I657" s="1" t="s">
        <v>19</v>
      </c>
      <c r="J657" s="2">
        <v>58.8</v>
      </c>
      <c r="K657" s="3">
        <v>75</v>
      </c>
      <c r="L657" s="3" t="str">
        <f t="shared" si="10"/>
        <v>75-79</v>
      </c>
      <c r="M657" s="1" t="s">
        <v>32</v>
      </c>
    </row>
    <row r="658" spans="1:13" x14ac:dyDescent="0.35">
      <c r="A658">
        <v>655</v>
      </c>
      <c r="B658" s="1" t="s">
        <v>23</v>
      </c>
      <c r="C658" s="2">
        <v>6</v>
      </c>
      <c r="D658" s="3">
        <v>78.099999999999994</v>
      </c>
      <c r="E658" s="2">
        <v>7.5</v>
      </c>
      <c r="F658" s="1" t="s">
        <v>33</v>
      </c>
      <c r="G658" s="1" t="s">
        <v>20</v>
      </c>
      <c r="H658" s="1" t="s">
        <v>20</v>
      </c>
      <c r="I658" s="1" t="s">
        <v>20</v>
      </c>
      <c r="J658" s="2">
        <v>70.5</v>
      </c>
      <c r="K658" s="3">
        <v>90</v>
      </c>
      <c r="L658" s="3" t="str">
        <f t="shared" si="10"/>
        <v>90-94</v>
      </c>
      <c r="M658" s="1" t="s">
        <v>28</v>
      </c>
    </row>
    <row r="659" spans="1:13" x14ac:dyDescent="0.35">
      <c r="A659">
        <v>656</v>
      </c>
      <c r="B659" s="1" t="s">
        <v>17</v>
      </c>
      <c r="C659" s="2">
        <v>2.8</v>
      </c>
      <c r="D659" s="3">
        <v>80.900000000000006</v>
      </c>
      <c r="E659" s="2">
        <v>7</v>
      </c>
      <c r="F659" s="1" t="s">
        <v>27</v>
      </c>
      <c r="G659" s="1" t="s">
        <v>19</v>
      </c>
      <c r="H659" s="1" t="s">
        <v>20</v>
      </c>
      <c r="I659" s="1" t="s">
        <v>19</v>
      </c>
      <c r="J659" s="2">
        <v>78.2</v>
      </c>
      <c r="K659" s="3">
        <v>73</v>
      </c>
      <c r="L659" s="3" t="str">
        <f t="shared" si="10"/>
        <v>70-74</v>
      </c>
      <c r="M659" s="1" t="s">
        <v>32</v>
      </c>
    </row>
    <row r="660" spans="1:13" x14ac:dyDescent="0.35">
      <c r="A660">
        <v>657</v>
      </c>
      <c r="B660" s="1" t="s">
        <v>17</v>
      </c>
      <c r="C660" s="2">
        <v>5.0999999999999996</v>
      </c>
      <c r="D660" s="3">
        <v>79.8</v>
      </c>
      <c r="E660" s="2">
        <v>6.1</v>
      </c>
      <c r="F660" s="1" t="s">
        <v>18</v>
      </c>
      <c r="G660" s="1" t="s">
        <v>19</v>
      </c>
      <c r="H660" s="1" t="s">
        <v>19</v>
      </c>
      <c r="I660" s="1" t="s">
        <v>20</v>
      </c>
      <c r="J660" s="2">
        <v>45.2</v>
      </c>
      <c r="K660" s="3">
        <v>84</v>
      </c>
      <c r="L660" s="3" t="str">
        <f t="shared" si="10"/>
        <v>80-84</v>
      </c>
      <c r="M660" s="1" t="s">
        <v>28</v>
      </c>
    </row>
    <row r="661" spans="1:13" x14ac:dyDescent="0.35">
      <c r="A661">
        <v>658</v>
      </c>
      <c r="B661" s="1" t="s">
        <v>17</v>
      </c>
      <c r="C661" s="2">
        <v>3.4</v>
      </c>
      <c r="D661" s="3">
        <v>86.5</v>
      </c>
      <c r="E661" s="2">
        <v>7.1</v>
      </c>
      <c r="F661" s="1" t="s">
        <v>33</v>
      </c>
      <c r="G661" s="1" t="s">
        <v>19</v>
      </c>
      <c r="H661" s="1" t="s">
        <v>19</v>
      </c>
      <c r="I661" s="1" t="s">
        <v>20</v>
      </c>
      <c r="J661" s="2">
        <v>95.5</v>
      </c>
      <c r="K661" s="3">
        <v>100</v>
      </c>
      <c r="L661" s="3" t="str">
        <f t="shared" si="10"/>
        <v>95-100</v>
      </c>
      <c r="M661" s="1" t="s">
        <v>21</v>
      </c>
    </row>
    <row r="662" spans="1:13" x14ac:dyDescent="0.35">
      <c r="A662">
        <v>659</v>
      </c>
      <c r="B662" s="1" t="s">
        <v>23</v>
      </c>
      <c r="C662" s="2">
        <v>3.2</v>
      </c>
      <c r="D662" s="3">
        <v>76.8</v>
      </c>
      <c r="E662" s="2">
        <v>7.7</v>
      </c>
      <c r="F662" s="1" t="s">
        <v>33</v>
      </c>
      <c r="G662" s="1" t="s">
        <v>19</v>
      </c>
      <c r="H662" s="1" t="s">
        <v>20</v>
      </c>
      <c r="I662" s="1" t="s">
        <v>20</v>
      </c>
      <c r="J662" s="2">
        <v>66.599999999999994</v>
      </c>
      <c r="K662" s="3">
        <v>84</v>
      </c>
      <c r="L662" s="3" t="str">
        <f t="shared" si="10"/>
        <v>80-84</v>
      </c>
      <c r="M662" s="1" t="s">
        <v>28</v>
      </c>
    </row>
    <row r="663" spans="1:13" x14ac:dyDescent="0.35">
      <c r="A663">
        <v>660</v>
      </c>
      <c r="B663" s="1" t="s">
        <v>23</v>
      </c>
      <c r="C663" s="2">
        <v>4.8</v>
      </c>
      <c r="D663" s="3">
        <v>96.2</v>
      </c>
      <c r="E663" s="2">
        <v>4.3</v>
      </c>
      <c r="F663" s="1" t="s">
        <v>33</v>
      </c>
      <c r="G663" s="1" t="s">
        <v>19</v>
      </c>
      <c r="H663" s="1" t="s">
        <v>19</v>
      </c>
      <c r="I663" s="1" t="s">
        <v>19</v>
      </c>
      <c r="J663" s="2">
        <v>45.7</v>
      </c>
      <c r="K663" s="3">
        <v>85</v>
      </c>
      <c r="L663" s="3" t="str">
        <f t="shared" si="10"/>
        <v>85-89</v>
      </c>
      <c r="M663" s="1" t="s">
        <v>28</v>
      </c>
    </row>
    <row r="664" spans="1:13" x14ac:dyDescent="0.35">
      <c r="A664">
        <v>661</v>
      </c>
      <c r="B664" s="1" t="s">
        <v>23</v>
      </c>
      <c r="C664" s="2">
        <v>4.5</v>
      </c>
      <c r="D664" s="3">
        <v>85</v>
      </c>
      <c r="E664" s="2">
        <v>8.1999999999999993</v>
      </c>
      <c r="F664" s="1" t="s">
        <v>18</v>
      </c>
      <c r="G664" s="1" t="s">
        <v>19</v>
      </c>
      <c r="H664" s="1" t="s">
        <v>20</v>
      </c>
      <c r="I664" s="1" t="s">
        <v>20</v>
      </c>
      <c r="J664" s="2">
        <v>71.900000000000006</v>
      </c>
      <c r="K664" s="3">
        <v>95</v>
      </c>
      <c r="L664" s="3" t="str">
        <f t="shared" si="10"/>
        <v>95-100</v>
      </c>
      <c r="M664" s="1" t="s">
        <v>21</v>
      </c>
    </row>
    <row r="665" spans="1:13" x14ac:dyDescent="0.35">
      <c r="A665">
        <v>662</v>
      </c>
      <c r="B665" s="1" t="s">
        <v>17</v>
      </c>
      <c r="C665" s="2">
        <v>1.1000000000000001</v>
      </c>
      <c r="D665" s="3">
        <v>84.9</v>
      </c>
      <c r="E665" s="2">
        <v>6.4</v>
      </c>
      <c r="F665" s="1" t="s">
        <v>24</v>
      </c>
      <c r="G665" s="1" t="s">
        <v>19</v>
      </c>
      <c r="H665" s="1" t="s">
        <v>19</v>
      </c>
      <c r="I665" s="1" t="s">
        <v>19</v>
      </c>
      <c r="J665" s="2">
        <v>70.400000000000006</v>
      </c>
      <c r="K665" s="3">
        <v>69</v>
      </c>
      <c r="L665" s="3" t="str">
        <f t="shared" si="10"/>
        <v>65-69</v>
      </c>
      <c r="M665" s="1" t="s">
        <v>30</v>
      </c>
    </row>
    <row r="666" spans="1:13" x14ac:dyDescent="0.35">
      <c r="A666">
        <v>663</v>
      </c>
      <c r="B666" s="1" t="s">
        <v>17</v>
      </c>
      <c r="C666" s="2">
        <v>5.7</v>
      </c>
      <c r="D666" s="3">
        <v>81.7</v>
      </c>
      <c r="E666" s="2">
        <v>7.3</v>
      </c>
      <c r="F666" s="1" t="s">
        <v>18</v>
      </c>
      <c r="G666" s="1" t="s">
        <v>19</v>
      </c>
      <c r="H666" s="1" t="s">
        <v>19</v>
      </c>
      <c r="I666" s="1" t="s">
        <v>20</v>
      </c>
      <c r="J666" s="2">
        <v>69</v>
      </c>
      <c r="K666" s="3">
        <v>94</v>
      </c>
      <c r="L666" s="3" t="str">
        <f t="shared" si="10"/>
        <v>90-94</v>
      </c>
      <c r="M666" s="1" t="s">
        <v>21</v>
      </c>
    </row>
    <row r="667" spans="1:13" x14ac:dyDescent="0.35">
      <c r="A667">
        <v>664</v>
      </c>
      <c r="B667" s="1" t="s">
        <v>23</v>
      </c>
      <c r="C667" s="2">
        <v>5.6</v>
      </c>
      <c r="D667" s="3">
        <v>86.6</v>
      </c>
      <c r="E667" s="2">
        <v>8.1999999999999993</v>
      </c>
      <c r="F667" s="1" t="s">
        <v>33</v>
      </c>
      <c r="G667" s="1" t="s">
        <v>19</v>
      </c>
      <c r="H667" s="1" t="s">
        <v>19</v>
      </c>
      <c r="I667" s="1" t="s">
        <v>19</v>
      </c>
      <c r="J667" s="2">
        <v>81.900000000000006</v>
      </c>
      <c r="K667" s="3">
        <v>100</v>
      </c>
      <c r="L667" s="3" t="str">
        <f t="shared" si="10"/>
        <v>95-100</v>
      </c>
      <c r="M667" s="1" t="s">
        <v>21</v>
      </c>
    </row>
    <row r="668" spans="1:13" x14ac:dyDescent="0.35">
      <c r="A668">
        <v>665</v>
      </c>
      <c r="B668" s="1" t="s">
        <v>17</v>
      </c>
      <c r="C668" s="2">
        <v>2.6</v>
      </c>
      <c r="D668" s="3">
        <v>93.3</v>
      </c>
      <c r="E668" s="2">
        <v>5.2</v>
      </c>
      <c r="F668" s="1" t="s">
        <v>18</v>
      </c>
      <c r="G668" s="1" t="s">
        <v>19</v>
      </c>
      <c r="H668" s="1" t="s">
        <v>20</v>
      </c>
      <c r="I668" s="1" t="s">
        <v>20</v>
      </c>
      <c r="J668" s="2">
        <v>79</v>
      </c>
      <c r="K668" s="3">
        <v>86</v>
      </c>
      <c r="L668" s="3" t="str">
        <f t="shared" si="10"/>
        <v>85-89</v>
      </c>
      <c r="M668" s="1" t="s">
        <v>28</v>
      </c>
    </row>
    <row r="669" spans="1:13" x14ac:dyDescent="0.35">
      <c r="A669">
        <v>666</v>
      </c>
      <c r="B669" s="1" t="s">
        <v>17</v>
      </c>
      <c r="C669" s="2">
        <v>4.0999999999999996</v>
      </c>
      <c r="D669" s="3">
        <v>76.3</v>
      </c>
      <c r="E669" s="2">
        <v>5.9</v>
      </c>
      <c r="F669" s="1" t="s">
        <v>33</v>
      </c>
      <c r="G669" s="1" t="s">
        <v>19</v>
      </c>
      <c r="H669" s="1" t="s">
        <v>19</v>
      </c>
      <c r="I669" s="1" t="s">
        <v>20</v>
      </c>
      <c r="J669" s="2">
        <v>73.599999999999994</v>
      </c>
      <c r="K669" s="3">
        <v>92</v>
      </c>
      <c r="L669" s="3" t="str">
        <f t="shared" si="10"/>
        <v>90-94</v>
      </c>
      <c r="M669" s="1" t="s">
        <v>21</v>
      </c>
    </row>
    <row r="670" spans="1:13" x14ac:dyDescent="0.35">
      <c r="A670">
        <v>667</v>
      </c>
      <c r="B670" s="1" t="s">
        <v>23</v>
      </c>
      <c r="C670" s="2">
        <v>4.2</v>
      </c>
      <c r="D670" s="3">
        <v>78.400000000000006</v>
      </c>
      <c r="E670" s="2">
        <v>6.5</v>
      </c>
      <c r="F670" s="1" t="s">
        <v>18</v>
      </c>
      <c r="G670" s="1" t="s">
        <v>19</v>
      </c>
      <c r="H670" s="1" t="s">
        <v>19</v>
      </c>
      <c r="I670" s="1" t="s">
        <v>20</v>
      </c>
      <c r="J670" s="2">
        <v>75.400000000000006</v>
      </c>
      <c r="K670" s="3">
        <v>92</v>
      </c>
      <c r="L670" s="3" t="str">
        <f t="shared" si="10"/>
        <v>90-94</v>
      </c>
      <c r="M670" s="1" t="s">
        <v>21</v>
      </c>
    </row>
    <row r="671" spans="1:13" x14ac:dyDescent="0.35">
      <c r="A671">
        <v>668</v>
      </c>
      <c r="B671" s="1" t="s">
        <v>23</v>
      </c>
      <c r="C671" s="2">
        <v>3.9</v>
      </c>
      <c r="D671" s="3">
        <v>82</v>
      </c>
      <c r="E671" s="2">
        <v>5.9</v>
      </c>
      <c r="F671" s="1" t="s">
        <v>18</v>
      </c>
      <c r="G671" s="1" t="s">
        <v>19</v>
      </c>
      <c r="H671" s="1" t="s">
        <v>20</v>
      </c>
      <c r="I671" s="1" t="s">
        <v>20</v>
      </c>
      <c r="J671" s="2">
        <v>68.7</v>
      </c>
      <c r="K671" s="3">
        <v>96</v>
      </c>
      <c r="L671" s="3" t="str">
        <f t="shared" si="10"/>
        <v>95-100</v>
      </c>
      <c r="M671" s="1" t="s">
        <v>21</v>
      </c>
    </row>
    <row r="672" spans="1:13" x14ac:dyDescent="0.35">
      <c r="A672">
        <v>669</v>
      </c>
      <c r="B672" s="1" t="s">
        <v>17</v>
      </c>
      <c r="C672" s="2">
        <v>2.7</v>
      </c>
      <c r="D672" s="3">
        <v>71.5</v>
      </c>
      <c r="E672" s="2">
        <v>8.9</v>
      </c>
      <c r="F672" s="1" t="s">
        <v>24</v>
      </c>
      <c r="G672" s="1" t="s">
        <v>19</v>
      </c>
      <c r="H672" s="1" t="s">
        <v>20</v>
      </c>
      <c r="I672" s="1" t="s">
        <v>19</v>
      </c>
      <c r="J672" s="2">
        <v>91.3</v>
      </c>
      <c r="K672" s="3">
        <v>98</v>
      </c>
      <c r="L672" s="3" t="str">
        <f t="shared" si="10"/>
        <v>95-100</v>
      </c>
      <c r="M672" s="1" t="s">
        <v>21</v>
      </c>
    </row>
    <row r="673" spans="1:13" x14ac:dyDescent="0.35">
      <c r="A673">
        <v>670</v>
      </c>
      <c r="B673" s="1" t="s">
        <v>17</v>
      </c>
      <c r="C673" s="2">
        <v>2.5</v>
      </c>
      <c r="D673" s="3">
        <v>76.8</v>
      </c>
      <c r="E673" s="2">
        <v>5.8</v>
      </c>
      <c r="F673" s="1" t="s">
        <v>33</v>
      </c>
      <c r="G673" s="1" t="s">
        <v>19</v>
      </c>
      <c r="H673" s="1" t="s">
        <v>20</v>
      </c>
      <c r="I673" s="1" t="s">
        <v>19</v>
      </c>
      <c r="J673" s="2">
        <v>52.2</v>
      </c>
      <c r="K673" s="3">
        <v>66</v>
      </c>
      <c r="L673" s="3" t="str">
        <f t="shared" si="10"/>
        <v>65-69</v>
      </c>
      <c r="M673" s="1" t="s">
        <v>30</v>
      </c>
    </row>
    <row r="674" spans="1:13" x14ac:dyDescent="0.35">
      <c r="A674">
        <v>671</v>
      </c>
      <c r="B674" s="1" t="s">
        <v>17</v>
      </c>
      <c r="C674" s="2">
        <v>3.5</v>
      </c>
      <c r="D674" s="3">
        <v>80.2</v>
      </c>
      <c r="E674" s="2">
        <v>6.1</v>
      </c>
      <c r="F674" s="1" t="s">
        <v>18</v>
      </c>
      <c r="G674" s="1" t="s">
        <v>19</v>
      </c>
      <c r="H674" s="1" t="s">
        <v>19</v>
      </c>
      <c r="I674" s="1" t="s">
        <v>20</v>
      </c>
      <c r="J674" s="2">
        <v>71.7</v>
      </c>
      <c r="K674" s="3">
        <v>61</v>
      </c>
      <c r="L674" s="3" t="str">
        <f t="shared" si="10"/>
        <v>60-64</v>
      </c>
      <c r="M674" s="1" t="s">
        <v>30</v>
      </c>
    </row>
    <row r="675" spans="1:13" x14ac:dyDescent="0.35">
      <c r="A675">
        <v>672</v>
      </c>
      <c r="B675" s="1" t="s">
        <v>23</v>
      </c>
      <c r="C675" s="2">
        <v>5.3</v>
      </c>
      <c r="D675" s="3">
        <v>93.7</v>
      </c>
      <c r="E675" s="2">
        <v>7</v>
      </c>
      <c r="F675" s="1" t="s">
        <v>24</v>
      </c>
      <c r="G675" s="1" t="s">
        <v>20</v>
      </c>
      <c r="H675" s="1" t="s">
        <v>19</v>
      </c>
      <c r="I675" s="1" t="s">
        <v>20</v>
      </c>
      <c r="J675" s="2">
        <v>70.8</v>
      </c>
      <c r="K675" s="3">
        <v>100</v>
      </c>
      <c r="L675" s="3" t="str">
        <f t="shared" si="10"/>
        <v>95-100</v>
      </c>
      <c r="M675" s="1" t="s">
        <v>21</v>
      </c>
    </row>
    <row r="676" spans="1:13" x14ac:dyDescent="0.35">
      <c r="A676">
        <v>673</v>
      </c>
      <c r="B676" s="1" t="s">
        <v>23</v>
      </c>
      <c r="C676" s="2">
        <v>4.3</v>
      </c>
      <c r="D676" s="3">
        <v>87.6</v>
      </c>
      <c r="E676" s="2">
        <v>5.4</v>
      </c>
      <c r="F676" s="1" t="s">
        <v>24</v>
      </c>
      <c r="G676" s="1" t="s">
        <v>19</v>
      </c>
      <c r="H676" s="1" t="s">
        <v>20</v>
      </c>
      <c r="I676" s="1" t="s">
        <v>19</v>
      </c>
      <c r="J676" s="2">
        <v>79.8</v>
      </c>
      <c r="K676" s="3">
        <v>85</v>
      </c>
      <c r="L676" s="3" t="str">
        <f t="shared" si="10"/>
        <v>85-89</v>
      </c>
      <c r="M676" s="1" t="s">
        <v>28</v>
      </c>
    </row>
    <row r="677" spans="1:13" x14ac:dyDescent="0.35">
      <c r="A677">
        <v>674</v>
      </c>
      <c r="B677" s="1" t="s">
        <v>23</v>
      </c>
      <c r="C677" s="2">
        <v>2.9</v>
      </c>
      <c r="D677" s="3">
        <v>86.9</v>
      </c>
      <c r="E677" s="2">
        <v>6.3</v>
      </c>
      <c r="F677" s="1" t="s">
        <v>33</v>
      </c>
      <c r="G677" s="1" t="s">
        <v>19</v>
      </c>
      <c r="H677" s="1" t="s">
        <v>20</v>
      </c>
      <c r="I677" s="1" t="s">
        <v>20</v>
      </c>
      <c r="J677" s="2">
        <v>59.9</v>
      </c>
      <c r="K677" s="3">
        <v>73</v>
      </c>
      <c r="L677" s="3" t="str">
        <f t="shared" si="10"/>
        <v>70-74</v>
      </c>
      <c r="M677" s="1" t="s">
        <v>32</v>
      </c>
    </row>
    <row r="678" spans="1:13" x14ac:dyDescent="0.35">
      <c r="A678">
        <v>675</v>
      </c>
      <c r="B678" s="1" t="s">
        <v>23</v>
      </c>
      <c r="C678" s="2">
        <v>4.7</v>
      </c>
      <c r="D678" s="3">
        <v>93.5</v>
      </c>
      <c r="E678" s="2">
        <v>7.2</v>
      </c>
      <c r="F678" s="1" t="s">
        <v>18</v>
      </c>
      <c r="G678" s="1" t="s">
        <v>19</v>
      </c>
      <c r="H678" s="1" t="s">
        <v>19</v>
      </c>
      <c r="I678" s="1" t="s">
        <v>20</v>
      </c>
      <c r="J678" s="2">
        <v>49.1</v>
      </c>
      <c r="K678" s="3">
        <v>84</v>
      </c>
      <c r="L678" s="3" t="str">
        <f t="shared" si="10"/>
        <v>80-84</v>
      </c>
      <c r="M678" s="1" t="s">
        <v>28</v>
      </c>
    </row>
    <row r="679" spans="1:13" x14ac:dyDescent="0.35">
      <c r="A679">
        <v>676</v>
      </c>
      <c r="B679" s="1" t="s">
        <v>17</v>
      </c>
      <c r="C679" s="2">
        <v>0.5</v>
      </c>
      <c r="D679" s="3">
        <v>83.6</v>
      </c>
      <c r="E679" s="2">
        <v>6.4</v>
      </c>
      <c r="F679" s="1" t="s">
        <v>24</v>
      </c>
      <c r="G679" s="1" t="s">
        <v>20</v>
      </c>
      <c r="H679" s="1" t="s">
        <v>19</v>
      </c>
      <c r="I679" s="1" t="s">
        <v>19</v>
      </c>
      <c r="J679" s="2">
        <v>71.900000000000006</v>
      </c>
      <c r="K679" s="3">
        <v>61</v>
      </c>
      <c r="L679" s="3" t="str">
        <f t="shared" si="10"/>
        <v>60-64</v>
      </c>
      <c r="M679" s="1" t="s">
        <v>30</v>
      </c>
    </row>
    <row r="680" spans="1:13" x14ac:dyDescent="0.35">
      <c r="A680">
        <v>677</v>
      </c>
      <c r="B680" s="1" t="s">
        <v>23</v>
      </c>
      <c r="C680" s="2">
        <v>5.2</v>
      </c>
      <c r="D680" s="3">
        <v>88.9</v>
      </c>
      <c r="E680" s="2">
        <v>6.7</v>
      </c>
      <c r="F680" s="1" t="s">
        <v>27</v>
      </c>
      <c r="G680" s="1" t="s">
        <v>20</v>
      </c>
      <c r="H680" s="1" t="s">
        <v>20</v>
      </c>
      <c r="I680" s="1" t="s">
        <v>19</v>
      </c>
      <c r="J680" s="2">
        <v>73.400000000000006</v>
      </c>
      <c r="K680" s="3">
        <v>91</v>
      </c>
      <c r="L680" s="3" t="str">
        <f t="shared" si="10"/>
        <v>90-94</v>
      </c>
      <c r="M680" s="1" t="s">
        <v>21</v>
      </c>
    </row>
    <row r="681" spans="1:13" x14ac:dyDescent="0.35">
      <c r="A681">
        <v>678</v>
      </c>
      <c r="B681" s="1" t="s">
        <v>23</v>
      </c>
      <c r="C681" s="2">
        <v>0.9</v>
      </c>
      <c r="D681" s="3">
        <v>84</v>
      </c>
      <c r="E681" s="2">
        <v>6.2</v>
      </c>
      <c r="F681" s="1" t="s">
        <v>33</v>
      </c>
      <c r="G681" s="1" t="s">
        <v>19</v>
      </c>
      <c r="H681" s="1" t="s">
        <v>19</v>
      </c>
      <c r="I681" s="1" t="s">
        <v>19</v>
      </c>
      <c r="J681" s="2">
        <v>87.9</v>
      </c>
      <c r="K681" s="3">
        <v>68</v>
      </c>
      <c r="L681" s="3" t="str">
        <f t="shared" si="10"/>
        <v>65-69</v>
      </c>
      <c r="M681" s="1" t="s">
        <v>30</v>
      </c>
    </row>
    <row r="682" spans="1:13" x14ac:dyDescent="0.35">
      <c r="A682">
        <v>679</v>
      </c>
      <c r="B682" s="1" t="s">
        <v>23</v>
      </c>
      <c r="C682" s="2">
        <v>3</v>
      </c>
      <c r="D682" s="3">
        <v>87.7</v>
      </c>
      <c r="E682" s="2">
        <v>5</v>
      </c>
      <c r="F682" s="1" t="s">
        <v>27</v>
      </c>
      <c r="G682" s="1" t="s">
        <v>20</v>
      </c>
      <c r="H682" s="1" t="s">
        <v>20</v>
      </c>
      <c r="I682" s="1" t="s">
        <v>20</v>
      </c>
      <c r="J682" s="2">
        <v>54.8</v>
      </c>
      <c r="K682" s="3">
        <v>64</v>
      </c>
      <c r="L682" s="3" t="str">
        <f t="shared" si="10"/>
        <v>60-64</v>
      </c>
      <c r="M682" s="1" t="s">
        <v>30</v>
      </c>
    </row>
    <row r="683" spans="1:13" x14ac:dyDescent="0.35">
      <c r="A683">
        <v>680</v>
      </c>
      <c r="B683" s="1" t="s">
        <v>23</v>
      </c>
      <c r="C683" s="2">
        <v>1.8</v>
      </c>
      <c r="D683" s="3">
        <v>79.2</v>
      </c>
      <c r="E683" s="2">
        <v>7.2</v>
      </c>
      <c r="F683" s="1" t="s">
        <v>18</v>
      </c>
      <c r="G683" s="1" t="s">
        <v>19</v>
      </c>
      <c r="H683" s="1" t="s">
        <v>19</v>
      </c>
      <c r="I683" s="1" t="s">
        <v>20</v>
      </c>
      <c r="J683" s="2">
        <v>83.9</v>
      </c>
      <c r="K683" s="3">
        <v>84</v>
      </c>
      <c r="L683" s="3" t="str">
        <f t="shared" si="10"/>
        <v>80-84</v>
      </c>
      <c r="M683" s="1" t="s">
        <v>28</v>
      </c>
    </row>
    <row r="684" spans="1:13" x14ac:dyDescent="0.35">
      <c r="A684">
        <v>681</v>
      </c>
      <c r="B684" s="1" t="s">
        <v>23</v>
      </c>
      <c r="C684" s="2">
        <v>1.6</v>
      </c>
      <c r="D684" s="3">
        <v>60.6</v>
      </c>
      <c r="E684" s="2">
        <v>8.9</v>
      </c>
      <c r="F684" s="1" t="s">
        <v>18</v>
      </c>
      <c r="G684" s="1" t="s">
        <v>19</v>
      </c>
      <c r="H684" s="1" t="s">
        <v>19</v>
      </c>
      <c r="I684" s="1" t="s">
        <v>20</v>
      </c>
      <c r="J684" s="2">
        <v>98.4</v>
      </c>
      <c r="K684" s="3">
        <v>86</v>
      </c>
      <c r="L684" s="3" t="str">
        <f t="shared" si="10"/>
        <v>85-89</v>
      </c>
      <c r="M684" s="1" t="s">
        <v>28</v>
      </c>
    </row>
    <row r="685" spans="1:13" x14ac:dyDescent="0.35">
      <c r="A685">
        <v>682</v>
      </c>
      <c r="B685" s="1" t="s">
        <v>17</v>
      </c>
      <c r="C685" s="2">
        <v>5.2</v>
      </c>
      <c r="D685" s="3">
        <v>83.7</v>
      </c>
      <c r="E685" s="2">
        <v>6.8</v>
      </c>
      <c r="F685" s="1" t="s">
        <v>34</v>
      </c>
      <c r="G685" s="1" t="s">
        <v>19</v>
      </c>
      <c r="H685" s="1" t="s">
        <v>20</v>
      </c>
      <c r="I685" s="1" t="s">
        <v>20</v>
      </c>
      <c r="J685" s="2">
        <v>65.5</v>
      </c>
      <c r="K685" s="3">
        <v>94</v>
      </c>
      <c r="L685" s="3" t="str">
        <f t="shared" si="10"/>
        <v>90-94</v>
      </c>
      <c r="M685" s="1" t="s">
        <v>21</v>
      </c>
    </row>
    <row r="686" spans="1:13" x14ac:dyDescent="0.35">
      <c r="A686">
        <v>683</v>
      </c>
      <c r="B686" s="1" t="s">
        <v>17</v>
      </c>
      <c r="C686" s="2">
        <v>2.8</v>
      </c>
      <c r="D686" s="3">
        <v>99.2</v>
      </c>
      <c r="E686" s="2">
        <v>7.1</v>
      </c>
      <c r="F686" s="1" t="s">
        <v>18</v>
      </c>
      <c r="G686" s="1" t="s">
        <v>19</v>
      </c>
      <c r="H686" s="1" t="s">
        <v>19</v>
      </c>
      <c r="I686" s="1" t="s">
        <v>19</v>
      </c>
      <c r="J686" s="2">
        <v>54.5</v>
      </c>
      <c r="K686" s="3">
        <v>74</v>
      </c>
      <c r="L686" s="3" t="str">
        <f t="shared" si="10"/>
        <v>70-74</v>
      </c>
      <c r="M686" s="1" t="s">
        <v>32</v>
      </c>
    </row>
    <row r="687" spans="1:13" x14ac:dyDescent="0.35">
      <c r="A687">
        <v>684</v>
      </c>
      <c r="B687" s="1" t="s">
        <v>23</v>
      </c>
      <c r="C687" s="2">
        <v>4</v>
      </c>
      <c r="D687" s="3">
        <v>94.3</v>
      </c>
      <c r="E687" s="2">
        <v>7.6</v>
      </c>
      <c r="F687" s="1" t="s">
        <v>33</v>
      </c>
      <c r="G687" s="1" t="s">
        <v>20</v>
      </c>
      <c r="H687" s="1" t="s">
        <v>19</v>
      </c>
      <c r="I687" s="1" t="s">
        <v>20</v>
      </c>
      <c r="J687" s="2">
        <v>65.099999999999994</v>
      </c>
      <c r="K687" s="3">
        <v>79</v>
      </c>
      <c r="L687" s="3" t="str">
        <f t="shared" si="10"/>
        <v>75-79</v>
      </c>
      <c r="M687" s="1" t="s">
        <v>32</v>
      </c>
    </row>
    <row r="688" spans="1:13" x14ac:dyDescent="0.35">
      <c r="A688">
        <v>685</v>
      </c>
      <c r="B688" s="1" t="s">
        <v>17</v>
      </c>
      <c r="C688" s="2">
        <v>3.4</v>
      </c>
      <c r="D688" s="3">
        <v>94.7</v>
      </c>
      <c r="E688" s="2">
        <v>5.3</v>
      </c>
      <c r="F688" s="1" t="s">
        <v>24</v>
      </c>
      <c r="G688" s="1" t="s">
        <v>19</v>
      </c>
      <c r="H688" s="1" t="s">
        <v>19</v>
      </c>
      <c r="I688" s="1" t="s">
        <v>20</v>
      </c>
      <c r="J688" s="2">
        <v>70.2</v>
      </c>
      <c r="K688" s="3">
        <v>84</v>
      </c>
      <c r="L688" s="3" t="str">
        <f t="shared" si="10"/>
        <v>80-84</v>
      </c>
      <c r="M688" s="1" t="s">
        <v>28</v>
      </c>
    </row>
    <row r="689" spans="1:13" x14ac:dyDescent="0.35">
      <c r="A689">
        <v>686</v>
      </c>
      <c r="B689" s="1" t="s">
        <v>23</v>
      </c>
      <c r="C689" s="2">
        <v>4.2</v>
      </c>
      <c r="D689" s="3">
        <v>97.4</v>
      </c>
      <c r="E689" s="2">
        <v>8.8000000000000007</v>
      </c>
      <c r="F689" s="1" t="s">
        <v>18</v>
      </c>
      <c r="G689" s="1" t="s">
        <v>20</v>
      </c>
      <c r="H689" s="1" t="s">
        <v>19</v>
      </c>
      <c r="I689" s="1" t="s">
        <v>19</v>
      </c>
      <c r="J689" s="2">
        <v>76.8</v>
      </c>
      <c r="K689" s="3">
        <v>92</v>
      </c>
      <c r="L689" s="3" t="str">
        <f t="shared" si="10"/>
        <v>90-94</v>
      </c>
      <c r="M689" s="1" t="s">
        <v>21</v>
      </c>
    </row>
    <row r="690" spans="1:13" x14ac:dyDescent="0.35">
      <c r="A690">
        <v>687</v>
      </c>
      <c r="B690" s="1" t="s">
        <v>23</v>
      </c>
      <c r="C690" s="2">
        <v>3.6</v>
      </c>
      <c r="D690" s="3">
        <v>85.9</v>
      </c>
      <c r="E690" s="2">
        <v>7</v>
      </c>
      <c r="F690" s="1" t="s">
        <v>24</v>
      </c>
      <c r="G690" s="1" t="s">
        <v>19</v>
      </c>
      <c r="H690" s="1" t="s">
        <v>20</v>
      </c>
      <c r="I690" s="1" t="s">
        <v>20</v>
      </c>
      <c r="J690" s="2">
        <v>62.9</v>
      </c>
      <c r="K690" s="3">
        <v>92</v>
      </c>
      <c r="L690" s="3" t="str">
        <f t="shared" si="10"/>
        <v>90-94</v>
      </c>
      <c r="M690" s="1" t="s">
        <v>21</v>
      </c>
    </row>
    <row r="691" spans="1:13" x14ac:dyDescent="0.35">
      <c r="A691">
        <v>688</v>
      </c>
      <c r="B691" s="1" t="s">
        <v>17</v>
      </c>
      <c r="C691" s="2">
        <v>1.6</v>
      </c>
      <c r="D691" s="3">
        <v>87</v>
      </c>
      <c r="E691" s="2">
        <v>8.8000000000000007</v>
      </c>
      <c r="F691" s="1" t="s">
        <v>24</v>
      </c>
      <c r="G691" s="1" t="s">
        <v>19</v>
      </c>
      <c r="H691" s="1" t="s">
        <v>20</v>
      </c>
      <c r="I691" s="1" t="s">
        <v>20</v>
      </c>
      <c r="J691" s="2">
        <v>88.7</v>
      </c>
      <c r="K691" s="3">
        <v>74</v>
      </c>
      <c r="L691" s="3" t="str">
        <f t="shared" si="10"/>
        <v>70-74</v>
      </c>
      <c r="M691" s="1" t="s">
        <v>32</v>
      </c>
    </row>
    <row r="692" spans="1:13" x14ac:dyDescent="0.35">
      <c r="A692">
        <v>689</v>
      </c>
      <c r="B692" s="1" t="s">
        <v>17</v>
      </c>
      <c r="C692" s="2">
        <v>5</v>
      </c>
      <c r="D692" s="3">
        <v>78.8</v>
      </c>
      <c r="E692" s="2">
        <v>5.9</v>
      </c>
      <c r="F692" s="1" t="s">
        <v>24</v>
      </c>
      <c r="G692" s="1" t="s">
        <v>19</v>
      </c>
      <c r="H692" s="1" t="s">
        <v>20</v>
      </c>
      <c r="I692" s="1" t="s">
        <v>20</v>
      </c>
      <c r="J692" s="2">
        <v>56.6</v>
      </c>
      <c r="K692" s="3">
        <v>82</v>
      </c>
      <c r="L692" s="3" t="str">
        <f t="shared" si="10"/>
        <v>80-84</v>
      </c>
      <c r="M692" s="1" t="s">
        <v>28</v>
      </c>
    </row>
    <row r="693" spans="1:13" x14ac:dyDescent="0.35">
      <c r="A693">
        <v>690</v>
      </c>
      <c r="B693" s="1" t="s">
        <v>23</v>
      </c>
      <c r="C693" s="2">
        <v>2.8</v>
      </c>
      <c r="D693" s="3">
        <v>81.8</v>
      </c>
      <c r="E693" s="2">
        <v>9</v>
      </c>
      <c r="F693" s="1" t="s">
        <v>24</v>
      </c>
      <c r="G693" s="1" t="s">
        <v>19</v>
      </c>
      <c r="H693" s="1" t="s">
        <v>19</v>
      </c>
      <c r="I693" s="1" t="s">
        <v>20</v>
      </c>
      <c r="J693" s="2">
        <v>49.1</v>
      </c>
      <c r="K693" s="3">
        <v>68</v>
      </c>
      <c r="L693" s="3" t="str">
        <f t="shared" si="10"/>
        <v>65-69</v>
      </c>
      <c r="M693" s="1" t="s">
        <v>30</v>
      </c>
    </row>
    <row r="694" spans="1:13" x14ac:dyDescent="0.35">
      <c r="A694">
        <v>691</v>
      </c>
      <c r="B694" s="1" t="s">
        <v>23</v>
      </c>
      <c r="C694" s="2">
        <v>1.2</v>
      </c>
      <c r="D694" s="3">
        <v>91.2</v>
      </c>
      <c r="E694" s="2">
        <v>7.7</v>
      </c>
      <c r="F694" s="1" t="s">
        <v>27</v>
      </c>
      <c r="G694" s="1" t="s">
        <v>19</v>
      </c>
      <c r="H694" s="1" t="s">
        <v>19</v>
      </c>
      <c r="I694" s="1" t="s">
        <v>19</v>
      </c>
      <c r="J694" s="2">
        <v>83.3</v>
      </c>
      <c r="K694" s="3">
        <v>71</v>
      </c>
      <c r="L694" s="3" t="str">
        <f t="shared" si="10"/>
        <v>70-74</v>
      </c>
      <c r="M694" s="1" t="s">
        <v>32</v>
      </c>
    </row>
    <row r="695" spans="1:13" x14ac:dyDescent="0.35">
      <c r="A695">
        <v>692</v>
      </c>
      <c r="B695" s="1" t="s">
        <v>23</v>
      </c>
      <c r="C695" s="2">
        <v>2.9</v>
      </c>
      <c r="D695" s="3">
        <v>97</v>
      </c>
      <c r="E695" s="2">
        <v>7.5</v>
      </c>
      <c r="F695" s="1" t="s">
        <v>24</v>
      </c>
      <c r="G695" s="1" t="s">
        <v>19</v>
      </c>
      <c r="H695" s="1" t="s">
        <v>19</v>
      </c>
      <c r="I695" s="1" t="s">
        <v>19</v>
      </c>
      <c r="J695" s="2">
        <v>42.7</v>
      </c>
      <c r="K695" s="3">
        <v>80</v>
      </c>
      <c r="L695" s="3" t="str">
        <f t="shared" si="10"/>
        <v>80-84</v>
      </c>
      <c r="M695" s="1" t="s">
        <v>32</v>
      </c>
    </row>
    <row r="696" spans="1:13" x14ac:dyDescent="0.35">
      <c r="A696">
        <v>693</v>
      </c>
      <c r="B696" s="1" t="s">
        <v>17</v>
      </c>
      <c r="C696" s="2">
        <v>5.8</v>
      </c>
      <c r="D696" s="3">
        <v>83.6</v>
      </c>
      <c r="E696" s="2">
        <v>7.1</v>
      </c>
      <c r="F696" s="1" t="s">
        <v>33</v>
      </c>
      <c r="G696" s="1" t="s">
        <v>20</v>
      </c>
      <c r="H696" s="1" t="s">
        <v>20</v>
      </c>
      <c r="I696" s="1" t="s">
        <v>20</v>
      </c>
      <c r="J696" s="2">
        <v>67.599999999999994</v>
      </c>
      <c r="K696" s="3">
        <v>92</v>
      </c>
      <c r="L696" s="3" t="str">
        <f t="shared" si="10"/>
        <v>90-94</v>
      </c>
      <c r="M696" s="1" t="s">
        <v>21</v>
      </c>
    </row>
    <row r="697" spans="1:13" x14ac:dyDescent="0.35">
      <c r="A697">
        <v>694</v>
      </c>
      <c r="B697" s="1" t="s">
        <v>23</v>
      </c>
      <c r="C697" s="2">
        <v>4.8</v>
      </c>
      <c r="D697" s="3">
        <v>80.5</v>
      </c>
      <c r="E697" s="2">
        <v>6.5</v>
      </c>
      <c r="F697" s="1" t="s">
        <v>33</v>
      </c>
      <c r="G697" s="1" t="s">
        <v>19</v>
      </c>
      <c r="H697" s="1" t="s">
        <v>20</v>
      </c>
      <c r="I697" s="1" t="s">
        <v>19</v>
      </c>
      <c r="J697" s="2">
        <v>100</v>
      </c>
      <c r="K697" s="3">
        <v>100</v>
      </c>
      <c r="L697" s="3" t="str">
        <f t="shared" si="10"/>
        <v>95-100</v>
      </c>
      <c r="M697" s="1" t="s">
        <v>21</v>
      </c>
    </row>
    <row r="698" spans="1:13" x14ac:dyDescent="0.35">
      <c r="A698">
        <v>695</v>
      </c>
      <c r="B698" s="1" t="s">
        <v>23</v>
      </c>
      <c r="C698" s="2">
        <v>3</v>
      </c>
      <c r="D698" s="3">
        <v>85</v>
      </c>
      <c r="E698" s="2">
        <v>8.1999999999999993</v>
      </c>
      <c r="F698" s="1" t="s">
        <v>18</v>
      </c>
      <c r="G698" s="1" t="s">
        <v>19</v>
      </c>
      <c r="H698" s="1" t="s">
        <v>20</v>
      </c>
      <c r="I698" s="1" t="s">
        <v>20</v>
      </c>
      <c r="J698" s="2">
        <v>69.900000000000006</v>
      </c>
      <c r="K698" s="3">
        <v>90</v>
      </c>
      <c r="L698" s="3" t="str">
        <f t="shared" si="10"/>
        <v>90-94</v>
      </c>
      <c r="M698" s="1" t="s">
        <v>28</v>
      </c>
    </row>
    <row r="699" spans="1:13" x14ac:dyDescent="0.35">
      <c r="A699">
        <v>696</v>
      </c>
      <c r="B699" s="1" t="s">
        <v>23</v>
      </c>
      <c r="C699" s="2">
        <v>3</v>
      </c>
      <c r="D699" s="3">
        <v>91</v>
      </c>
      <c r="E699" s="2">
        <v>7</v>
      </c>
      <c r="F699" s="1" t="s">
        <v>24</v>
      </c>
      <c r="G699" s="1" t="s">
        <v>19</v>
      </c>
      <c r="H699" s="1" t="s">
        <v>19</v>
      </c>
      <c r="I699" s="1" t="s">
        <v>20</v>
      </c>
      <c r="J699" s="2">
        <v>56.6</v>
      </c>
      <c r="K699" s="3">
        <v>78</v>
      </c>
      <c r="L699" s="3" t="str">
        <f t="shared" si="10"/>
        <v>75-79</v>
      </c>
      <c r="M699" s="1" t="s">
        <v>32</v>
      </c>
    </row>
    <row r="700" spans="1:13" x14ac:dyDescent="0.35">
      <c r="A700">
        <v>697</v>
      </c>
      <c r="B700" s="1" t="s">
        <v>17</v>
      </c>
      <c r="C700" s="2">
        <v>3</v>
      </c>
      <c r="D700" s="3">
        <v>70.599999999999994</v>
      </c>
      <c r="E700" s="2">
        <v>4.4000000000000004</v>
      </c>
      <c r="F700" s="1" t="s">
        <v>33</v>
      </c>
      <c r="G700" s="1" t="s">
        <v>19</v>
      </c>
      <c r="H700" s="1" t="s">
        <v>19</v>
      </c>
      <c r="I700" s="1" t="s">
        <v>20</v>
      </c>
      <c r="J700" s="2">
        <v>69.3</v>
      </c>
      <c r="K700" s="3">
        <v>73</v>
      </c>
      <c r="L700" s="3" t="str">
        <f t="shared" si="10"/>
        <v>70-74</v>
      </c>
      <c r="M700" s="1" t="s">
        <v>32</v>
      </c>
    </row>
    <row r="701" spans="1:13" x14ac:dyDescent="0.35">
      <c r="A701">
        <v>698</v>
      </c>
      <c r="B701" s="1" t="s">
        <v>23</v>
      </c>
      <c r="C701" s="2">
        <v>6.6</v>
      </c>
      <c r="D701" s="3">
        <v>62</v>
      </c>
      <c r="E701" s="2">
        <v>5.5</v>
      </c>
      <c r="F701" s="1" t="s">
        <v>18</v>
      </c>
      <c r="G701" s="1" t="s">
        <v>20</v>
      </c>
      <c r="H701" s="1" t="s">
        <v>19</v>
      </c>
      <c r="I701" s="1" t="s">
        <v>20</v>
      </c>
      <c r="J701" s="2">
        <v>69.400000000000006</v>
      </c>
      <c r="K701" s="3">
        <v>98</v>
      </c>
      <c r="L701" s="3" t="str">
        <f t="shared" si="10"/>
        <v>95-100</v>
      </c>
      <c r="M701" s="1" t="s">
        <v>21</v>
      </c>
    </row>
    <row r="702" spans="1:13" x14ac:dyDescent="0.35">
      <c r="A702">
        <v>699</v>
      </c>
      <c r="B702" s="1" t="s">
        <v>23</v>
      </c>
      <c r="C702" s="2">
        <v>4.0999999999999996</v>
      </c>
      <c r="D702" s="3">
        <v>79.5</v>
      </c>
      <c r="E702" s="2">
        <v>6.6</v>
      </c>
      <c r="F702" s="1" t="s">
        <v>33</v>
      </c>
      <c r="G702" s="1" t="s">
        <v>19</v>
      </c>
      <c r="H702" s="1" t="s">
        <v>19</v>
      </c>
      <c r="I702" s="1" t="s">
        <v>20</v>
      </c>
      <c r="J702" s="2">
        <v>71.900000000000006</v>
      </c>
      <c r="K702" s="3">
        <v>86</v>
      </c>
      <c r="L702" s="3" t="str">
        <f t="shared" si="10"/>
        <v>85-89</v>
      </c>
      <c r="M702" s="1" t="s">
        <v>28</v>
      </c>
    </row>
    <row r="703" spans="1:13" x14ac:dyDescent="0.35">
      <c r="A703">
        <v>700</v>
      </c>
      <c r="B703" s="1" t="s">
        <v>17</v>
      </c>
      <c r="C703" s="2">
        <v>4.0999999999999996</v>
      </c>
      <c r="D703" s="3">
        <v>72.8</v>
      </c>
      <c r="E703" s="2">
        <v>7.2</v>
      </c>
      <c r="F703" s="1" t="s">
        <v>33</v>
      </c>
      <c r="G703" s="1" t="s">
        <v>19</v>
      </c>
      <c r="H703" s="1" t="s">
        <v>19</v>
      </c>
      <c r="I703" s="1" t="s">
        <v>20</v>
      </c>
      <c r="J703" s="2">
        <v>77.900000000000006</v>
      </c>
      <c r="K703" s="3">
        <v>92</v>
      </c>
      <c r="L703" s="3" t="str">
        <f t="shared" si="10"/>
        <v>90-94</v>
      </c>
      <c r="M703" s="1" t="s">
        <v>21</v>
      </c>
    </row>
    <row r="704" spans="1:13" x14ac:dyDescent="0.35">
      <c r="A704">
        <v>701</v>
      </c>
      <c r="B704" s="1" t="s">
        <v>23</v>
      </c>
      <c r="C704" s="2">
        <v>5</v>
      </c>
      <c r="D704" s="3">
        <v>79.900000000000006</v>
      </c>
      <c r="E704" s="2">
        <v>6.7</v>
      </c>
      <c r="F704" s="1" t="s">
        <v>27</v>
      </c>
      <c r="G704" s="1" t="s">
        <v>19</v>
      </c>
      <c r="H704" s="1" t="s">
        <v>20</v>
      </c>
      <c r="I704" s="1" t="s">
        <v>20</v>
      </c>
      <c r="J704" s="2">
        <v>57.5</v>
      </c>
      <c r="K704" s="3">
        <v>85</v>
      </c>
      <c r="L704" s="3" t="str">
        <f t="shared" si="10"/>
        <v>85-89</v>
      </c>
      <c r="M704" s="1" t="s">
        <v>28</v>
      </c>
    </row>
    <row r="705" spans="1:13" x14ac:dyDescent="0.35">
      <c r="A705">
        <v>702</v>
      </c>
      <c r="B705" s="1" t="s">
        <v>23</v>
      </c>
      <c r="C705" s="2">
        <v>3.9</v>
      </c>
      <c r="D705" s="3">
        <v>83.5</v>
      </c>
      <c r="E705" s="2">
        <v>8.3000000000000007</v>
      </c>
      <c r="F705" s="1" t="s">
        <v>18</v>
      </c>
      <c r="G705" s="1" t="s">
        <v>19</v>
      </c>
      <c r="H705" s="1" t="s">
        <v>19</v>
      </c>
      <c r="I705" s="1" t="s">
        <v>19</v>
      </c>
      <c r="J705" s="2">
        <v>90.3</v>
      </c>
      <c r="K705" s="3">
        <v>83</v>
      </c>
      <c r="L705" s="3" t="str">
        <f t="shared" si="10"/>
        <v>80-84</v>
      </c>
      <c r="M705" s="1" t="s">
        <v>28</v>
      </c>
    </row>
    <row r="706" spans="1:13" x14ac:dyDescent="0.35">
      <c r="A706">
        <v>703</v>
      </c>
      <c r="B706" s="1" t="s">
        <v>17</v>
      </c>
      <c r="C706" s="2">
        <v>3.1</v>
      </c>
      <c r="D706" s="3">
        <v>80.5</v>
      </c>
      <c r="E706" s="2">
        <v>4.5</v>
      </c>
      <c r="F706" s="1" t="s">
        <v>24</v>
      </c>
      <c r="G706" s="1" t="s">
        <v>19</v>
      </c>
      <c r="H706" s="1" t="s">
        <v>19</v>
      </c>
      <c r="I706" s="1" t="s">
        <v>19</v>
      </c>
      <c r="J706" s="2">
        <v>72.900000000000006</v>
      </c>
      <c r="K706" s="3">
        <v>65</v>
      </c>
      <c r="L706" s="3" t="str">
        <f t="shared" si="10"/>
        <v>65-69</v>
      </c>
      <c r="M706" s="1" t="s">
        <v>30</v>
      </c>
    </row>
    <row r="707" spans="1:13" x14ac:dyDescent="0.35">
      <c r="A707">
        <v>704</v>
      </c>
      <c r="B707" s="1" t="s">
        <v>23</v>
      </c>
      <c r="C707" s="2">
        <v>3.2</v>
      </c>
      <c r="D707" s="3">
        <v>99.5</v>
      </c>
      <c r="E707" s="2">
        <v>7</v>
      </c>
      <c r="F707" s="1" t="s">
        <v>18</v>
      </c>
      <c r="G707" s="1" t="s">
        <v>19</v>
      </c>
      <c r="H707" s="1" t="s">
        <v>19</v>
      </c>
      <c r="I707" s="1" t="s">
        <v>20</v>
      </c>
      <c r="J707" s="2">
        <v>78.7</v>
      </c>
      <c r="K707" s="3">
        <v>90</v>
      </c>
      <c r="L707" s="3" t="str">
        <f t="shared" si="10"/>
        <v>90-94</v>
      </c>
      <c r="M707" s="1" t="s">
        <v>28</v>
      </c>
    </row>
    <row r="708" spans="1:13" x14ac:dyDescent="0.35">
      <c r="A708">
        <v>705</v>
      </c>
      <c r="B708" s="1" t="s">
        <v>17</v>
      </c>
      <c r="C708" s="2">
        <v>3.4</v>
      </c>
      <c r="D708" s="3">
        <v>88.3</v>
      </c>
      <c r="E708" s="2">
        <v>4.5999999999999996</v>
      </c>
      <c r="F708" s="1" t="s">
        <v>24</v>
      </c>
      <c r="G708" s="1" t="s">
        <v>19</v>
      </c>
      <c r="H708" s="1" t="s">
        <v>20</v>
      </c>
      <c r="I708" s="1" t="s">
        <v>19</v>
      </c>
      <c r="J708" s="2">
        <v>62.5</v>
      </c>
      <c r="K708" s="3">
        <v>83</v>
      </c>
      <c r="L708" s="3" t="str">
        <f t="shared" si="10"/>
        <v>80-84</v>
      </c>
      <c r="M708" s="1" t="s">
        <v>28</v>
      </c>
    </row>
    <row r="709" spans="1:13" x14ac:dyDescent="0.35">
      <c r="A709">
        <v>706</v>
      </c>
      <c r="B709" s="1" t="s">
        <v>17</v>
      </c>
      <c r="C709" s="2">
        <v>3.4</v>
      </c>
      <c r="D709" s="3">
        <v>88</v>
      </c>
      <c r="E709" s="2">
        <v>7.7</v>
      </c>
      <c r="F709" s="1" t="s">
        <v>34</v>
      </c>
      <c r="G709" s="1" t="s">
        <v>19</v>
      </c>
      <c r="H709" s="1" t="s">
        <v>20</v>
      </c>
      <c r="I709" s="1" t="s">
        <v>19</v>
      </c>
      <c r="J709" s="2">
        <v>85.4</v>
      </c>
      <c r="K709" s="3">
        <v>94</v>
      </c>
      <c r="L709" s="3" t="str">
        <f t="shared" ref="L709:L772" si="11">IF(K709&gt;=95,"95-100",IF(K709&gt;=90,"90-94",IF(K709&gt;=85,"85-89",IF(K709&gt;=80,"80-84",IF(K709&gt;=75,"75-79",IF(K709&gt;=70,"70-74",IF(K709&gt;=65,"65-69",IF(K709&gt;=60,"60-64",IF(K709&gt;=55,"55-59","Below 55")))))))))</f>
        <v>90-94</v>
      </c>
      <c r="M709" s="1" t="s">
        <v>21</v>
      </c>
    </row>
    <row r="710" spans="1:13" x14ac:dyDescent="0.35">
      <c r="A710">
        <v>707</v>
      </c>
      <c r="B710" s="1" t="s">
        <v>23</v>
      </c>
      <c r="C710" s="2">
        <v>4.5999999999999996</v>
      </c>
      <c r="D710" s="3">
        <v>91.2</v>
      </c>
      <c r="E710" s="2">
        <v>6.7</v>
      </c>
      <c r="F710" s="1" t="s">
        <v>24</v>
      </c>
      <c r="G710" s="1" t="s">
        <v>19</v>
      </c>
      <c r="H710" s="1" t="s">
        <v>20</v>
      </c>
      <c r="I710" s="1" t="s">
        <v>19</v>
      </c>
      <c r="J710" s="2">
        <v>66.900000000000006</v>
      </c>
      <c r="K710" s="3">
        <v>93</v>
      </c>
      <c r="L710" s="3" t="str">
        <f t="shared" si="11"/>
        <v>90-94</v>
      </c>
      <c r="M710" s="1" t="s">
        <v>21</v>
      </c>
    </row>
    <row r="711" spans="1:13" x14ac:dyDescent="0.35">
      <c r="A711">
        <v>708</v>
      </c>
      <c r="B711" s="1" t="s">
        <v>23</v>
      </c>
      <c r="C711" s="2">
        <v>3.6</v>
      </c>
      <c r="D711" s="3">
        <v>73.599999999999994</v>
      </c>
      <c r="E711" s="2">
        <v>7.3</v>
      </c>
      <c r="F711" s="1" t="s">
        <v>24</v>
      </c>
      <c r="G711" s="1" t="s">
        <v>19</v>
      </c>
      <c r="H711" s="1" t="s">
        <v>20</v>
      </c>
      <c r="I711" s="1" t="s">
        <v>20</v>
      </c>
      <c r="J711" s="2">
        <v>73.3</v>
      </c>
      <c r="K711" s="3">
        <v>77</v>
      </c>
      <c r="L711" s="3" t="str">
        <f t="shared" si="11"/>
        <v>75-79</v>
      </c>
      <c r="M711" s="1" t="s">
        <v>32</v>
      </c>
    </row>
    <row r="712" spans="1:13" x14ac:dyDescent="0.35">
      <c r="A712">
        <v>709</v>
      </c>
      <c r="B712" s="1" t="s">
        <v>23</v>
      </c>
      <c r="C712" s="2">
        <v>4.5999999999999996</v>
      </c>
      <c r="D712" s="3">
        <v>95.4</v>
      </c>
      <c r="E712" s="2">
        <v>5.8</v>
      </c>
      <c r="F712" s="1" t="s">
        <v>33</v>
      </c>
      <c r="G712" s="1" t="s">
        <v>19</v>
      </c>
      <c r="H712" s="1" t="s">
        <v>19</v>
      </c>
      <c r="I712" s="1" t="s">
        <v>20</v>
      </c>
      <c r="J712" s="2">
        <v>58.8</v>
      </c>
      <c r="K712" s="3">
        <v>98</v>
      </c>
      <c r="L712" s="3" t="str">
        <f t="shared" si="11"/>
        <v>95-100</v>
      </c>
      <c r="M712" s="1" t="s">
        <v>21</v>
      </c>
    </row>
    <row r="713" spans="1:13" x14ac:dyDescent="0.35">
      <c r="A713">
        <v>710</v>
      </c>
      <c r="B713" s="1" t="s">
        <v>23</v>
      </c>
      <c r="C713" s="2">
        <v>3.4</v>
      </c>
      <c r="D713" s="3">
        <v>84.2</v>
      </c>
      <c r="E713" s="2">
        <v>8.3000000000000007</v>
      </c>
      <c r="F713" s="1" t="s">
        <v>18</v>
      </c>
      <c r="G713" s="1" t="s">
        <v>19</v>
      </c>
      <c r="H713" s="1" t="s">
        <v>20</v>
      </c>
      <c r="I713" s="1" t="s">
        <v>19</v>
      </c>
      <c r="J713" s="2">
        <v>58</v>
      </c>
      <c r="K713" s="3">
        <v>72</v>
      </c>
      <c r="L713" s="3" t="str">
        <f t="shared" si="11"/>
        <v>70-74</v>
      </c>
      <c r="M713" s="1" t="s">
        <v>32</v>
      </c>
    </row>
    <row r="714" spans="1:13" x14ac:dyDescent="0.35">
      <c r="A714">
        <v>711</v>
      </c>
      <c r="B714" s="1" t="s">
        <v>17</v>
      </c>
      <c r="C714" s="2">
        <v>3.6</v>
      </c>
      <c r="D714" s="3">
        <v>91.7</v>
      </c>
      <c r="E714" s="2">
        <v>8.1</v>
      </c>
      <c r="F714" s="1" t="s">
        <v>18</v>
      </c>
      <c r="G714" s="1" t="s">
        <v>19</v>
      </c>
      <c r="H714" s="1" t="s">
        <v>19</v>
      </c>
      <c r="I714" s="1" t="s">
        <v>20</v>
      </c>
      <c r="J714" s="2">
        <v>78.3</v>
      </c>
      <c r="K714" s="3">
        <v>95</v>
      </c>
      <c r="L714" s="3" t="str">
        <f t="shared" si="11"/>
        <v>95-100</v>
      </c>
      <c r="M714" s="1" t="s">
        <v>21</v>
      </c>
    </row>
    <row r="715" spans="1:13" x14ac:dyDescent="0.35">
      <c r="A715">
        <v>712</v>
      </c>
      <c r="B715" s="1" t="s">
        <v>23</v>
      </c>
      <c r="C715" s="2">
        <v>0.5</v>
      </c>
      <c r="D715" s="3">
        <v>74.3</v>
      </c>
      <c r="E715" s="2">
        <v>7.5</v>
      </c>
      <c r="F715" s="1" t="s">
        <v>18</v>
      </c>
      <c r="G715" s="1" t="s">
        <v>19</v>
      </c>
      <c r="H715" s="1" t="s">
        <v>19</v>
      </c>
      <c r="I715" s="1" t="s">
        <v>20</v>
      </c>
      <c r="J715" s="2">
        <v>64.7</v>
      </c>
      <c r="K715" s="3">
        <v>67</v>
      </c>
      <c r="L715" s="3" t="str">
        <f t="shared" si="11"/>
        <v>65-69</v>
      </c>
      <c r="M715" s="1" t="s">
        <v>30</v>
      </c>
    </row>
    <row r="716" spans="1:13" x14ac:dyDescent="0.35">
      <c r="A716">
        <v>713</v>
      </c>
      <c r="B716" s="1" t="s">
        <v>17</v>
      </c>
      <c r="C716" s="2">
        <v>4.9000000000000004</v>
      </c>
      <c r="D716" s="3">
        <v>69.5</v>
      </c>
      <c r="E716" s="2">
        <v>6.6</v>
      </c>
      <c r="F716" s="1" t="s">
        <v>34</v>
      </c>
      <c r="G716" s="1" t="s">
        <v>20</v>
      </c>
      <c r="H716" s="1" t="s">
        <v>20</v>
      </c>
      <c r="I716" s="1" t="s">
        <v>19</v>
      </c>
      <c r="J716" s="2">
        <v>59.8</v>
      </c>
      <c r="K716" s="3">
        <v>72</v>
      </c>
      <c r="L716" s="3" t="str">
        <f t="shared" si="11"/>
        <v>70-74</v>
      </c>
      <c r="M716" s="1" t="s">
        <v>32</v>
      </c>
    </row>
    <row r="717" spans="1:13" x14ac:dyDescent="0.35">
      <c r="A717">
        <v>714</v>
      </c>
      <c r="B717" s="1" t="s">
        <v>23</v>
      </c>
      <c r="C717" s="2">
        <v>4</v>
      </c>
      <c r="D717" s="3">
        <v>93.2</v>
      </c>
      <c r="E717" s="2">
        <v>7.5</v>
      </c>
      <c r="F717" s="1" t="s">
        <v>24</v>
      </c>
      <c r="G717" s="1" t="s">
        <v>19</v>
      </c>
      <c r="H717" s="1" t="s">
        <v>20</v>
      </c>
      <c r="I717" s="1" t="s">
        <v>20</v>
      </c>
      <c r="J717" s="2">
        <v>62.3</v>
      </c>
      <c r="K717" s="3">
        <v>96</v>
      </c>
      <c r="L717" s="3" t="str">
        <f t="shared" si="11"/>
        <v>95-100</v>
      </c>
      <c r="M717" s="1" t="s">
        <v>21</v>
      </c>
    </row>
    <row r="718" spans="1:13" x14ac:dyDescent="0.35">
      <c r="A718">
        <v>715</v>
      </c>
      <c r="B718" s="1" t="s">
        <v>23</v>
      </c>
      <c r="C718" s="2">
        <v>5</v>
      </c>
      <c r="D718" s="3">
        <v>88.8</v>
      </c>
      <c r="E718" s="2">
        <v>6</v>
      </c>
      <c r="F718" s="1" t="s">
        <v>34</v>
      </c>
      <c r="G718" s="1" t="s">
        <v>19</v>
      </c>
      <c r="H718" s="1" t="s">
        <v>19</v>
      </c>
      <c r="I718" s="1" t="s">
        <v>20</v>
      </c>
      <c r="J718" s="2">
        <v>78.400000000000006</v>
      </c>
      <c r="K718" s="3">
        <v>92</v>
      </c>
      <c r="L718" s="3" t="str">
        <f t="shared" si="11"/>
        <v>90-94</v>
      </c>
      <c r="M718" s="1" t="s">
        <v>21</v>
      </c>
    </row>
    <row r="719" spans="1:13" x14ac:dyDescent="0.35">
      <c r="A719">
        <v>716</v>
      </c>
      <c r="B719" s="1" t="s">
        <v>23</v>
      </c>
      <c r="C719" s="2">
        <v>0.5</v>
      </c>
      <c r="D719" s="3">
        <v>76</v>
      </c>
      <c r="E719" s="2">
        <v>7.8</v>
      </c>
      <c r="F719" s="1" t="s">
        <v>24</v>
      </c>
      <c r="G719" s="1" t="s">
        <v>20</v>
      </c>
      <c r="H719" s="1" t="s">
        <v>19</v>
      </c>
      <c r="I719" s="1" t="s">
        <v>20</v>
      </c>
      <c r="J719" s="2">
        <v>62.5</v>
      </c>
      <c r="K719" s="3">
        <v>54</v>
      </c>
      <c r="L719" s="3" t="str">
        <f t="shared" si="11"/>
        <v>Below 55</v>
      </c>
      <c r="M719" s="1" t="s">
        <v>35</v>
      </c>
    </row>
    <row r="720" spans="1:13" x14ac:dyDescent="0.35">
      <c r="A720">
        <v>717</v>
      </c>
      <c r="B720" s="1" t="s">
        <v>17</v>
      </c>
      <c r="C720" s="2">
        <v>6.6</v>
      </c>
      <c r="D720" s="3">
        <v>76.3</v>
      </c>
      <c r="E720" s="2">
        <v>8.8000000000000007</v>
      </c>
      <c r="F720" s="1" t="s">
        <v>33</v>
      </c>
      <c r="G720" s="1" t="s">
        <v>19</v>
      </c>
      <c r="H720" s="1" t="s">
        <v>19</v>
      </c>
      <c r="I720" s="1" t="s">
        <v>20</v>
      </c>
      <c r="J720" s="2">
        <v>68.599999999999994</v>
      </c>
      <c r="K720" s="3">
        <v>99</v>
      </c>
      <c r="L720" s="3" t="str">
        <f t="shared" si="11"/>
        <v>95-100</v>
      </c>
      <c r="M720" s="1" t="s">
        <v>21</v>
      </c>
    </row>
    <row r="721" spans="1:13" x14ac:dyDescent="0.35">
      <c r="A721">
        <v>718</v>
      </c>
      <c r="B721" s="1" t="s">
        <v>23</v>
      </c>
      <c r="C721" s="2">
        <v>3.3</v>
      </c>
      <c r="D721" s="3">
        <v>96.3</v>
      </c>
      <c r="E721" s="2">
        <v>8.1</v>
      </c>
      <c r="F721" s="1" t="s">
        <v>33</v>
      </c>
      <c r="G721" s="1" t="s">
        <v>19</v>
      </c>
      <c r="H721" s="1" t="s">
        <v>19</v>
      </c>
      <c r="I721" s="1" t="s">
        <v>19</v>
      </c>
      <c r="J721" s="2">
        <v>70.2</v>
      </c>
      <c r="K721" s="3">
        <v>85</v>
      </c>
      <c r="L721" s="3" t="str">
        <f t="shared" si="11"/>
        <v>85-89</v>
      </c>
      <c r="M721" s="1" t="s">
        <v>28</v>
      </c>
    </row>
    <row r="722" spans="1:13" x14ac:dyDescent="0.35">
      <c r="A722">
        <v>719</v>
      </c>
      <c r="B722" s="1" t="s">
        <v>23</v>
      </c>
      <c r="C722" s="2">
        <v>5.2</v>
      </c>
      <c r="D722" s="3">
        <v>73.099999999999994</v>
      </c>
      <c r="E722" s="2">
        <v>5.9</v>
      </c>
      <c r="F722" s="1" t="s">
        <v>24</v>
      </c>
      <c r="G722" s="1" t="s">
        <v>19</v>
      </c>
      <c r="H722" s="1" t="s">
        <v>19</v>
      </c>
      <c r="I722" s="1" t="s">
        <v>20</v>
      </c>
      <c r="J722" s="2">
        <v>47</v>
      </c>
      <c r="K722" s="3">
        <v>99</v>
      </c>
      <c r="L722" s="3" t="str">
        <f t="shared" si="11"/>
        <v>95-100</v>
      </c>
      <c r="M722" s="1" t="s">
        <v>21</v>
      </c>
    </row>
    <row r="723" spans="1:13" x14ac:dyDescent="0.35">
      <c r="A723">
        <v>720</v>
      </c>
      <c r="B723" s="1" t="s">
        <v>23</v>
      </c>
      <c r="C723" s="2">
        <v>1.9</v>
      </c>
      <c r="D723" s="3">
        <v>100</v>
      </c>
      <c r="E723" s="2">
        <v>7.2</v>
      </c>
      <c r="F723" s="1" t="s">
        <v>18</v>
      </c>
      <c r="G723" s="1" t="s">
        <v>19</v>
      </c>
      <c r="H723" s="1" t="s">
        <v>19</v>
      </c>
      <c r="I723" s="1" t="s">
        <v>19</v>
      </c>
      <c r="J723" s="2">
        <v>52.3</v>
      </c>
      <c r="K723" s="3">
        <v>78</v>
      </c>
      <c r="L723" s="3" t="str">
        <f t="shared" si="11"/>
        <v>75-79</v>
      </c>
      <c r="M723" s="1" t="s">
        <v>32</v>
      </c>
    </row>
    <row r="724" spans="1:13" x14ac:dyDescent="0.35">
      <c r="A724">
        <v>721</v>
      </c>
      <c r="B724" s="1" t="s">
        <v>23</v>
      </c>
      <c r="C724" s="2">
        <v>4.4000000000000004</v>
      </c>
      <c r="D724" s="3">
        <v>76</v>
      </c>
      <c r="E724" s="2">
        <v>5.2</v>
      </c>
      <c r="F724" s="1" t="s">
        <v>24</v>
      </c>
      <c r="G724" s="1" t="s">
        <v>19</v>
      </c>
      <c r="H724" s="1" t="s">
        <v>19</v>
      </c>
      <c r="I724" s="1" t="s">
        <v>20</v>
      </c>
      <c r="J724" s="2">
        <v>74</v>
      </c>
      <c r="K724" s="3">
        <v>84</v>
      </c>
      <c r="L724" s="3" t="str">
        <f t="shared" si="11"/>
        <v>80-84</v>
      </c>
      <c r="M724" s="1" t="s">
        <v>28</v>
      </c>
    </row>
    <row r="725" spans="1:13" x14ac:dyDescent="0.35">
      <c r="A725">
        <v>722</v>
      </c>
      <c r="B725" s="1" t="s">
        <v>17</v>
      </c>
      <c r="C725" s="2">
        <v>1.9</v>
      </c>
      <c r="D725" s="3">
        <v>91.4</v>
      </c>
      <c r="E725" s="2">
        <v>7.5</v>
      </c>
      <c r="F725" s="1" t="s">
        <v>33</v>
      </c>
      <c r="G725" s="1" t="s">
        <v>19</v>
      </c>
      <c r="H725" s="1" t="s">
        <v>20</v>
      </c>
      <c r="I725" s="1" t="s">
        <v>20</v>
      </c>
      <c r="J725" s="2">
        <v>61.2</v>
      </c>
      <c r="K725" s="3">
        <v>71</v>
      </c>
      <c r="L725" s="3" t="str">
        <f t="shared" si="11"/>
        <v>70-74</v>
      </c>
      <c r="M725" s="1" t="s">
        <v>32</v>
      </c>
    </row>
    <row r="726" spans="1:13" x14ac:dyDescent="0.35">
      <c r="A726">
        <v>723</v>
      </c>
      <c r="B726" s="1" t="s">
        <v>23</v>
      </c>
      <c r="C726" s="2">
        <v>2.6</v>
      </c>
      <c r="D726" s="3">
        <v>81.7</v>
      </c>
      <c r="E726" s="2">
        <v>7.3</v>
      </c>
      <c r="F726" s="1" t="s">
        <v>18</v>
      </c>
      <c r="G726" s="1" t="s">
        <v>20</v>
      </c>
      <c r="H726" s="1" t="s">
        <v>19</v>
      </c>
      <c r="I726" s="1" t="s">
        <v>20</v>
      </c>
      <c r="J726" s="2">
        <v>82.7</v>
      </c>
      <c r="K726" s="3">
        <v>70</v>
      </c>
      <c r="L726" s="3" t="str">
        <f t="shared" si="11"/>
        <v>70-74</v>
      </c>
      <c r="M726" s="1" t="s">
        <v>30</v>
      </c>
    </row>
    <row r="727" spans="1:13" x14ac:dyDescent="0.35">
      <c r="A727">
        <v>724</v>
      </c>
      <c r="B727" s="1" t="s">
        <v>17</v>
      </c>
      <c r="C727" s="2">
        <v>6.4</v>
      </c>
      <c r="D727" s="3">
        <v>91</v>
      </c>
      <c r="E727" s="2">
        <v>4.5999999999999996</v>
      </c>
      <c r="F727" s="1" t="s">
        <v>18</v>
      </c>
      <c r="G727" s="1" t="s">
        <v>19</v>
      </c>
      <c r="H727" s="1" t="s">
        <v>19</v>
      </c>
      <c r="I727" s="1" t="s">
        <v>19</v>
      </c>
      <c r="J727" s="2">
        <v>81.599999999999994</v>
      </c>
      <c r="K727" s="3">
        <v>94</v>
      </c>
      <c r="L727" s="3" t="str">
        <f t="shared" si="11"/>
        <v>90-94</v>
      </c>
      <c r="M727" s="1" t="s">
        <v>21</v>
      </c>
    </row>
    <row r="728" spans="1:13" x14ac:dyDescent="0.35">
      <c r="A728">
        <v>725</v>
      </c>
      <c r="B728" s="1" t="s">
        <v>17</v>
      </c>
      <c r="C728" s="2">
        <v>3.2</v>
      </c>
      <c r="D728" s="3">
        <v>79.599999999999994</v>
      </c>
      <c r="E728" s="2">
        <v>5.4</v>
      </c>
      <c r="F728" s="1" t="s">
        <v>24</v>
      </c>
      <c r="G728" s="1" t="s">
        <v>19</v>
      </c>
      <c r="H728" s="1" t="s">
        <v>19</v>
      </c>
      <c r="I728" s="1" t="s">
        <v>20</v>
      </c>
      <c r="J728" s="2">
        <v>78.599999999999994</v>
      </c>
      <c r="K728" s="3">
        <v>85</v>
      </c>
      <c r="L728" s="3" t="str">
        <f t="shared" si="11"/>
        <v>85-89</v>
      </c>
      <c r="M728" s="1" t="s">
        <v>28</v>
      </c>
    </row>
    <row r="729" spans="1:13" x14ac:dyDescent="0.35">
      <c r="A729">
        <v>726</v>
      </c>
      <c r="B729" s="1" t="s">
        <v>17</v>
      </c>
      <c r="C729" s="2">
        <v>3.8</v>
      </c>
      <c r="D729" s="3">
        <v>83.4</v>
      </c>
      <c r="E729" s="2">
        <v>6.5</v>
      </c>
      <c r="F729" s="1" t="s">
        <v>24</v>
      </c>
      <c r="G729" s="1" t="s">
        <v>19</v>
      </c>
      <c r="H729" s="1" t="s">
        <v>20</v>
      </c>
      <c r="I729" s="1" t="s">
        <v>20</v>
      </c>
      <c r="J729" s="2">
        <v>91.8</v>
      </c>
      <c r="K729" s="3">
        <v>100</v>
      </c>
      <c r="L729" s="3" t="str">
        <f t="shared" si="11"/>
        <v>95-100</v>
      </c>
      <c r="M729" s="1" t="s">
        <v>21</v>
      </c>
    </row>
    <row r="730" spans="1:13" x14ac:dyDescent="0.35">
      <c r="A730">
        <v>727</v>
      </c>
      <c r="B730" s="1" t="s">
        <v>17</v>
      </c>
      <c r="C730" s="2">
        <v>4.8</v>
      </c>
      <c r="D730" s="3">
        <v>85.4</v>
      </c>
      <c r="E730" s="2">
        <v>6.4</v>
      </c>
      <c r="F730" s="1" t="s">
        <v>24</v>
      </c>
      <c r="G730" s="1" t="s">
        <v>19</v>
      </c>
      <c r="H730" s="1" t="s">
        <v>19</v>
      </c>
      <c r="I730" s="1" t="s">
        <v>20</v>
      </c>
      <c r="J730" s="2">
        <v>69</v>
      </c>
      <c r="K730" s="3">
        <v>98</v>
      </c>
      <c r="L730" s="3" t="str">
        <f t="shared" si="11"/>
        <v>95-100</v>
      </c>
      <c r="M730" s="1" t="s">
        <v>21</v>
      </c>
    </row>
    <row r="731" spans="1:13" x14ac:dyDescent="0.35">
      <c r="A731">
        <v>728</v>
      </c>
      <c r="B731" s="1" t="s">
        <v>17</v>
      </c>
      <c r="C731" s="2">
        <v>4.2</v>
      </c>
      <c r="D731" s="3">
        <v>75</v>
      </c>
      <c r="E731" s="2">
        <v>5.3</v>
      </c>
      <c r="F731" s="1" t="s">
        <v>24</v>
      </c>
      <c r="G731" s="1" t="s">
        <v>19</v>
      </c>
      <c r="H731" s="1" t="s">
        <v>19</v>
      </c>
      <c r="I731" s="1" t="s">
        <v>20</v>
      </c>
      <c r="J731" s="2">
        <v>77.8</v>
      </c>
      <c r="K731" s="3">
        <v>88</v>
      </c>
      <c r="L731" s="3" t="str">
        <f t="shared" si="11"/>
        <v>85-89</v>
      </c>
      <c r="M731" s="1" t="s">
        <v>28</v>
      </c>
    </row>
    <row r="732" spans="1:13" x14ac:dyDescent="0.35">
      <c r="A732">
        <v>729</v>
      </c>
      <c r="B732" s="1" t="s">
        <v>17</v>
      </c>
      <c r="C732" s="2">
        <v>3.7</v>
      </c>
      <c r="D732" s="3">
        <v>92.4</v>
      </c>
      <c r="E732" s="2">
        <v>7.3</v>
      </c>
      <c r="F732" s="1" t="s">
        <v>18</v>
      </c>
      <c r="G732" s="1" t="s">
        <v>19</v>
      </c>
      <c r="H732" s="1" t="s">
        <v>19</v>
      </c>
      <c r="I732" s="1" t="s">
        <v>20</v>
      </c>
      <c r="J732" s="2">
        <v>63</v>
      </c>
      <c r="K732" s="3">
        <v>85</v>
      </c>
      <c r="L732" s="3" t="str">
        <f t="shared" si="11"/>
        <v>85-89</v>
      </c>
      <c r="M732" s="1" t="s">
        <v>28</v>
      </c>
    </row>
    <row r="733" spans="1:13" x14ac:dyDescent="0.35">
      <c r="A733">
        <v>730</v>
      </c>
      <c r="B733" s="1" t="s">
        <v>23</v>
      </c>
      <c r="C733" s="2">
        <v>4</v>
      </c>
      <c r="D733" s="3">
        <v>79.900000000000006</v>
      </c>
      <c r="E733" s="2">
        <v>7.1</v>
      </c>
      <c r="F733" s="1" t="s">
        <v>34</v>
      </c>
      <c r="G733" s="1" t="s">
        <v>19</v>
      </c>
      <c r="H733" s="1" t="s">
        <v>20</v>
      </c>
      <c r="I733" s="1" t="s">
        <v>20</v>
      </c>
      <c r="J733" s="2">
        <v>99.4</v>
      </c>
      <c r="K733" s="3">
        <v>99</v>
      </c>
      <c r="L733" s="3" t="str">
        <f t="shared" si="11"/>
        <v>95-100</v>
      </c>
      <c r="M733" s="1" t="s">
        <v>21</v>
      </c>
    </row>
    <row r="734" spans="1:13" x14ac:dyDescent="0.35">
      <c r="A734">
        <v>731</v>
      </c>
      <c r="B734" s="1" t="s">
        <v>17</v>
      </c>
      <c r="C734" s="2">
        <v>7.1</v>
      </c>
      <c r="D734" s="3">
        <v>82.7</v>
      </c>
      <c r="E734" s="2">
        <v>6.6</v>
      </c>
      <c r="F734" s="1" t="s">
        <v>33</v>
      </c>
      <c r="G734" s="1" t="s">
        <v>19</v>
      </c>
      <c r="H734" s="1" t="s">
        <v>20</v>
      </c>
      <c r="I734" s="1" t="s">
        <v>20</v>
      </c>
      <c r="J734" s="2">
        <v>93.8</v>
      </c>
      <c r="K734" s="3">
        <v>100</v>
      </c>
      <c r="L734" s="3" t="str">
        <f t="shared" si="11"/>
        <v>95-100</v>
      </c>
      <c r="M734" s="1" t="s">
        <v>21</v>
      </c>
    </row>
    <row r="735" spans="1:13" x14ac:dyDescent="0.35">
      <c r="A735">
        <v>732</v>
      </c>
      <c r="B735" s="1" t="s">
        <v>17</v>
      </c>
      <c r="C735" s="2">
        <v>3.4</v>
      </c>
      <c r="D735" s="3">
        <v>75.099999999999994</v>
      </c>
      <c r="E735" s="2">
        <v>5.9</v>
      </c>
      <c r="F735" s="1" t="s">
        <v>18</v>
      </c>
      <c r="G735" s="1" t="s">
        <v>20</v>
      </c>
      <c r="H735" s="1" t="s">
        <v>20</v>
      </c>
      <c r="I735" s="1" t="s">
        <v>20</v>
      </c>
      <c r="J735" s="2">
        <v>70.099999999999994</v>
      </c>
      <c r="K735" s="3">
        <v>85</v>
      </c>
      <c r="L735" s="3" t="str">
        <f t="shared" si="11"/>
        <v>85-89</v>
      </c>
      <c r="M735" s="1" t="s">
        <v>28</v>
      </c>
    </row>
    <row r="736" spans="1:13" x14ac:dyDescent="0.35">
      <c r="A736">
        <v>733</v>
      </c>
      <c r="B736" s="1" t="s">
        <v>17</v>
      </c>
      <c r="C736" s="2">
        <v>3.8</v>
      </c>
      <c r="D736" s="3">
        <v>59.4</v>
      </c>
      <c r="E736" s="2">
        <v>8.1</v>
      </c>
      <c r="F736" s="1" t="s">
        <v>27</v>
      </c>
      <c r="G736" s="1" t="s">
        <v>20</v>
      </c>
      <c r="H736" s="1" t="s">
        <v>20</v>
      </c>
      <c r="I736" s="1" t="s">
        <v>20</v>
      </c>
      <c r="J736" s="2">
        <v>74.599999999999994</v>
      </c>
      <c r="K736" s="3">
        <v>74</v>
      </c>
      <c r="L736" s="3" t="str">
        <f t="shared" si="11"/>
        <v>70-74</v>
      </c>
      <c r="M736" s="1" t="s">
        <v>32</v>
      </c>
    </row>
    <row r="737" spans="1:13" x14ac:dyDescent="0.35">
      <c r="A737">
        <v>734</v>
      </c>
      <c r="B737" s="1" t="s">
        <v>23</v>
      </c>
      <c r="C737" s="2">
        <v>5.0999999999999996</v>
      </c>
      <c r="D737" s="3">
        <v>83.1</v>
      </c>
      <c r="E737" s="2">
        <v>8.8000000000000007</v>
      </c>
      <c r="F737" s="1" t="s">
        <v>33</v>
      </c>
      <c r="G737" s="1" t="s">
        <v>19</v>
      </c>
      <c r="H737" s="1" t="s">
        <v>20</v>
      </c>
      <c r="I737" s="1" t="s">
        <v>20</v>
      </c>
      <c r="J737" s="2">
        <v>86.3</v>
      </c>
      <c r="K737" s="3">
        <v>100</v>
      </c>
      <c r="L737" s="3" t="str">
        <f t="shared" si="11"/>
        <v>95-100</v>
      </c>
      <c r="M737" s="1" t="s">
        <v>21</v>
      </c>
    </row>
    <row r="738" spans="1:13" x14ac:dyDescent="0.35">
      <c r="A738">
        <v>735</v>
      </c>
      <c r="B738" s="1" t="s">
        <v>23</v>
      </c>
      <c r="C738" s="2">
        <v>5.2</v>
      </c>
      <c r="D738" s="3">
        <v>100</v>
      </c>
      <c r="E738" s="2">
        <v>6.2</v>
      </c>
      <c r="F738" s="1" t="s">
        <v>27</v>
      </c>
      <c r="G738" s="1" t="s">
        <v>19</v>
      </c>
      <c r="H738" s="1" t="s">
        <v>20</v>
      </c>
      <c r="I738" s="1" t="s">
        <v>19</v>
      </c>
      <c r="J738" s="2">
        <v>68.2</v>
      </c>
      <c r="K738" s="3">
        <v>80</v>
      </c>
      <c r="L738" s="3" t="str">
        <f t="shared" si="11"/>
        <v>80-84</v>
      </c>
      <c r="M738" s="1" t="s">
        <v>32</v>
      </c>
    </row>
    <row r="739" spans="1:13" x14ac:dyDescent="0.35">
      <c r="A739">
        <v>736</v>
      </c>
      <c r="B739" s="1" t="s">
        <v>17</v>
      </c>
      <c r="C739" s="2">
        <v>5.3</v>
      </c>
      <c r="D739" s="3">
        <v>92.8</v>
      </c>
      <c r="E739" s="2">
        <v>6.1</v>
      </c>
      <c r="F739" s="1" t="s">
        <v>18</v>
      </c>
      <c r="G739" s="1" t="s">
        <v>19</v>
      </c>
      <c r="H739" s="1" t="s">
        <v>19</v>
      </c>
      <c r="I739" s="1" t="s">
        <v>20</v>
      </c>
      <c r="J739" s="2">
        <v>62.1</v>
      </c>
      <c r="K739" s="3">
        <v>91</v>
      </c>
      <c r="L739" s="3" t="str">
        <f t="shared" si="11"/>
        <v>90-94</v>
      </c>
      <c r="M739" s="1" t="s">
        <v>21</v>
      </c>
    </row>
    <row r="740" spans="1:13" x14ac:dyDescent="0.35">
      <c r="A740">
        <v>737</v>
      </c>
      <c r="B740" s="1" t="s">
        <v>23</v>
      </c>
      <c r="C740" s="2">
        <v>4.5</v>
      </c>
      <c r="D740" s="3">
        <v>84.8</v>
      </c>
      <c r="E740" s="2">
        <v>7.4</v>
      </c>
      <c r="F740" s="1" t="s">
        <v>24</v>
      </c>
      <c r="G740" s="1" t="s">
        <v>20</v>
      </c>
      <c r="H740" s="1" t="s">
        <v>19</v>
      </c>
      <c r="I740" s="1" t="s">
        <v>20</v>
      </c>
      <c r="J740" s="2">
        <v>80.5</v>
      </c>
      <c r="K740" s="3">
        <v>95</v>
      </c>
      <c r="L740" s="3" t="str">
        <f t="shared" si="11"/>
        <v>95-100</v>
      </c>
      <c r="M740" s="1" t="s">
        <v>21</v>
      </c>
    </row>
    <row r="741" spans="1:13" x14ac:dyDescent="0.35">
      <c r="A741">
        <v>738</v>
      </c>
      <c r="B741" s="1" t="s">
        <v>17</v>
      </c>
      <c r="C741" s="2">
        <v>1.8</v>
      </c>
      <c r="D741" s="3">
        <v>82.4</v>
      </c>
      <c r="E741" s="2">
        <v>6.4</v>
      </c>
      <c r="F741" s="1" t="s">
        <v>24</v>
      </c>
      <c r="G741" s="1" t="s">
        <v>19</v>
      </c>
      <c r="H741" s="1" t="s">
        <v>20</v>
      </c>
      <c r="I741" s="1" t="s">
        <v>19</v>
      </c>
      <c r="J741" s="2">
        <v>70.900000000000006</v>
      </c>
      <c r="K741" s="3">
        <v>67</v>
      </c>
      <c r="L741" s="3" t="str">
        <f t="shared" si="11"/>
        <v>65-69</v>
      </c>
      <c r="M741" s="1" t="s">
        <v>30</v>
      </c>
    </row>
    <row r="742" spans="1:13" x14ac:dyDescent="0.35">
      <c r="A742">
        <v>739</v>
      </c>
      <c r="B742" s="1" t="s">
        <v>17</v>
      </c>
      <c r="C742" s="2">
        <v>6</v>
      </c>
      <c r="D742" s="3">
        <v>85.2</v>
      </c>
      <c r="E742" s="2">
        <v>6.6</v>
      </c>
      <c r="F742" s="1" t="s">
        <v>33</v>
      </c>
      <c r="G742" s="1" t="s">
        <v>19</v>
      </c>
      <c r="H742" s="1" t="s">
        <v>19</v>
      </c>
      <c r="I742" s="1" t="s">
        <v>20</v>
      </c>
      <c r="J742" s="2">
        <v>72.2</v>
      </c>
      <c r="K742" s="3">
        <v>93</v>
      </c>
      <c r="L742" s="3" t="str">
        <f t="shared" si="11"/>
        <v>90-94</v>
      </c>
      <c r="M742" s="1" t="s">
        <v>21</v>
      </c>
    </row>
    <row r="743" spans="1:13" x14ac:dyDescent="0.35">
      <c r="A743">
        <v>740</v>
      </c>
      <c r="B743" s="1" t="s">
        <v>23</v>
      </c>
      <c r="C743" s="2">
        <v>1.8</v>
      </c>
      <c r="D743" s="3">
        <v>90.5</v>
      </c>
      <c r="E743" s="2">
        <v>7.7</v>
      </c>
      <c r="F743" s="1" t="s">
        <v>24</v>
      </c>
      <c r="G743" s="1" t="s">
        <v>19</v>
      </c>
      <c r="H743" s="1" t="s">
        <v>19</v>
      </c>
      <c r="I743" s="1" t="s">
        <v>20</v>
      </c>
      <c r="J743" s="2">
        <v>60</v>
      </c>
      <c r="K743" s="3">
        <v>82</v>
      </c>
      <c r="L743" s="3" t="str">
        <f t="shared" si="11"/>
        <v>80-84</v>
      </c>
      <c r="M743" s="1" t="s">
        <v>28</v>
      </c>
    </row>
    <row r="744" spans="1:13" x14ac:dyDescent="0.35">
      <c r="A744">
        <v>741</v>
      </c>
      <c r="B744" s="1" t="s">
        <v>17</v>
      </c>
      <c r="C744" s="2">
        <v>4</v>
      </c>
      <c r="D744" s="3">
        <v>73.2</v>
      </c>
      <c r="E744" s="2">
        <v>4.5</v>
      </c>
      <c r="F744" s="1" t="s">
        <v>24</v>
      </c>
      <c r="G744" s="1" t="s">
        <v>19</v>
      </c>
      <c r="H744" s="1" t="s">
        <v>20</v>
      </c>
      <c r="I744" s="1" t="s">
        <v>20</v>
      </c>
      <c r="J744" s="2">
        <v>49.4</v>
      </c>
      <c r="K744" s="3">
        <v>63</v>
      </c>
      <c r="L744" s="3" t="str">
        <f t="shared" si="11"/>
        <v>60-64</v>
      </c>
      <c r="M744" s="1" t="s">
        <v>30</v>
      </c>
    </row>
    <row r="745" spans="1:13" x14ac:dyDescent="0.35">
      <c r="A745">
        <v>742</v>
      </c>
      <c r="B745" s="1" t="s">
        <v>23</v>
      </c>
      <c r="C745" s="2">
        <v>2.4</v>
      </c>
      <c r="D745" s="3">
        <v>96.1</v>
      </c>
      <c r="E745" s="2">
        <v>8.4</v>
      </c>
      <c r="F745" s="1" t="s">
        <v>18</v>
      </c>
      <c r="G745" s="1" t="s">
        <v>19</v>
      </c>
      <c r="H745" s="1" t="s">
        <v>19</v>
      </c>
      <c r="I745" s="1" t="s">
        <v>20</v>
      </c>
      <c r="J745" s="2">
        <v>72.8</v>
      </c>
      <c r="K745" s="3">
        <v>94</v>
      </c>
      <c r="L745" s="3" t="str">
        <f t="shared" si="11"/>
        <v>90-94</v>
      </c>
      <c r="M745" s="1" t="s">
        <v>21</v>
      </c>
    </row>
    <row r="746" spans="1:13" x14ac:dyDescent="0.35">
      <c r="A746">
        <v>743</v>
      </c>
      <c r="B746" s="1" t="s">
        <v>23</v>
      </c>
      <c r="C746" s="2">
        <v>3.4</v>
      </c>
      <c r="D746" s="3">
        <v>92.2</v>
      </c>
      <c r="E746" s="2">
        <v>6.9</v>
      </c>
      <c r="F746" s="1" t="s">
        <v>18</v>
      </c>
      <c r="G746" s="1" t="s">
        <v>19</v>
      </c>
      <c r="H746" s="1" t="s">
        <v>20</v>
      </c>
      <c r="I746" s="1" t="s">
        <v>19</v>
      </c>
      <c r="J746" s="2">
        <v>80.900000000000006</v>
      </c>
      <c r="K746" s="3">
        <v>85</v>
      </c>
      <c r="L746" s="3" t="str">
        <f t="shared" si="11"/>
        <v>85-89</v>
      </c>
      <c r="M746" s="1" t="s">
        <v>28</v>
      </c>
    </row>
    <row r="747" spans="1:13" x14ac:dyDescent="0.35">
      <c r="A747">
        <v>744</v>
      </c>
      <c r="B747" s="1" t="s">
        <v>17</v>
      </c>
      <c r="C747" s="2">
        <v>4</v>
      </c>
      <c r="D747" s="3">
        <v>92.2</v>
      </c>
      <c r="E747" s="2">
        <v>6.3</v>
      </c>
      <c r="F747" s="1" t="s">
        <v>18</v>
      </c>
      <c r="G747" s="1" t="s">
        <v>19</v>
      </c>
      <c r="H747" s="1" t="s">
        <v>20</v>
      </c>
      <c r="I747" s="1" t="s">
        <v>19</v>
      </c>
      <c r="J747" s="2">
        <v>67.3</v>
      </c>
      <c r="K747" s="3">
        <v>82</v>
      </c>
      <c r="L747" s="3" t="str">
        <f t="shared" si="11"/>
        <v>80-84</v>
      </c>
      <c r="M747" s="1" t="s">
        <v>28</v>
      </c>
    </row>
    <row r="748" spans="1:13" x14ac:dyDescent="0.35">
      <c r="A748">
        <v>745</v>
      </c>
      <c r="B748" s="1" t="s">
        <v>17</v>
      </c>
      <c r="C748" s="2">
        <v>4</v>
      </c>
      <c r="D748" s="3">
        <v>89.4</v>
      </c>
      <c r="E748" s="2">
        <v>6.7</v>
      </c>
      <c r="F748" s="1" t="s">
        <v>24</v>
      </c>
      <c r="G748" s="1" t="s">
        <v>19</v>
      </c>
      <c r="H748" s="1" t="s">
        <v>19</v>
      </c>
      <c r="I748" s="1" t="s">
        <v>20</v>
      </c>
      <c r="J748" s="2">
        <v>87.2</v>
      </c>
      <c r="K748" s="3">
        <v>90</v>
      </c>
      <c r="L748" s="3" t="str">
        <f t="shared" si="11"/>
        <v>90-94</v>
      </c>
      <c r="M748" s="1" t="s">
        <v>28</v>
      </c>
    </row>
    <row r="749" spans="1:13" x14ac:dyDescent="0.35">
      <c r="A749">
        <v>746</v>
      </c>
      <c r="B749" s="1" t="s">
        <v>23</v>
      </c>
      <c r="C749" s="2">
        <v>4.0999999999999996</v>
      </c>
      <c r="D749" s="3">
        <v>85.2</v>
      </c>
      <c r="E749" s="2">
        <v>6.8</v>
      </c>
      <c r="F749" s="1" t="s">
        <v>18</v>
      </c>
      <c r="G749" s="1" t="s">
        <v>19</v>
      </c>
      <c r="H749" s="1" t="s">
        <v>20</v>
      </c>
      <c r="I749" s="1" t="s">
        <v>19</v>
      </c>
      <c r="J749" s="2">
        <v>61.6</v>
      </c>
      <c r="K749" s="3">
        <v>83</v>
      </c>
      <c r="L749" s="3" t="str">
        <f t="shared" si="11"/>
        <v>80-84</v>
      </c>
      <c r="M749" s="1" t="s">
        <v>28</v>
      </c>
    </row>
    <row r="750" spans="1:13" x14ac:dyDescent="0.35">
      <c r="A750">
        <v>747</v>
      </c>
      <c r="B750" s="1" t="s">
        <v>17</v>
      </c>
      <c r="C750" s="2">
        <v>5.9</v>
      </c>
      <c r="D750" s="3">
        <v>91.7</v>
      </c>
      <c r="E750" s="2">
        <v>4.7</v>
      </c>
      <c r="F750" s="1" t="s">
        <v>18</v>
      </c>
      <c r="G750" s="1" t="s">
        <v>19</v>
      </c>
      <c r="H750" s="1" t="s">
        <v>19</v>
      </c>
      <c r="I750" s="1" t="s">
        <v>19</v>
      </c>
      <c r="J750" s="2">
        <v>57.3</v>
      </c>
      <c r="K750" s="3">
        <v>100</v>
      </c>
      <c r="L750" s="3" t="str">
        <f t="shared" si="11"/>
        <v>95-100</v>
      </c>
      <c r="M750" s="1" t="s">
        <v>21</v>
      </c>
    </row>
    <row r="751" spans="1:13" x14ac:dyDescent="0.35">
      <c r="A751">
        <v>748</v>
      </c>
      <c r="B751" s="1" t="s">
        <v>17</v>
      </c>
      <c r="C751" s="2">
        <v>4.2</v>
      </c>
      <c r="D751" s="3">
        <v>90.9</v>
      </c>
      <c r="E751" s="2">
        <v>8.6</v>
      </c>
      <c r="F751" s="1" t="s">
        <v>27</v>
      </c>
      <c r="G751" s="1" t="s">
        <v>20</v>
      </c>
      <c r="H751" s="1" t="s">
        <v>19</v>
      </c>
      <c r="I751" s="1" t="s">
        <v>20</v>
      </c>
      <c r="J751" s="2">
        <v>69.2</v>
      </c>
      <c r="K751" s="3">
        <v>92</v>
      </c>
      <c r="L751" s="3" t="str">
        <f t="shared" si="11"/>
        <v>90-94</v>
      </c>
      <c r="M751" s="1" t="s">
        <v>21</v>
      </c>
    </row>
    <row r="752" spans="1:13" x14ac:dyDescent="0.35">
      <c r="A752">
        <v>749</v>
      </c>
      <c r="B752" s="1" t="s">
        <v>17</v>
      </c>
      <c r="C752" s="2">
        <v>3.1</v>
      </c>
      <c r="D752" s="3">
        <v>81.5</v>
      </c>
      <c r="E752" s="2">
        <v>6.8</v>
      </c>
      <c r="F752" s="1" t="s">
        <v>33</v>
      </c>
      <c r="G752" s="1" t="s">
        <v>19</v>
      </c>
      <c r="H752" s="1" t="s">
        <v>19</v>
      </c>
      <c r="I752" s="1" t="s">
        <v>20</v>
      </c>
      <c r="J752" s="2">
        <v>69</v>
      </c>
      <c r="K752" s="3">
        <v>77</v>
      </c>
      <c r="L752" s="3" t="str">
        <f t="shared" si="11"/>
        <v>75-79</v>
      </c>
      <c r="M752" s="1" t="s">
        <v>32</v>
      </c>
    </row>
    <row r="753" spans="1:13" x14ac:dyDescent="0.35">
      <c r="A753">
        <v>750</v>
      </c>
      <c r="B753" s="1" t="s">
        <v>23</v>
      </c>
      <c r="C753" s="2">
        <v>4.9000000000000004</v>
      </c>
      <c r="D753" s="3">
        <v>79.3</v>
      </c>
      <c r="E753" s="2">
        <v>7.3</v>
      </c>
      <c r="F753" s="1" t="s">
        <v>27</v>
      </c>
      <c r="G753" s="1" t="s">
        <v>20</v>
      </c>
      <c r="H753" s="1" t="s">
        <v>20</v>
      </c>
      <c r="I753" s="1" t="s">
        <v>20</v>
      </c>
      <c r="J753" s="2">
        <v>79.2</v>
      </c>
      <c r="K753" s="3">
        <v>95</v>
      </c>
      <c r="L753" s="3" t="str">
        <f t="shared" si="11"/>
        <v>95-100</v>
      </c>
      <c r="M753" s="1" t="s">
        <v>21</v>
      </c>
    </row>
    <row r="754" spans="1:13" x14ac:dyDescent="0.35">
      <c r="A754">
        <v>751</v>
      </c>
      <c r="B754" s="1" t="s">
        <v>23</v>
      </c>
      <c r="C754" s="2">
        <v>5.3</v>
      </c>
      <c r="D754" s="3">
        <v>86</v>
      </c>
      <c r="E754" s="2">
        <v>7.9</v>
      </c>
      <c r="F754" s="1" t="s">
        <v>33</v>
      </c>
      <c r="G754" s="1" t="s">
        <v>19</v>
      </c>
      <c r="H754" s="1" t="s">
        <v>20</v>
      </c>
      <c r="I754" s="1" t="s">
        <v>20</v>
      </c>
      <c r="J754" s="2">
        <v>60.7</v>
      </c>
      <c r="K754" s="3">
        <v>89</v>
      </c>
      <c r="L754" s="3" t="str">
        <f t="shared" si="11"/>
        <v>85-89</v>
      </c>
      <c r="M754" s="1" t="s">
        <v>28</v>
      </c>
    </row>
    <row r="755" spans="1:13" x14ac:dyDescent="0.35">
      <c r="A755">
        <v>752</v>
      </c>
      <c r="B755" s="1" t="s">
        <v>17</v>
      </c>
      <c r="C755" s="2">
        <v>1.7</v>
      </c>
      <c r="D755" s="3">
        <v>100</v>
      </c>
      <c r="E755" s="2">
        <v>5.6</v>
      </c>
      <c r="F755" s="1" t="s">
        <v>18</v>
      </c>
      <c r="G755" s="1" t="s">
        <v>19</v>
      </c>
      <c r="H755" s="1" t="s">
        <v>19</v>
      </c>
      <c r="I755" s="1" t="s">
        <v>19</v>
      </c>
      <c r="J755" s="2">
        <v>86.4</v>
      </c>
      <c r="K755" s="3">
        <v>93</v>
      </c>
      <c r="L755" s="3" t="str">
        <f t="shared" si="11"/>
        <v>90-94</v>
      </c>
      <c r="M755" s="1" t="s">
        <v>21</v>
      </c>
    </row>
    <row r="756" spans="1:13" x14ac:dyDescent="0.35">
      <c r="A756">
        <v>753</v>
      </c>
      <c r="B756" s="1" t="s">
        <v>23</v>
      </c>
      <c r="C756" s="2">
        <v>4.4000000000000004</v>
      </c>
      <c r="D756" s="3">
        <v>72.599999999999994</v>
      </c>
      <c r="E756" s="2">
        <v>7.4</v>
      </c>
      <c r="F756" s="1" t="s">
        <v>24</v>
      </c>
      <c r="G756" s="1" t="s">
        <v>19</v>
      </c>
      <c r="H756" s="1" t="s">
        <v>20</v>
      </c>
      <c r="I756" s="1" t="s">
        <v>19</v>
      </c>
      <c r="J756" s="2">
        <v>93.6</v>
      </c>
      <c r="K756" s="3">
        <v>96</v>
      </c>
      <c r="L756" s="3" t="str">
        <f t="shared" si="11"/>
        <v>95-100</v>
      </c>
      <c r="M756" s="1" t="s">
        <v>21</v>
      </c>
    </row>
    <row r="757" spans="1:13" x14ac:dyDescent="0.35">
      <c r="A757">
        <v>754</v>
      </c>
      <c r="B757" s="1" t="s">
        <v>23</v>
      </c>
      <c r="C757" s="2">
        <v>4.5999999999999996</v>
      </c>
      <c r="D757" s="3">
        <v>70.3</v>
      </c>
      <c r="E757" s="2">
        <v>6.5</v>
      </c>
      <c r="F757" s="1" t="s">
        <v>33</v>
      </c>
      <c r="G757" s="1" t="s">
        <v>19</v>
      </c>
      <c r="H757" s="1" t="s">
        <v>19</v>
      </c>
      <c r="I757" s="1" t="s">
        <v>20</v>
      </c>
      <c r="J757" s="2">
        <v>69.5</v>
      </c>
      <c r="K757" s="3">
        <v>67</v>
      </c>
      <c r="L757" s="3" t="str">
        <f t="shared" si="11"/>
        <v>65-69</v>
      </c>
      <c r="M757" s="1" t="s">
        <v>30</v>
      </c>
    </row>
    <row r="758" spans="1:13" x14ac:dyDescent="0.35">
      <c r="A758">
        <v>755</v>
      </c>
      <c r="B758" s="1" t="s">
        <v>23</v>
      </c>
      <c r="C758" s="2">
        <v>3.1</v>
      </c>
      <c r="D758" s="3">
        <v>86.6</v>
      </c>
      <c r="E758" s="2">
        <v>7.8</v>
      </c>
      <c r="F758" s="1" t="s">
        <v>18</v>
      </c>
      <c r="G758" s="1" t="s">
        <v>19</v>
      </c>
      <c r="H758" s="1" t="s">
        <v>20</v>
      </c>
      <c r="I758" s="1" t="s">
        <v>20</v>
      </c>
      <c r="J758" s="2">
        <v>85</v>
      </c>
      <c r="K758" s="3">
        <v>85</v>
      </c>
      <c r="L758" s="3" t="str">
        <f t="shared" si="11"/>
        <v>85-89</v>
      </c>
      <c r="M758" s="1" t="s">
        <v>28</v>
      </c>
    </row>
    <row r="759" spans="1:13" x14ac:dyDescent="0.35">
      <c r="A759">
        <v>756</v>
      </c>
      <c r="B759" s="1" t="s">
        <v>23</v>
      </c>
      <c r="C759" s="2">
        <v>5.6</v>
      </c>
      <c r="D759" s="3">
        <v>85.5</v>
      </c>
      <c r="E759" s="2">
        <v>4.2</v>
      </c>
      <c r="F759" s="1" t="s">
        <v>18</v>
      </c>
      <c r="G759" s="1" t="s">
        <v>19</v>
      </c>
      <c r="H759" s="1" t="s">
        <v>19</v>
      </c>
      <c r="I759" s="1" t="s">
        <v>19</v>
      </c>
      <c r="J759" s="2">
        <v>57.3</v>
      </c>
      <c r="K759" s="3">
        <v>90</v>
      </c>
      <c r="L759" s="3" t="str">
        <f t="shared" si="11"/>
        <v>90-94</v>
      </c>
      <c r="M759" s="1" t="s">
        <v>28</v>
      </c>
    </row>
    <row r="760" spans="1:13" x14ac:dyDescent="0.35">
      <c r="A760">
        <v>757</v>
      </c>
      <c r="B760" s="1" t="s">
        <v>23</v>
      </c>
      <c r="C760" s="2">
        <v>3.3</v>
      </c>
      <c r="D760" s="3">
        <v>86.7</v>
      </c>
      <c r="E760" s="2">
        <v>6.7</v>
      </c>
      <c r="F760" s="1" t="s">
        <v>18</v>
      </c>
      <c r="G760" s="1" t="s">
        <v>19</v>
      </c>
      <c r="H760" s="1" t="s">
        <v>20</v>
      </c>
      <c r="I760" s="1" t="s">
        <v>20</v>
      </c>
      <c r="J760" s="2">
        <v>82.9</v>
      </c>
      <c r="K760" s="3">
        <v>90</v>
      </c>
      <c r="L760" s="3" t="str">
        <f t="shared" si="11"/>
        <v>90-94</v>
      </c>
      <c r="M760" s="1" t="s">
        <v>21</v>
      </c>
    </row>
    <row r="761" spans="1:13" x14ac:dyDescent="0.35">
      <c r="A761">
        <v>758</v>
      </c>
      <c r="B761" s="1" t="s">
        <v>17</v>
      </c>
      <c r="C761" s="2">
        <v>3.7</v>
      </c>
      <c r="D761" s="3">
        <v>87.4</v>
      </c>
      <c r="E761" s="2">
        <v>6.1</v>
      </c>
      <c r="F761" s="1" t="s">
        <v>18</v>
      </c>
      <c r="G761" s="1" t="s">
        <v>19</v>
      </c>
      <c r="H761" s="1" t="s">
        <v>19</v>
      </c>
      <c r="I761" s="1" t="s">
        <v>19</v>
      </c>
      <c r="J761" s="2">
        <v>82.6</v>
      </c>
      <c r="K761" s="3">
        <v>83</v>
      </c>
      <c r="L761" s="3" t="str">
        <f t="shared" si="11"/>
        <v>80-84</v>
      </c>
      <c r="M761" s="1" t="s">
        <v>28</v>
      </c>
    </row>
    <row r="762" spans="1:13" x14ac:dyDescent="0.35">
      <c r="A762">
        <v>759</v>
      </c>
      <c r="B762" s="1" t="s">
        <v>17</v>
      </c>
      <c r="C762" s="2">
        <v>3.2</v>
      </c>
      <c r="D762" s="3">
        <v>82.8</v>
      </c>
      <c r="E762" s="2">
        <v>7.3</v>
      </c>
      <c r="F762" s="1" t="s">
        <v>24</v>
      </c>
      <c r="G762" s="1" t="s">
        <v>19</v>
      </c>
      <c r="H762" s="1" t="s">
        <v>19</v>
      </c>
      <c r="I762" s="1" t="s">
        <v>20</v>
      </c>
      <c r="J762" s="2">
        <v>80.400000000000006</v>
      </c>
      <c r="K762" s="3">
        <v>85</v>
      </c>
      <c r="L762" s="3" t="str">
        <f t="shared" si="11"/>
        <v>85-89</v>
      </c>
      <c r="M762" s="1" t="s">
        <v>28</v>
      </c>
    </row>
    <row r="763" spans="1:13" x14ac:dyDescent="0.35">
      <c r="A763">
        <v>760</v>
      </c>
      <c r="B763" s="1" t="s">
        <v>17</v>
      </c>
      <c r="C763" s="2">
        <v>3.5</v>
      </c>
      <c r="D763" s="3">
        <v>99.9</v>
      </c>
      <c r="E763" s="2">
        <v>7.4</v>
      </c>
      <c r="F763" s="1" t="s">
        <v>18</v>
      </c>
      <c r="G763" s="1" t="s">
        <v>20</v>
      </c>
      <c r="H763" s="1" t="s">
        <v>19</v>
      </c>
      <c r="I763" s="1" t="s">
        <v>19</v>
      </c>
      <c r="J763" s="2">
        <v>69.8</v>
      </c>
      <c r="K763" s="3">
        <v>72</v>
      </c>
      <c r="L763" s="3" t="str">
        <f t="shared" si="11"/>
        <v>70-74</v>
      </c>
      <c r="M763" s="1" t="s">
        <v>32</v>
      </c>
    </row>
    <row r="764" spans="1:13" x14ac:dyDescent="0.35">
      <c r="A764">
        <v>761</v>
      </c>
      <c r="B764" s="1" t="s">
        <v>23</v>
      </c>
      <c r="C764" s="2">
        <v>1.9</v>
      </c>
      <c r="D764" s="3">
        <v>69</v>
      </c>
      <c r="E764" s="2">
        <v>6</v>
      </c>
      <c r="F764" s="1" t="s">
        <v>24</v>
      </c>
      <c r="G764" s="1" t="s">
        <v>19</v>
      </c>
      <c r="H764" s="1" t="s">
        <v>20</v>
      </c>
      <c r="I764" s="1" t="s">
        <v>19</v>
      </c>
      <c r="J764" s="2">
        <v>34.5</v>
      </c>
      <c r="K764" s="3">
        <v>53</v>
      </c>
      <c r="L764" s="3" t="str">
        <f t="shared" si="11"/>
        <v>Below 55</v>
      </c>
      <c r="M764" s="1" t="s">
        <v>35</v>
      </c>
    </row>
    <row r="765" spans="1:13" x14ac:dyDescent="0.35">
      <c r="A765">
        <v>762</v>
      </c>
      <c r="B765" s="1" t="s">
        <v>23</v>
      </c>
      <c r="C765" s="2">
        <v>1.3</v>
      </c>
      <c r="D765" s="3">
        <v>76.7</v>
      </c>
      <c r="E765" s="2">
        <v>5.9</v>
      </c>
      <c r="F765" s="1" t="s">
        <v>33</v>
      </c>
      <c r="G765" s="1" t="s">
        <v>20</v>
      </c>
      <c r="H765" s="1" t="s">
        <v>19</v>
      </c>
      <c r="I765" s="1" t="s">
        <v>19</v>
      </c>
      <c r="J765" s="2">
        <v>62.3</v>
      </c>
      <c r="K765" s="3">
        <v>74</v>
      </c>
      <c r="L765" s="3" t="str">
        <f t="shared" si="11"/>
        <v>70-74</v>
      </c>
      <c r="M765" s="1" t="s">
        <v>32</v>
      </c>
    </row>
    <row r="766" spans="1:13" x14ac:dyDescent="0.35">
      <c r="A766">
        <v>763</v>
      </c>
      <c r="B766" s="1" t="s">
        <v>17</v>
      </c>
      <c r="C766" s="2">
        <v>5.9</v>
      </c>
      <c r="D766" s="3">
        <v>84</v>
      </c>
      <c r="E766" s="2">
        <v>6.7</v>
      </c>
      <c r="F766" s="1" t="s">
        <v>24</v>
      </c>
      <c r="G766" s="1" t="s">
        <v>19</v>
      </c>
      <c r="H766" s="1" t="s">
        <v>20</v>
      </c>
      <c r="I766" s="1" t="s">
        <v>20</v>
      </c>
      <c r="J766" s="2">
        <v>62.5</v>
      </c>
      <c r="K766" s="3">
        <v>97</v>
      </c>
      <c r="L766" s="3" t="str">
        <f t="shared" si="11"/>
        <v>95-100</v>
      </c>
      <c r="M766" s="1" t="s">
        <v>21</v>
      </c>
    </row>
    <row r="767" spans="1:13" x14ac:dyDescent="0.35">
      <c r="A767">
        <v>764</v>
      </c>
      <c r="B767" s="1" t="s">
        <v>23</v>
      </c>
      <c r="C767" s="2">
        <v>2.2000000000000002</v>
      </c>
      <c r="D767" s="3">
        <v>68.599999999999994</v>
      </c>
      <c r="E767" s="2">
        <v>5.7</v>
      </c>
      <c r="F767" s="1" t="s">
        <v>24</v>
      </c>
      <c r="G767" s="1" t="s">
        <v>19</v>
      </c>
      <c r="H767" s="1" t="s">
        <v>19</v>
      </c>
      <c r="I767" s="1" t="s">
        <v>20</v>
      </c>
      <c r="J767" s="2">
        <v>58.3</v>
      </c>
      <c r="K767" s="3">
        <v>81</v>
      </c>
      <c r="L767" s="3" t="str">
        <f t="shared" si="11"/>
        <v>80-84</v>
      </c>
      <c r="M767" s="1" t="s">
        <v>28</v>
      </c>
    </row>
    <row r="768" spans="1:13" x14ac:dyDescent="0.35">
      <c r="A768">
        <v>765</v>
      </c>
      <c r="B768" s="1" t="s">
        <v>17</v>
      </c>
      <c r="C768" s="2">
        <v>2</v>
      </c>
      <c r="D768" s="3">
        <v>83.2</v>
      </c>
      <c r="E768" s="2">
        <v>7.8</v>
      </c>
      <c r="F768" s="1" t="s">
        <v>18</v>
      </c>
      <c r="G768" s="1" t="s">
        <v>19</v>
      </c>
      <c r="H768" s="1" t="s">
        <v>19</v>
      </c>
      <c r="I768" s="1" t="s">
        <v>20</v>
      </c>
      <c r="J768" s="2">
        <v>71.5</v>
      </c>
      <c r="K768" s="3">
        <v>85</v>
      </c>
      <c r="L768" s="3" t="str">
        <f t="shared" si="11"/>
        <v>85-89</v>
      </c>
      <c r="M768" s="1" t="s">
        <v>28</v>
      </c>
    </row>
    <row r="769" spans="1:13" x14ac:dyDescent="0.35">
      <c r="A769">
        <v>766</v>
      </c>
      <c r="B769" s="1" t="s">
        <v>17</v>
      </c>
      <c r="C769" s="2">
        <v>0.5</v>
      </c>
      <c r="D769" s="3">
        <v>100</v>
      </c>
      <c r="E769" s="2">
        <v>6.4</v>
      </c>
      <c r="F769" s="1" t="s">
        <v>33</v>
      </c>
      <c r="G769" s="1" t="s">
        <v>19</v>
      </c>
      <c r="H769" s="1" t="s">
        <v>19</v>
      </c>
      <c r="I769" s="1" t="s">
        <v>20</v>
      </c>
      <c r="J769" s="2">
        <v>65</v>
      </c>
      <c r="K769" s="3">
        <v>81</v>
      </c>
      <c r="L769" s="3" t="str">
        <f t="shared" si="11"/>
        <v>80-84</v>
      </c>
      <c r="M769" s="1" t="s">
        <v>28</v>
      </c>
    </row>
    <row r="770" spans="1:13" x14ac:dyDescent="0.35">
      <c r="A770">
        <v>767</v>
      </c>
      <c r="B770" s="1" t="s">
        <v>17</v>
      </c>
      <c r="C770" s="2">
        <v>2.5</v>
      </c>
      <c r="D770" s="3">
        <v>85.2</v>
      </c>
      <c r="E770" s="2">
        <v>3.3</v>
      </c>
      <c r="F770" s="1" t="s">
        <v>18</v>
      </c>
      <c r="G770" s="1" t="s">
        <v>19</v>
      </c>
      <c r="H770" s="1" t="s">
        <v>20</v>
      </c>
      <c r="I770" s="1" t="s">
        <v>20</v>
      </c>
      <c r="J770" s="2">
        <v>60.1</v>
      </c>
      <c r="K770" s="3">
        <v>84</v>
      </c>
      <c r="L770" s="3" t="str">
        <f t="shared" si="11"/>
        <v>80-84</v>
      </c>
      <c r="M770" s="1" t="s">
        <v>28</v>
      </c>
    </row>
    <row r="771" spans="1:13" x14ac:dyDescent="0.35">
      <c r="A771">
        <v>768</v>
      </c>
      <c r="B771" s="1" t="s">
        <v>23</v>
      </c>
      <c r="C771" s="2">
        <v>1.5</v>
      </c>
      <c r="D771" s="3">
        <v>87.3</v>
      </c>
      <c r="E771" s="2">
        <v>6.4</v>
      </c>
      <c r="F771" s="1" t="s">
        <v>24</v>
      </c>
      <c r="G771" s="1" t="s">
        <v>19</v>
      </c>
      <c r="H771" s="1" t="s">
        <v>19</v>
      </c>
      <c r="I771" s="1" t="s">
        <v>19</v>
      </c>
      <c r="J771" s="2">
        <v>57.3</v>
      </c>
      <c r="K771" s="3">
        <v>71</v>
      </c>
      <c r="L771" s="3" t="str">
        <f t="shared" si="11"/>
        <v>70-74</v>
      </c>
      <c r="M771" s="1" t="s">
        <v>32</v>
      </c>
    </row>
    <row r="772" spans="1:13" x14ac:dyDescent="0.35">
      <c r="A772">
        <v>769</v>
      </c>
      <c r="B772" s="1" t="s">
        <v>23</v>
      </c>
      <c r="C772" s="2">
        <v>6</v>
      </c>
      <c r="D772" s="3">
        <v>72.400000000000006</v>
      </c>
      <c r="E772" s="2">
        <v>5.6</v>
      </c>
      <c r="F772" s="1" t="s">
        <v>18</v>
      </c>
      <c r="G772" s="1" t="s">
        <v>19</v>
      </c>
      <c r="H772" s="1" t="s">
        <v>20</v>
      </c>
      <c r="I772" s="1" t="s">
        <v>20</v>
      </c>
      <c r="J772" s="2">
        <v>61.4</v>
      </c>
      <c r="K772" s="3">
        <v>86</v>
      </c>
      <c r="L772" s="3" t="str">
        <f t="shared" si="11"/>
        <v>85-89</v>
      </c>
      <c r="M772" s="1" t="s">
        <v>28</v>
      </c>
    </row>
    <row r="773" spans="1:13" x14ac:dyDescent="0.35">
      <c r="A773">
        <v>770</v>
      </c>
      <c r="B773" s="1" t="s">
        <v>17</v>
      </c>
      <c r="C773" s="2">
        <v>5</v>
      </c>
      <c r="D773" s="3">
        <v>78.8</v>
      </c>
      <c r="E773" s="2">
        <v>4.8</v>
      </c>
      <c r="F773" s="1" t="s">
        <v>24</v>
      </c>
      <c r="G773" s="1" t="s">
        <v>19</v>
      </c>
      <c r="H773" s="1" t="s">
        <v>20</v>
      </c>
      <c r="I773" s="1" t="s">
        <v>20</v>
      </c>
      <c r="J773" s="2">
        <v>83.5</v>
      </c>
      <c r="K773" s="3">
        <v>98</v>
      </c>
      <c r="L773" s="3" t="str">
        <f t="shared" ref="L773:L836" si="12">IF(K773&gt;=95,"95-100",IF(K773&gt;=90,"90-94",IF(K773&gt;=85,"85-89",IF(K773&gt;=80,"80-84",IF(K773&gt;=75,"75-79",IF(K773&gt;=70,"70-74",IF(K773&gt;=65,"65-69",IF(K773&gt;=60,"60-64",IF(K773&gt;=55,"55-59","Below 55")))))))))</f>
        <v>95-100</v>
      </c>
      <c r="M773" s="1" t="s">
        <v>21</v>
      </c>
    </row>
    <row r="774" spans="1:13" x14ac:dyDescent="0.35">
      <c r="A774">
        <v>771</v>
      </c>
      <c r="B774" s="1" t="s">
        <v>17</v>
      </c>
      <c r="C774" s="2">
        <v>2.5</v>
      </c>
      <c r="D774" s="3">
        <v>81.2</v>
      </c>
      <c r="E774" s="2">
        <v>5.3</v>
      </c>
      <c r="F774" s="1" t="s">
        <v>27</v>
      </c>
      <c r="G774" s="1" t="s">
        <v>19</v>
      </c>
      <c r="H774" s="1" t="s">
        <v>20</v>
      </c>
      <c r="I774" s="1" t="s">
        <v>20</v>
      </c>
      <c r="J774" s="2">
        <v>62.1</v>
      </c>
      <c r="K774" s="3">
        <v>83</v>
      </c>
      <c r="L774" s="3" t="str">
        <f t="shared" si="12"/>
        <v>80-84</v>
      </c>
      <c r="M774" s="1" t="s">
        <v>28</v>
      </c>
    </row>
    <row r="775" spans="1:13" x14ac:dyDescent="0.35">
      <c r="A775">
        <v>772</v>
      </c>
      <c r="B775" s="1" t="s">
        <v>17</v>
      </c>
      <c r="C775" s="2">
        <v>6.9</v>
      </c>
      <c r="D775" s="3">
        <v>81.8</v>
      </c>
      <c r="E775" s="2">
        <v>6.9</v>
      </c>
      <c r="F775" s="1" t="s">
        <v>27</v>
      </c>
      <c r="G775" s="1" t="s">
        <v>19</v>
      </c>
      <c r="H775" s="1" t="s">
        <v>19</v>
      </c>
      <c r="I775" s="1" t="s">
        <v>19</v>
      </c>
      <c r="J775" s="2">
        <v>63.8</v>
      </c>
      <c r="K775" s="3">
        <v>92</v>
      </c>
      <c r="L775" s="3" t="str">
        <f t="shared" si="12"/>
        <v>90-94</v>
      </c>
      <c r="M775" s="1" t="s">
        <v>21</v>
      </c>
    </row>
    <row r="776" spans="1:13" x14ac:dyDescent="0.35">
      <c r="A776">
        <v>773</v>
      </c>
      <c r="B776" s="1" t="s">
        <v>17</v>
      </c>
      <c r="C776" s="2">
        <v>5</v>
      </c>
      <c r="D776" s="3">
        <v>97.8</v>
      </c>
      <c r="E776" s="2">
        <v>8.4</v>
      </c>
      <c r="F776" s="1" t="s">
        <v>18</v>
      </c>
      <c r="G776" s="1" t="s">
        <v>19</v>
      </c>
      <c r="H776" s="1" t="s">
        <v>20</v>
      </c>
      <c r="I776" s="1" t="s">
        <v>20</v>
      </c>
      <c r="J776" s="2">
        <v>64.5</v>
      </c>
      <c r="K776" s="3">
        <v>91</v>
      </c>
      <c r="L776" s="3" t="str">
        <f t="shared" si="12"/>
        <v>90-94</v>
      </c>
      <c r="M776" s="1" t="s">
        <v>21</v>
      </c>
    </row>
    <row r="777" spans="1:13" x14ac:dyDescent="0.35">
      <c r="A777">
        <v>774</v>
      </c>
      <c r="B777" s="1" t="s">
        <v>23</v>
      </c>
      <c r="C777" s="2">
        <v>3</v>
      </c>
      <c r="D777" s="3">
        <v>90.6</v>
      </c>
      <c r="E777" s="2">
        <v>7.2</v>
      </c>
      <c r="F777" s="1" t="s">
        <v>24</v>
      </c>
      <c r="G777" s="1" t="s">
        <v>19</v>
      </c>
      <c r="H777" s="1" t="s">
        <v>20</v>
      </c>
      <c r="I777" s="1" t="s">
        <v>19</v>
      </c>
      <c r="J777" s="2">
        <v>74.099999999999994</v>
      </c>
      <c r="K777" s="3">
        <v>84</v>
      </c>
      <c r="L777" s="3" t="str">
        <f t="shared" si="12"/>
        <v>80-84</v>
      </c>
      <c r="M777" s="1" t="s">
        <v>28</v>
      </c>
    </row>
    <row r="778" spans="1:13" x14ac:dyDescent="0.35">
      <c r="A778">
        <v>775</v>
      </c>
      <c r="B778" s="1" t="s">
        <v>23</v>
      </c>
      <c r="C778" s="2">
        <v>0.5</v>
      </c>
      <c r="D778" s="3">
        <v>73.900000000000006</v>
      </c>
      <c r="E778" s="2">
        <v>6.1</v>
      </c>
      <c r="F778" s="1" t="s">
        <v>33</v>
      </c>
      <c r="G778" s="1" t="s">
        <v>19</v>
      </c>
      <c r="H778" s="1" t="s">
        <v>19</v>
      </c>
      <c r="I778" s="1" t="s">
        <v>20</v>
      </c>
      <c r="J778" s="2">
        <v>75.5</v>
      </c>
      <c r="K778" s="3">
        <v>75</v>
      </c>
      <c r="L778" s="3" t="str">
        <f t="shared" si="12"/>
        <v>75-79</v>
      </c>
      <c r="M778" s="1" t="s">
        <v>32</v>
      </c>
    </row>
    <row r="779" spans="1:13" x14ac:dyDescent="0.35">
      <c r="A779">
        <v>776</v>
      </c>
      <c r="B779" s="1" t="s">
        <v>17</v>
      </c>
      <c r="C779" s="2">
        <v>6.9</v>
      </c>
      <c r="D779" s="3">
        <v>87.5</v>
      </c>
      <c r="E779" s="2">
        <v>7.3</v>
      </c>
      <c r="F779" s="1" t="s">
        <v>24</v>
      </c>
      <c r="G779" s="1" t="s">
        <v>19</v>
      </c>
      <c r="H779" s="1" t="s">
        <v>20</v>
      </c>
      <c r="I779" s="1" t="s">
        <v>19</v>
      </c>
      <c r="J779" s="2">
        <v>33.5</v>
      </c>
      <c r="K779" s="3">
        <v>89</v>
      </c>
      <c r="L779" s="3" t="str">
        <f t="shared" si="12"/>
        <v>85-89</v>
      </c>
      <c r="M779" s="1" t="s">
        <v>28</v>
      </c>
    </row>
    <row r="780" spans="1:13" x14ac:dyDescent="0.35">
      <c r="A780">
        <v>777</v>
      </c>
      <c r="B780" s="1" t="s">
        <v>17</v>
      </c>
      <c r="C780" s="2">
        <v>1.4</v>
      </c>
      <c r="D780" s="3">
        <v>90</v>
      </c>
      <c r="E780" s="2">
        <v>6.2</v>
      </c>
      <c r="F780" s="1" t="s">
        <v>18</v>
      </c>
      <c r="G780" s="1" t="s">
        <v>19</v>
      </c>
      <c r="H780" s="1" t="s">
        <v>19</v>
      </c>
      <c r="I780" s="1" t="s">
        <v>20</v>
      </c>
      <c r="J780" s="2">
        <v>82.3</v>
      </c>
      <c r="K780" s="3">
        <v>74</v>
      </c>
      <c r="L780" s="3" t="str">
        <f t="shared" si="12"/>
        <v>70-74</v>
      </c>
      <c r="M780" s="1" t="s">
        <v>32</v>
      </c>
    </row>
    <row r="781" spans="1:13" x14ac:dyDescent="0.35">
      <c r="A781">
        <v>778</v>
      </c>
      <c r="B781" s="1" t="s">
        <v>23</v>
      </c>
      <c r="C781" s="2">
        <v>1</v>
      </c>
      <c r="D781" s="3">
        <v>96.4</v>
      </c>
      <c r="E781" s="2">
        <v>6</v>
      </c>
      <c r="F781" s="1" t="s">
        <v>24</v>
      </c>
      <c r="G781" s="1" t="s">
        <v>19</v>
      </c>
      <c r="H781" s="1" t="s">
        <v>19</v>
      </c>
      <c r="I781" s="1" t="s">
        <v>20</v>
      </c>
      <c r="J781" s="2">
        <v>87.2</v>
      </c>
      <c r="K781" s="3">
        <v>96</v>
      </c>
      <c r="L781" s="3" t="str">
        <f t="shared" si="12"/>
        <v>95-100</v>
      </c>
      <c r="M781" s="1" t="s">
        <v>21</v>
      </c>
    </row>
    <row r="782" spans="1:13" x14ac:dyDescent="0.35">
      <c r="A782">
        <v>779</v>
      </c>
      <c r="B782" s="1" t="s">
        <v>23</v>
      </c>
      <c r="C782" s="2">
        <v>5</v>
      </c>
      <c r="D782" s="3">
        <v>100</v>
      </c>
      <c r="E782" s="2">
        <v>5.4</v>
      </c>
      <c r="F782" s="1" t="s">
        <v>27</v>
      </c>
      <c r="G782" s="1" t="s">
        <v>19</v>
      </c>
      <c r="H782" s="1" t="s">
        <v>19</v>
      </c>
      <c r="I782" s="1" t="s">
        <v>20</v>
      </c>
      <c r="J782" s="2">
        <v>57.4</v>
      </c>
      <c r="K782" s="3">
        <v>87</v>
      </c>
      <c r="L782" s="3" t="str">
        <f t="shared" si="12"/>
        <v>85-89</v>
      </c>
      <c r="M782" s="1" t="s">
        <v>28</v>
      </c>
    </row>
    <row r="783" spans="1:13" x14ac:dyDescent="0.35">
      <c r="A783">
        <v>780</v>
      </c>
      <c r="B783" s="1" t="s">
        <v>17</v>
      </c>
      <c r="C783" s="2">
        <v>7.2</v>
      </c>
      <c r="D783" s="3">
        <v>74.8</v>
      </c>
      <c r="E783" s="2">
        <v>4.7</v>
      </c>
      <c r="F783" s="1" t="s">
        <v>24</v>
      </c>
      <c r="G783" s="1" t="s">
        <v>19</v>
      </c>
      <c r="H783" s="1" t="s">
        <v>19</v>
      </c>
      <c r="I783" s="1" t="s">
        <v>20</v>
      </c>
      <c r="J783" s="2">
        <v>58.3</v>
      </c>
      <c r="K783" s="3">
        <v>90</v>
      </c>
      <c r="L783" s="3" t="str">
        <f t="shared" si="12"/>
        <v>90-94</v>
      </c>
      <c r="M783" s="1" t="s">
        <v>28</v>
      </c>
    </row>
    <row r="784" spans="1:13" x14ac:dyDescent="0.35">
      <c r="A784">
        <v>781</v>
      </c>
      <c r="B784" s="1" t="s">
        <v>17</v>
      </c>
      <c r="C784" s="2">
        <v>5.6</v>
      </c>
      <c r="D784" s="3">
        <v>76.900000000000006</v>
      </c>
      <c r="E784" s="2">
        <v>6.3</v>
      </c>
      <c r="F784" s="1" t="s">
        <v>18</v>
      </c>
      <c r="G784" s="1" t="s">
        <v>20</v>
      </c>
      <c r="H784" s="1" t="s">
        <v>19</v>
      </c>
      <c r="I784" s="1" t="s">
        <v>20</v>
      </c>
      <c r="J784" s="2">
        <v>64.599999999999994</v>
      </c>
      <c r="K784" s="3">
        <v>79</v>
      </c>
      <c r="L784" s="3" t="str">
        <f t="shared" si="12"/>
        <v>75-79</v>
      </c>
      <c r="M784" s="1" t="s">
        <v>32</v>
      </c>
    </row>
    <row r="785" spans="1:13" x14ac:dyDescent="0.35">
      <c r="A785">
        <v>782</v>
      </c>
      <c r="B785" s="1" t="s">
        <v>17</v>
      </c>
      <c r="C785" s="2">
        <v>4.3</v>
      </c>
      <c r="D785" s="3">
        <v>72.400000000000006</v>
      </c>
      <c r="E785" s="2">
        <v>7</v>
      </c>
      <c r="F785" s="1" t="s">
        <v>33</v>
      </c>
      <c r="G785" s="1" t="s">
        <v>19</v>
      </c>
      <c r="H785" s="1" t="s">
        <v>19</v>
      </c>
      <c r="I785" s="1" t="s">
        <v>20</v>
      </c>
      <c r="J785" s="2">
        <v>60.9</v>
      </c>
      <c r="K785" s="3">
        <v>98</v>
      </c>
      <c r="L785" s="3" t="str">
        <f t="shared" si="12"/>
        <v>95-100</v>
      </c>
      <c r="M785" s="1" t="s">
        <v>21</v>
      </c>
    </row>
    <row r="786" spans="1:13" x14ac:dyDescent="0.35">
      <c r="A786">
        <v>783</v>
      </c>
      <c r="B786" s="1" t="s">
        <v>23</v>
      </c>
      <c r="C786" s="2">
        <v>4.4000000000000004</v>
      </c>
      <c r="D786" s="3">
        <v>82.7</v>
      </c>
      <c r="E786" s="2">
        <v>6.7</v>
      </c>
      <c r="F786" s="1" t="s">
        <v>18</v>
      </c>
      <c r="G786" s="1" t="s">
        <v>19</v>
      </c>
      <c r="H786" s="1" t="s">
        <v>20</v>
      </c>
      <c r="I786" s="1" t="s">
        <v>20</v>
      </c>
      <c r="J786" s="2">
        <v>72.7</v>
      </c>
      <c r="K786" s="3">
        <v>90</v>
      </c>
      <c r="L786" s="3" t="str">
        <f t="shared" si="12"/>
        <v>90-94</v>
      </c>
      <c r="M786" s="1" t="s">
        <v>21</v>
      </c>
    </row>
    <row r="787" spans="1:13" x14ac:dyDescent="0.35">
      <c r="A787">
        <v>784</v>
      </c>
      <c r="B787" s="1" t="s">
        <v>23</v>
      </c>
      <c r="C787" s="2">
        <v>4.8</v>
      </c>
      <c r="D787" s="3">
        <v>89.7</v>
      </c>
      <c r="E787" s="2">
        <v>6.3</v>
      </c>
      <c r="F787" s="1" t="s">
        <v>24</v>
      </c>
      <c r="G787" s="1" t="s">
        <v>19</v>
      </c>
      <c r="H787" s="1" t="s">
        <v>19</v>
      </c>
      <c r="I787" s="1" t="s">
        <v>20</v>
      </c>
      <c r="J787" s="2">
        <v>46.6</v>
      </c>
      <c r="K787" s="3">
        <v>78</v>
      </c>
      <c r="L787" s="3" t="str">
        <f t="shared" si="12"/>
        <v>75-79</v>
      </c>
      <c r="M787" s="1" t="s">
        <v>32</v>
      </c>
    </row>
    <row r="788" spans="1:13" x14ac:dyDescent="0.35">
      <c r="A788">
        <v>785</v>
      </c>
      <c r="B788" s="1" t="s">
        <v>23</v>
      </c>
      <c r="C788" s="2">
        <v>4.5999999999999996</v>
      </c>
      <c r="D788" s="3">
        <v>94.9</v>
      </c>
      <c r="E788" s="2">
        <v>5.7</v>
      </c>
      <c r="F788" s="1" t="s">
        <v>27</v>
      </c>
      <c r="G788" s="1" t="s">
        <v>19</v>
      </c>
      <c r="H788" s="1" t="s">
        <v>19</v>
      </c>
      <c r="I788" s="1" t="s">
        <v>20</v>
      </c>
      <c r="J788" s="2">
        <v>56.6</v>
      </c>
      <c r="K788" s="3">
        <v>93</v>
      </c>
      <c r="L788" s="3" t="str">
        <f t="shared" si="12"/>
        <v>90-94</v>
      </c>
      <c r="M788" s="1" t="s">
        <v>21</v>
      </c>
    </row>
    <row r="789" spans="1:13" x14ac:dyDescent="0.35">
      <c r="A789">
        <v>786</v>
      </c>
      <c r="B789" s="1" t="s">
        <v>17</v>
      </c>
      <c r="C789" s="2">
        <v>3.9</v>
      </c>
      <c r="D789" s="3">
        <v>84.2</v>
      </c>
      <c r="E789" s="2">
        <v>7.5</v>
      </c>
      <c r="F789" s="1" t="s">
        <v>18</v>
      </c>
      <c r="G789" s="1" t="s">
        <v>19</v>
      </c>
      <c r="H789" s="1" t="s">
        <v>19</v>
      </c>
      <c r="I789" s="1" t="s">
        <v>19</v>
      </c>
      <c r="J789" s="2">
        <v>88.5</v>
      </c>
      <c r="K789" s="3">
        <v>97</v>
      </c>
      <c r="L789" s="3" t="str">
        <f t="shared" si="12"/>
        <v>95-100</v>
      </c>
      <c r="M789" s="1" t="s">
        <v>21</v>
      </c>
    </row>
    <row r="790" spans="1:13" x14ac:dyDescent="0.35">
      <c r="A790">
        <v>787</v>
      </c>
      <c r="B790" s="1" t="s">
        <v>17</v>
      </c>
      <c r="C790" s="2">
        <v>3.7</v>
      </c>
      <c r="D790" s="3">
        <v>81.8</v>
      </c>
      <c r="E790" s="2">
        <v>5.2</v>
      </c>
      <c r="F790" s="1" t="s">
        <v>18</v>
      </c>
      <c r="G790" s="1" t="s">
        <v>19</v>
      </c>
      <c r="H790" s="1" t="s">
        <v>20</v>
      </c>
      <c r="I790" s="1" t="s">
        <v>20</v>
      </c>
      <c r="J790" s="2">
        <v>58.9</v>
      </c>
      <c r="K790" s="3">
        <v>77</v>
      </c>
      <c r="L790" s="3" t="str">
        <f t="shared" si="12"/>
        <v>75-79</v>
      </c>
      <c r="M790" s="1" t="s">
        <v>32</v>
      </c>
    </row>
    <row r="791" spans="1:13" x14ac:dyDescent="0.35">
      <c r="A791">
        <v>788</v>
      </c>
      <c r="B791" s="1" t="s">
        <v>23</v>
      </c>
      <c r="C791" s="2">
        <v>3.4</v>
      </c>
      <c r="D791" s="3">
        <v>86.5</v>
      </c>
      <c r="E791" s="2">
        <v>7.7</v>
      </c>
      <c r="F791" s="1" t="s">
        <v>24</v>
      </c>
      <c r="G791" s="1" t="s">
        <v>19</v>
      </c>
      <c r="H791" s="1" t="s">
        <v>20</v>
      </c>
      <c r="I791" s="1" t="s">
        <v>20</v>
      </c>
      <c r="J791" s="2">
        <v>84.9</v>
      </c>
      <c r="K791" s="3">
        <v>97</v>
      </c>
      <c r="L791" s="3" t="str">
        <f t="shared" si="12"/>
        <v>95-100</v>
      </c>
      <c r="M791" s="1" t="s">
        <v>21</v>
      </c>
    </row>
    <row r="792" spans="1:13" x14ac:dyDescent="0.35">
      <c r="A792">
        <v>789</v>
      </c>
      <c r="B792" s="1" t="s">
        <v>23</v>
      </c>
      <c r="C792" s="2">
        <v>2.4</v>
      </c>
      <c r="D792" s="3">
        <v>76.599999999999994</v>
      </c>
      <c r="E792" s="2">
        <v>5.6</v>
      </c>
      <c r="F792" s="1" t="s">
        <v>18</v>
      </c>
      <c r="G792" s="1" t="s">
        <v>19</v>
      </c>
      <c r="H792" s="1" t="s">
        <v>20</v>
      </c>
      <c r="I792" s="1" t="s">
        <v>20</v>
      </c>
      <c r="J792" s="2">
        <v>74.3</v>
      </c>
      <c r="K792" s="3">
        <v>72</v>
      </c>
      <c r="L792" s="3" t="str">
        <f t="shared" si="12"/>
        <v>70-74</v>
      </c>
      <c r="M792" s="1" t="s">
        <v>32</v>
      </c>
    </row>
    <row r="793" spans="1:13" x14ac:dyDescent="0.35">
      <c r="A793">
        <v>790</v>
      </c>
      <c r="B793" s="1" t="s">
        <v>17</v>
      </c>
      <c r="C793" s="2">
        <v>3.1</v>
      </c>
      <c r="D793" s="3">
        <v>100</v>
      </c>
      <c r="E793" s="2">
        <v>5.9</v>
      </c>
      <c r="F793" s="1" t="s">
        <v>18</v>
      </c>
      <c r="G793" s="1" t="s">
        <v>19</v>
      </c>
      <c r="H793" s="1" t="s">
        <v>20</v>
      </c>
      <c r="I793" s="1" t="s">
        <v>20</v>
      </c>
      <c r="J793" s="2">
        <v>48.3</v>
      </c>
      <c r="K793" s="3">
        <v>75</v>
      </c>
      <c r="L793" s="3" t="str">
        <f t="shared" si="12"/>
        <v>75-79</v>
      </c>
      <c r="M793" s="1" t="s">
        <v>32</v>
      </c>
    </row>
    <row r="794" spans="1:13" x14ac:dyDescent="0.35">
      <c r="A794">
        <v>791</v>
      </c>
      <c r="B794" s="1" t="s">
        <v>23</v>
      </c>
      <c r="C794" s="2">
        <v>1</v>
      </c>
      <c r="D794" s="3">
        <v>68.900000000000006</v>
      </c>
      <c r="E794" s="2">
        <v>5</v>
      </c>
      <c r="F794" s="1" t="s">
        <v>24</v>
      </c>
      <c r="G794" s="1" t="s">
        <v>19</v>
      </c>
      <c r="H794" s="1" t="s">
        <v>19</v>
      </c>
      <c r="I794" s="1" t="s">
        <v>20</v>
      </c>
      <c r="J794" s="2">
        <v>77.599999999999994</v>
      </c>
      <c r="K794" s="3">
        <v>58</v>
      </c>
      <c r="L794" s="3" t="str">
        <f t="shared" si="12"/>
        <v>55-59</v>
      </c>
      <c r="M794" s="1" t="s">
        <v>35</v>
      </c>
    </row>
    <row r="795" spans="1:13" x14ac:dyDescent="0.35">
      <c r="A795">
        <v>792</v>
      </c>
      <c r="B795" s="1" t="s">
        <v>23</v>
      </c>
      <c r="C795" s="2">
        <v>3.4</v>
      </c>
      <c r="D795" s="3">
        <v>86.8</v>
      </c>
      <c r="E795" s="2">
        <v>6.2</v>
      </c>
      <c r="F795" s="1" t="s">
        <v>24</v>
      </c>
      <c r="G795" s="1" t="s">
        <v>20</v>
      </c>
      <c r="H795" s="1" t="s">
        <v>20</v>
      </c>
      <c r="I795" s="1" t="s">
        <v>19</v>
      </c>
      <c r="J795" s="2">
        <v>68.599999999999994</v>
      </c>
      <c r="K795" s="3">
        <v>68</v>
      </c>
      <c r="L795" s="3" t="str">
        <f t="shared" si="12"/>
        <v>65-69</v>
      </c>
      <c r="M795" s="1" t="s">
        <v>30</v>
      </c>
    </row>
    <row r="796" spans="1:13" x14ac:dyDescent="0.35">
      <c r="A796">
        <v>793</v>
      </c>
      <c r="B796" s="1" t="s">
        <v>17</v>
      </c>
      <c r="C796" s="2">
        <v>2</v>
      </c>
      <c r="D796" s="3">
        <v>100</v>
      </c>
      <c r="E796" s="2">
        <v>8</v>
      </c>
      <c r="F796" s="1" t="s">
        <v>33</v>
      </c>
      <c r="G796" s="1" t="s">
        <v>19</v>
      </c>
      <c r="H796" s="1" t="s">
        <v>19</v>
      </c>
      <c r="I796" s="1" t="s">
        <v>19</v>
      </c>
      <c r="J796" s="2">
        <v>64.5</v>
      </c>
      <c r="K796" s="3">
        <v>91</v>
      </c>
      <c r="L796" s="3" t="str">
        <f t="shared" si="12"/>
        <v>90-94</v>
      </c>
      <c r="M796" s="1" t="s">
        <v>21</v>
      </c>
    </row>
    <row r="797" spans="1:13" x14ac:dyDescent="0.35">
      <c r="A797">
        <v>794</v>
      </c>
      <c r="B797" s="1" t="s">
        <v>23</v>
      </c>
      <c r="C797" s="2">
        <v>1.8</v>
      </c>
      <c r="D797" s="3">
        <v>85.1</v>
      </c>
      <c r="E797" s="2">
        <v>7.4</v>
      </c>
      <c r="F797" s="1" t="s">
        <v>24</v>
      </c>
      <c r="G797" s="1" t="s">
        <v>19</v>
      </c>
      <c r="H797" s="1" t="s">
        <v>19</v>
      </c>
      <c r="I797" s="1" t="s">
        <v>19</v>
      </c>
      <c r="J797" s="2">
        <v>72.900000000000006</v>
      </c>
      <c r="K797" s="3">
        <v>87</v>
      </c>
      <c r="L797" s="3" t="str">
        <f t="shared" si="12"/>
        <v>85-89</v>
      </c>
      <c r="M797" s="1" t="s">
        <v>28</v>
      </c>
    </row>
    <row r="798" spans="1:13" x14ac:dyDescent="0.35">
      <c r="A798">
        <v>795</v>
      </c>
      <c r="B798" s="1" t="s">
        <v>17</v>
      </c>
      <c r="C798" s="2">
        <v>3.8</v>
      </c>
      <c r="D798" s="3">
        <v>83.1</v>
      </c>
      <c r="E798" s="2">
        <v>8</v>
      </c>
      <c r="F798" s="1" t="s">
        <v>24</v>
      </c>
      <c r="G798" s="1" t="s">
        <v>19</v>
      </c>
      <c r="H798" s="1" t="s">
        <v>20</v>
      </c>
      <c r="I798" s="1" t="s">
        <v>20</v>
      </c>
      <c r="J798" s="2">
        <v>75.7</v>
      </c>
      <c r="K798" s="3">
        <v>90</v>
      </c>
      <c r="L798" s="3" t="str">
        <f t="shared" si="12"/>
        <v>90-94</v>
      </c>
      <c r="M798" s="1" t="s">
        <v>28</v>
      </c>
    </row>
    <row r="799" spans="1:13" x14ac:dyDescent="0.35">
      <c r="A799">
        <v>796</v>
      </c>
      <c r="B799" s="1" t="s">
        <v>17</v>
      </c>
      <c r="C799" s="2">
        <v>5.6</v>
      </c>
      <c r="D799" s="3">
        <v>81.400000000000006</v>
      </c>
      <c r="E799" s="2">
        <v>7.4</v>
      </c>
      <c r="F799" s="1" t="s">
        <v>18</v>
      </c>
      <c r="G799" s="1" t="s">
        <v>19</v>
      </c>
      <c r="H799" s="1" t="s">
        <v>19</v>
      </c>
      <c r="I799" s="1" t="s">
        <v>20</v>
      </c>
      <c r="J799" s="2">
        <v>78.5</v>
      </c>
      <c r="K799" s="3">
        <v>100</v>
      </c>
      <c r="L799" s="3" t="str">
        <f t="shared" si="12"/>
        <v>95-100</v>
      </c>
      <c r="M799" s="1" t="s">
        <v>21</v>
      </c>
    </row>
    <row r="800" spans="1:13" x14ac:dyDescent="0.35">
      <c r="A800">
        <v>797</v>
      </c>
      <c r="B800" s="1" t="s">
        <v>17</v>
      </c>
      <c r="C800" s="2">
        <v>4.9000000000000004</v>
      </c>
      <c r="D800" s="3">
        <v>83.2</v>
      </c>
      <c r="E800" s="2">
        <v>5.5</v>
      </c>
      <c r="F800" s="1" t="s">
        <v>33</v>
      </c>
      <c r="G800" s="1" t="s">
        <v>19</v>
      </c>
      <c r="H800" s="1" t="s">
        <v>20</v>
      </c>
      <c r="I800" s="1" t="s">
        <v>20</v>
      </c>
      <c r="J800" s="2">
        <v>84.1</v>
      </c>
      <c r="K800" s="3">
        <v>93</v>
      </c>
      <c r="L800" s="3" t="str">
        <f t="shared" si="12"/>
        <v>90-94</v>
      </c>
      <c r="M800" s="1" t="s">
        <v>21</v>
      </c>
    </row>
    <row r="801" spans="1:13" x14ac:dyDescent="0.35">
      <c r="A801">
        <v>798</v>
      </c>
      <c r="B801" s="1" t="s">
        <v>17</v>
      </c>
      <c r="C801" s="2">
        <v>1.1000000000000001</v>
      </c>
      <c r="D801" s="3">
        <v>98.7</v>
      </c>
      <c r="E801" s="2">
        <v>6.4</v>
      </c>
      <c r="F801" s="1" t="s">
        <v>24</v>
      </c>
      <c r="G801" s="1" t="s">
        <v>19</v>
      </c>
      <c r="H801" s="1" t="s">
        <v>20</v>
      </c>
      <c r="I801" s="1" t="s">
        <v>20</v>
      </c>
      <c r="J801" s="2">
        <v>74.900000000000006</v>
      </c>
      <c r="K801" s="3">
        <v>79</v>
      </c>
      <c r="L801" s="3" t="str">
        <f t="shared" si="12"/>
        <v>75-79</v>
      </c>
      <c r="M801" s="1" t="s">
        <v>32</v>
      </c>
    </row>
    <row r="802" spans="1:13" x14ac:dyDescent="0.35">
      <c r="A802">
        <v>799</v>
      </c>
      <c r="B802" s="1" t="s">
        <v>17</v>
      </c>
      <c r="C802" s="2">
        <v>2</v>
      </c>
      <c r="D802" s="3">
        <v>62.9</v>
      </c>
      <c r="E802" s="2">
        <v>5.9</v>
      </c>
      <c r="F802" s="1" t="s">
        <v>18</v>
      </c>
      <c r="G802" s="1" t="s">
        <v>19</v>
      </c>
      <c r="H802" s="1" t="s">
        <v>19</v>
      </c>
      <c r="I802" s="1" t="s">
        <v>19</v>
      </c>
      <c r="J802" s="2">
        <v>53.5</v>
      </c>
      <c r="K802" s="3">
        <v>61</v>
      </c>
      <c r="L802" s="3" t="str">
        <f t="shared" si="12"/>
        <v>60-64</v>
      </c>
      <c r="M802" s="1" t="s">
        <v>30</v>
      </c>
    </row>
    <row r="803" spans="1:13" x14ac:dyDescent="0.35">
      <c r="A803">
        <v>800</v>
      </c>
      <c r="B803" s="1" t="s">
        <v>17</v>
      </c>
      <c r="C803" s="2">
        <v>4.9000000000000004</v>
      </c>
      <c r="D803" s="3">
        <v>100</v>
      </c>
      <c r="E803" s="2">
        <v>8.4</v>
      </c>
      <c r="F803" s="1" t="s">
        <v>24</v>
      </c>
      <c r="G803" s="1" t="s">
        <v>19</v>
      </c>
      <c r="H803" s="1" t="s">
        <v>19</v>
      </c>
      <c r="I803" s="1" t="s">
        <v>20</v>
      </c>
      <c r="J803" s="2">
        <v>64.3</v>
      </c>
      <c r="K803" s="3">
        <v>96</v>
      </c>
      <c r="L803" s="3" t="str">
        <f t="shared" si="12"/>
        <v>95-100</v>
      </c>
      <c r="M803" s="1" t="s">
        <v>21</v>
      </c>
    </row>
    <row r="804" spans="1:13" x14ac:dyDescent="0.35">
      <c r="A804">
        <v>801</v>
      </c>
      <c r="B804" s="1" t="s">
        <v>17</v>
      </c>
      <c r="C804" s="2">
        <v>2</v>
      </c>
      <c r="D804" s="3">
        <v>70.8</v>
      </c>
      <c r="E804" s="2">
        <v>5.4</v>
      </c>
      <c r="F804" s="1" t="s">
        <v>24</v>
      </c>
      <c r="G804" s="1" t="s">
        <v>19</v>
      </c>
      <c r="H804" s="1" t="s">
        <v>19</v>
      </c>
      <c r="I804" s="1" t="s">
        <v>20</v>
      </c>
      <c r="J804" s="2">
        <v>100</v>
      </c>
      <c r="K804" s="3">
        <v>83</v>
      </c>
      <c r="L804" s="3" t="str">
        <f t="shared" si="12"/>
        <v>80-84</v>
      </c>
      <c r="M804" s="1" t="s">
        <v>28</v>
      </c>
    </row>
    <row r="805" spans="1:13" x14ac:dyDescent="0.35">
      <c r="A805">
        <v>802</v>
      </c>
      <c r="B805" s="1" t="s">
        <v>23</v>
      </c>
      <c r="C805" s="2">
        <v>3.2</v>
      </c>
      <c r="D805" s="3">
        <v>82.3</v>
      </c>
      <c r="E805" s="2">
        <v>7.9</v>
      </c>
      <c r="F805" s="1" t="s">
        <v>24</v>
      </c>
      <c r="G805" s="1" t="s">
        <v>19</v>
      </c>
      <c r="H805" s="1" t="s">
        <v>20</v>
      </c>
      <c r="I805" s="1" t="s">
        <v>20</v>
      </c>
      <c r="J805" s="2">
        <v>78.7</v>
      </c>
      <c r="K805" s="3">
        <v>94</v>
      </c>
      <c r="L805" s="3" t="str">
        <f t="shared" si="12"/>
        <v>90-94</v>
      </c>
      <c r="M805" s="1" t="s">
        <v>21</v>
      </c>
    </row>
    <row r="806" spans="1:13" x14ac:dyDescent="0.35">
      <c r="A806">
        <v>803</v>
      </c>
      <c r="B806" s="1" t="s">
        <v>17</v>
      </c>
      <c r="C806" s="2">
        <v>4.3</v>
      </c>
      <c r="D806" s="3">
        <v>80.7</v>
      </c>
      <c r="E806" s="2">
        <v>7.9</v>
      </c>
      <c r="F806" s="1" t="s">
        <v>33</v>
      </c>
      <c r="G806" s="1" t="s">
        <v>19</v>
      </c>
      <c r="H806" s="1" t="s">
        <v>20</v>
      </c>
      <c r="I806" s="1" t="s">
        <v>20</v>
      </c>
      <c r="J806" s="2">
        <v>98.4</v>
      </c>
      <c r="K806" s="3">
        <v>100</v>
      </c>
      <c r="L806" s="3" t="str">
        <f t="shared" si="12"/>
        <v>95-100</v>
      </c>
      <c r="M806" s="1" t="s">
        <v>21</v>
      </c>
    </row>
    <row r="807" spans="1:13" x14ac:dyDescent="0.35">
      <c r="A807">
        <v>804</v>
      </c>
      <c r="B807" s="1" t="s">
        <v>17</v>
      </c>
      <c r="C807" s="2">
        <v>2</v>
      </c>
      <c r="D807" s="3">
        <v>90.9</v>
      </c>
      <c r="E807" s="2">
        <v>9</v>
      </c>
      <c r="F807" s="1" t="s">
        <v>24</v>
      </c>
      <c r="G807" s="1" t="s">
        <v>19</v>
      </c>
      <c r="H807" s="1" t="s">
        <v>19</v>
      </c>
      <c r="I807" s="1" t="s">
        <v>20</v>
      </c>
      <c r="J807" s="2">
        <v>86.7</v>
      </c>
      <c r="K807" s="3">
        <v>95</v>
      </c>
      <c r="L807" s="3" t="str">
        <f t="shared" si="12"/>
        <v>95-100</v>
      </c>
      <c r="M807" s="1" t="s">
        <v>21</v>
      </c>
    </row>
    <row r="808" spans="1:13" x14ac:dyDescent="0.35">
      <c r="A808">
        <v>805</v>
      </c>
      <c r="B808" s="1" t="s">
        <v>23</v>
      </c>
      <c r="C808" s="2">
        <v>3.7</v>
      </c>
      <c r="D808" s="3">
        <v>69</v>
      </c>
      <c r="E808" s="2">
        <v>6.3</v>
      </c>
      <c r="F808" s="1" t="s">
        <v>24</v>
      </c>
      <c r="G808" s="1" t="s">
        <v>19</v>
      </c>
      <c r="H808" s="1" t="s">
        <v>19</v>
      </c>
      <c r="I808" s="1" t="s">
        <v>20</v>
      </c>
      <c r="J808" s="2">
        <v>72.900000000000006</v>
      </c>
      <c r="K808" s="3">
        <v>88</v>
      </c>
      <c r="L808" s="3" t="str">
        <f t="shared" si="12"/>
        <v>85-89</v>
      </c>
      <c r="M808" s="1" t="s">
        <v>28</v>
      </c>
    </row>
    <row r="809" spans="1:13" x14ac:dyDescent="0.35">
      <c r="A809">
        <v>806</v>
      </c>
      <c r="B809" s="1" t="s">
        <v>23</v>
      </c>
      <c r="C809" s="2">
        <v>1.5</v>
      </c>
      <c r="D809" s="3">
        <v>89.6</v>
      </c>
      <c r="E809" s="2">
        <v>7.7</v>
      </c>
      <c r="F809" s="1" t="s">
        <v>18</v>
      </c>
      <c r="G809" s="1" t="s">
        <v>19</v>
      </c>
      <c r="H809" s="1" t="s">
        <v>20</v>
      </c>
      <c r="I809" s="1" t="s">
        <v>20</v>
      </c>
      <c r="J809" s="2">
        <v>73.599999999999994</v>
      </c>
      <c r="K809" s="3">
        <v>82</v>
      </c>
      <c r="L809" s="3" t="str">
        <f t="shared" si="12"/>
        <v>80-84</v>
      </c>
      <c r="M809" s="1" t="s">
        <v>28</v>
      </c>
    </row>
    <row r="810" spans="1:13" x14ac:dyDescent="0.35">
      <c r="A810">
        <v>807</v>
      </c>
      <c r="B810" s="1" t="s">
        <v>23</v>
      </c>
      <c r="C810" s="2">
        <v>2.6</v>
      </c>
      <c r="D810" s="3">
        <v>100</v>
      </c>
      <c r="E810" s="2">
        <v>9.5</v>
      </c>
      <c r="F810" s="1" t="s">
        <v>33</v>
      </c>
      <c r="G810" s="1" t="s">
        <v>19</v>
      </c>
      <c r="H810" s="1" t="s">
        <v>20</v>
      </c>
      <c r="I810" s="1" t="s">
        <v>19</v>
      </c>
      <c r="J810" s="2">
        <v>69.599999999999994</v>
      </c>
      <c r="K810" s="3">
        <v>80</v>
      </c>
      <c r="L810" s="3" t="str">
        <f t="shared" si="12"/>
        <v>80-84</v>
      </c>
      <c r="M810" s="1" t="s">
        <v>28</v>
      </c>
    </row>
    <row r="811" spans="1:13" x14ac:dyDescent="0.35">
      <c r="A811">
        <v>808</v>
      </c>
      <c r="B811" s="1" t="s">
        <v>17</v>
      </c>
      <c r="C811" s="2">
        <v>4</v>
      </c>
      <c r="D811" s="3">
        <v>71.400000000000006</v>
      </c>
      <c r="E811" s="2">
        <v>6.1</v>
      </c>
      <c r="F811" s="1" t="s">
        <v>24</v>
      </c>
      <c r="G811" s="1" t="s">
        <v>20</v>
      </c>
      <c r="H811" s="1" t="s">
        <v>19</v>
      </c>
      <c r="I811" s="1" t="s">
        <v>19</v>
      </c>
      <c r="J811" s="2">
        <v>49.1</v>
      </c>
      <c r="K811" s="3">
        <v>58</v>
      </c>
      <c r="L811" s="3" t="str">
        <f t="shared" si="12"/>
        <v>55-59</v>
      </c>
      <c r="M811" s="1" t="s">
        <v>35</v>
      </c>
    </row>
    <row r="812" spans="1:13" x14ac:dyDescent="0.35">
      <c r="A812">
        <v>809</v>
      </c>
      <c r="B812" s="1" t="s">
        <v>23</v>
      </c>
      <c r="C812" s="2">
        <v>1.1000000000000001</v>
      </c>
      <c r="D812" s="3">
        <v>86.9</v>
      </c>
      <c r="E812" s="2">
        <v>5</v>
      </c>
      <c r="F812" s="1" t="s">
        <v>18</v>
      </c>
      <c r="G812" s="1" t="s">
        <v>19</v>
      </c>
      <c r="H812" s="1" t="s">
        <v>19</v>
      </c>
      <c r="I812" s="1" t="s">
        <v>20</v>
      </c>
      <c r="J812" s="2">
        <v>70.2</v>
      </c>
      <c r="K812" s="3">
        <v>74</v>
      </c>
      <c r="L812" s="3" t="str">
        <f t="shared" si="12"/>
        <v>70-74</v>
      </c>
      <c r="M812" s="1" t="s">
        <v>32</v>
      </c>
    </row>
    <row r="813" spans="1:13" x14ac:dyDescent="0.35">
      <c r="A813">
        <v>810</v>
      </c>
      <c r="B813" s="1" t="s">
        <v>17</v>
      </c>
      <c r="C813" s="2">
        <v>4.2</v>
      </c>
      <c r="D813" s="3">
        <v>78.400000000000006</v>
      </c>
      <c r="E813" s="2">
        <v>4.5</v>
      </c>
      <c r="F813" s="1" t="s">
        <v>24</v>
      </c>
      <c r="G813" s="1" t="s">
        <v>20</v>
      </c>
      <c r="H813" s="1" t="s">
        <v>20</v>
      </c>
      <c r="I813" s="1" t="s">
        <v>20</v>
      </c>
      <c r="J813" s="2">
        <v>84.5</v>
      </c>
      <c r="K813" s="3">
        <v>83</v>
      </c>
      <c r="L813" s="3" t="str">
        <f t="shared" si="12"/>
        <v>80-84</v>
      </c>
      <c r="M813" s="1" t="s">
        <v>28</v>
      </c>
    </row>
    <row r="814" spans="1:13" x14ac:dyDescent="0.35">
      <c r="A814">
        <v>811</v>
      </c>
      <c r="B814" s="1" t="s">
        <v>17</v>
      </c>
      <c r="C814" s="2">
        <v>3.5</v>
      </c>
      <c r="D814" s="3">
        <v>89.3</v>
      </c>
      <c r="E814" s="2">
        <v>7.7</v>
      </c>
      <c r="F814" s="1" t="s">
        <v>18</v>
      </c>
      <c r="G814" s="1" t="s">
        <v>19</v>
      </c>
      <c r="H814" s="1" t="s">
        <v>19</v>
      </c>
      <c r="I814" s="1" t="s">
        <v>20</v>
      </c>
      <c r="J814" s="2">
        <v>62.8</v>
      </c>
      <c r="K814" s="3">
        <v>86</v>
      </c>
      <c r="L814" s="3" t="str">
        <f t="shared" si="12"/>
        <v>85-89</v>
      </c>
      <c r="M814" s="1" t="s">
        <v>28</v>
      </c>
    </row>
    <row r="815" spans="1:13" x14ac:dyDescent="0.35">
      <c r="A815">
        <v>812</v>
      </c>
      <c r="B815" s="1" t="s">
        <v>17</v>
      </c>
      <c r="C815" s="2">
        <v>4.3</v>
      </c>
      <c r="D815" s="3">
        <v>85.2</v>
      </c>
      <c r="E815" s="2">
        <v>4.5</v>
      </c>
      <c r="F815" s="1" t="s">
        <v>18</v>
      </c>
      <c r="G815" s="1" t="s">
        <v>19</v>
      </c>
      <c r="H815" s="1" t="s">
        <v>19</v>
      </c>
      <c r="I815" s="1" t="s">
        <v>20</v>
      </c>
      <c r="J815" s="2">
        <v>74.900000000000006</v>
      </c>
      <c r="K815" s="3">
        <v>88</v>
      </c>
      <c r="L815" s="3" t="str">
        <f t="shared" si="12"/>
        <v>85-89</v>
      </c>
      <c r="M815" s="1" t="s">
        <v>28</v>
      </c>
    </row>
    <row r="816" spans="1:13" x14ac:dyDescent="0.35">
      <c r="A816">
        <v>813</v>
      </c>
      <c r="B816" s="1" t="s">
        <v>17</v>
      </c>
      <c r="C816" s="2">
        <v>3.8</v>
      </c>
      <c r="D816" s="3">
        <v>78.599999999999994</v>
      </c>
      <c r="E816" s="2">
        <v>6.4</v>
      </c>
      <c r="F816" s="1" t="s">
        <v>18</v>
      </c>
      <c r="G816" s="1" t="s">
        <v>19</v>
      </c>
      <c r="H816" s="1" t="s">
        <v>20</v>
      </c>
      <c r="I816" s="1" t="s">
        <v>20</v>
      </c>
      <c r="J816" s="2">
        <v>80.2</v>
      </c>
      <c r="K816" s="3">
        <v>100</v>
      </c>
      <c r="L816" s="3" t="str">
        <f t="shared" si="12"/>
        <v>95-100</v>
      </c>
      <c r="M816" s="1" t="s">
        <v>21</v>
      </c>
    </row>
    <row r="817" spans="1:13" x14ac:dyDescent="0.35">
      <c r="A817">
        <v>814</v>
      </c>
      <c r="B817" s="1" t="s">
        <v>23</v>
      </c>
      <c r="C817" s="2">
        <v>5.5</v>
      </c>
      <c r="D817" s="3">
        <v>89.9</v>
      </c>
      <c r="E817" s="2">
        <v>7.3</v>
      </c>
      <c r="F817" s="1" t="s">
        <v>24</v>
      </c>
      <c r="G817" s="1" t="s">
        <v>20</v>
      </c>
      <c r="H817" s="1" t="s">
        <v>20</v>
      </c>
      <c r="I817" s="1" t="s">
        <v>19</v>
      </c>
      <c r="J817" s="2">
        <v>59.1</v>
      </c>
      <c r="K817" s="3">
        <v>76</v>
      </c>
      <c r="L817" s="3" t="str">
        <f t="shared" si="12"/>
        <v>75-79</v>
      </c>
      <c r="M817" s="1" t="s">
        <v>32</v>
      </c>
    </row>
    <row r="818" spans="1:13" x14ac:dyDescent="0.35">
      <c r="A818">
        <v>815</v>
      </c>
      <c r="B818" s="1" t="s">
        <v>23</v>
      </c>
      <c r="C818" s="2">
        <v>3.7</v>
      </c>
      <c r="D818" s="3">
        <v>100</v>
      </c>
      <c r="E818" s="2">
        <v>7</v>
      </c>
      <c r="F818" s="1" t="s">
        <v>24</v>
      </c>
      <c r="G818" s="1" t="s">
        <v>19</v>
      </c>
      <c r="H818" s="1" t="s">
        <v>19</v>
      </c>
      <c r="I818" s="1" t="s">
        <v>20</v>
      </c>
      <c r="J818" s="2">
        <v>64.599999999999994</v>
      </c>
      <c r="K818" s="3">
        <v>78</v>
      </c>
      <c r="L818" s="3" t="str">
        <f t="shared" si="12"/>
        <v>75-79</v>
      </c>
      <c r="M818" s="1" t="s">
        <v>32</v>
      </c>
    </row>
    <row r="819" spans="1:13" x14ac:dyDescent="0.35">
      <c r="A819">
        <v>816</v>
      </c>
      <c r="B819" s="1" t="s">
        <v>17</v>
      </c>
      <c r="C819" s="2">
        <v>2.9</v>
      </c>
      <c r="D819" s="3">
        <v>83.1</v>
      </c>
      <c r="E819" s="2">
        <v>7.3</v>
      </c>
      <c r="F819" s="1" t="s">
        <v>24</v>
      </c>
      <c r="G819" s="1" t="s">
        <v>19</v>
      </c>
      <c r="H819" s="1" t="s">
        <v>19</v>
      </c>
      <c r="I819" s="1" t="s">
        <v>20</v>
      </c>
      <c r="J819" s="2">
        <v>57.8</v>
      </c>
      <c r="K819" s="3">
        <v>80</v>
      </c>
      <c r="L819" s="3" t="str">
        <f t="shared" si="12"/>
        <v>80-84</v>
      </c>
      <c r="M819" s="1" t="s">
        <v>28</v>
      </c>
    </row>
    <row r="820" spans="1:13" x14ac:dyDescent="0.35">
      <c r="A820">
        <v>817</v>
      </c>
      <c r="B820" s="1" t="s">
        <v>17</v>
      </c>
      <c r="C820" s="2">
        <v>3.7</v>
      </c>
      <c r="D820" s="3">
        <v>92.2</v>
      </c>
      <c r="E820" s="2">
        <v>7.1</v>
      </c>
      <c r="F820" s="1" t="s">
        <v>18</v>
      </c>
      <c r="G820" s="1" t="s">
        <v>19</v>
      </c>
      <c r="H820" s="1" t="s">
        <v>19</v>
      </c>
      <c r="I820" s="1" t="s">
        <v>19</v>
      </c>
      <c r="J820" s="2">
        <v>60.1</v>
      </c>
      <c r="K820" s="3">
        <v>80</v>
      </c>
      <c r="L820" s="3" t="str">
        <f t="shared" si="12"/>
        <v>80-84</v>
      </c>
      <c r="M820" s="1" t="s">
        <v>28</v>
      </c>
    </row>
    <row r="821" spans="1:13" x14ac:dyDescent="0.35">
      <c r="A821">
        <v>818</v>
      </c>
      <c r="B821" s="1" t="s">
        <v>17</v>
      </c>
      <c r="C821" s="2">
        <v>4.3</v>
      </c>
      <c r="D821" s="3">
        <v>72.099999999999994</v>
      </c>
      <c r="E821" s="2">
        <v>8.3000000000000007</v>
      </c>
      <c r="F821" s="1" t="s">
        <v>24</v>
      </c>
      <c r="G821" s="1" t="s">
        <v>19</v>
      </c>
      <c r="H821" s="1" t="s">
        <v>19</v>
      </c>
      <c r="I821" s="1" t="s">
        <v>20</v>
      </c>
      <c r="J821" s="2">
        <v>54.5</v>
      </c>
      <c r="K821" s="3">
        <v>82</v>
      </c>
      <c r="L821" s="3" t="str">
        <f t="shared" si="12"/>
        <v>80-84</v>
      </c>
      <c r="M821" s="1" t="s">
        <v>28</v>
      </c>
    </row>
    <row r="822" spans="1:13" x14ac:dyDescent="0.35">
      <c r="A822">
        <v>819</v>
      </c>
      <c r="B822" s="1" t="s">
        <v>23</v>
      </c>
      <c r="C822" s="2">
        <v>3.6</v>
      </c>
      <c r="D822" s="3">
        <v>75.400000000000006</v>
      </c>
      <c r="E822" s="2">
        <v>5.7</v>
      </c>
      <c r="F822" s="1" t="s">
        <v>33</v>
      </c>
      <c r="G822" s="1" t="s">
        <v>19</v>
      </c>
      <c r="H822" s="1" t="s">
        <v>20</v>
      </c>
      <c r="I822" s="1" t="s">
        <v>20</v>
      </c>
      <c r="J822" s="2">
        <v>59.2</v>
      </c>
      <c r="K822" s="3">
        <v>80</v>
      </c>
      <c r="L822" s="3" t="str">
        <f t="shared" si="12"/>
        <v>80-84</v>
      </c>
      <c r="M822" s="1" t="s">
        <v>32</v>
      </c>
    </row>
    <row r="823" spans="1:13" x14ac:dyDescent="0.35">
      <c r="A823">
        <v>820</v>
      </c>
      <c r="B823" s="1" t="s">
        <v>17</v>
      </c>
      <c r="C823" s="2">
        <v>3.6</v>
      </c>
      <c r="D823" s="3">
        <v>89.7</v>
      </c>
      <c r="E823" s="2">
        <v>6</v>
      </c>
      <c r="F823" s="1" t="s">
        <v>27</v>
      </c>
      <c r="G823" s="1" t="s">
        <v>20</v>
      </c>
      <c r="H823" s="1" t="s">
        <v>19</v>
      </c>
      <c r="I823" s="1" t="s">
        <v>20</v>
      </c>
      <c r="J823" s="2">
        <v>87</v>
      </c>
      <c r="K823" s="3">
        <v>96</v>
      </c>
      <c r="L823" s="3" t="str">
        <f t="shared" si="12"/>
        <v>95-100</v>
      </c>
      <c r="M823" s="1" t="s">
        <v>21</v>
      </c>
    </row>
    <row r="824" spans="1:13" x14ac:dyDescent="0.35">
      <c r="A824">
        <v>821</v>
      </c>
      <c r="B824" s="1" t="s">
        <v>17</v>
      </c>
      <c r="C824" s="2">
        <v>2.4</v>
      </c>
      <c r="D824" s="3">
        <v>99.8</v>
      </c>
      <c r="E824" s="2">
        <v>5.9</v>
      </c>
      <c r="F824" s="1" t="s">
        <v>27</v>
      </c>
      <c r="G824" s="1" t="s">
        <v>20</v>
      </c>
      <c r="H824" s="1" t="s">
        <v>20</v>
      </c>
      <c r="I824" s="1" t="s">
        <v>20</v>
      </c>
      <c r="J824" s="2">
        <v>59</v>
      </c>
      <c r="K824" s="3">
        <v>65</v>
      </c>
      <c r="L824" s="3" t="str">
        <f t="shared" si="12"/>
        <v>65-69</v>
      </c>
      <c r="M824" s="1" t="s">
        <v>30</v>
      </c>
    </row>
    <row r="825" spans="1:13" x14ac:dyDescent="0.35">
      <c r="A825">
        <v>822</v>
      </c>
      <c r="B825" s="1" t="s">
        <v>23</v>
      </c>
      <c r="C825" s="2">
        <v>2.5</v>
      </c>
      <c r="D825" s="3">
        <v>88.6</v>
      </c>
      <c r="E825" s="2">
        <v>7.8</v>
      </c>
      <c r="F825" s="1" t="s">
        <v>34</v>
      </c>
      <c r="G825" s="1" t="s">
        <v>19</v>
      </c>
      <c r="H825" s="1" t="s">
        <v>20</v>
      </c>
      <c r="I825" s="1" t="s">
        <v>20</v>
      </c>
      <c r="J825" s="2">
        <v>71.5</v>
      </c>
      <c r="K825" s="3">
        <v>80</v>
      </c>
      <c r="L825" s="3" t="str">
        <f t="shared" si="12"/>
        <v>80-84</v>
      </c>
      <c r="M825" s="1" t="s">
        <v>32</v>
      </c>
    </row>
    <row r="826" spans="1:13" x14ac:dyDescent="0.35">
      <c r="A826">
        <v>823</v>
      </c>
      <c r="B826" s="1" t="s">
        <v>23</v>
      </c>
      <c r="C826" s="2">
        <v>1.4</v>
      </c>
      <c r="D826" s="3">
        <v>81.900000000000006</v>
      </c>
      <c r="E826" s="2">
        <v>7.9</v>
      </c>
      <c r="F826" s="1" t="s">
        <v>18</v>
      </c>
      <c r="G826" s="1" t="s">
        <v>20</v>
      </c>
      <c r="H826" s="1" t="s">
        <v>19</v>
      </c>
      <c r="I826" s="1" t="s">
        <v>20</v>
      </c>
      <c r="J826" s="2">
        <v>64</v>
      </c>
      <c r="K826" s="3">
        <v>72</v>
      </c>
      <c r="L826" s="3" t="str">
        <f t="shared" si="12"/>
        <v>70-74</v>
      </c>
      <c r="M826" s="1" t="s">
        <v>32</v>
      </c>
    </row>
    <row r="827" spans="1:13" x14ac:dyDescent="0.35">
      <c r="A827">
        <v>824</v>
      </c>
      <c r="B827" s="1" t="s">
        <v>17</v>
      </c>
      <c r="C827" s="2">
        <v>6.1</v>
      </c>
      <c r="D827" s="3">
        <v>85</v>
      </c>
      <c r="E827" s="2">
        <v>7.3</v>
      </c>
      <c r="F827" s="1" t="s">
        <v>33</v>
      </c>
      <c r="G827" s="1" t="s">
        <v>19</v>
      </c>
      <c r="H827" s="1" t="s">
        <v>19</v>
      </c>
      <c r="I827" s="1" t="s">
        <v>20</v>
      </c>
      <c r="J827" s="2">
        <v>84.1</v>
      </c>
      <c r="K827" s="3">
        <v>100</v>
      </c>
      <c r="L827" s="3" t="str">
        <f t="shared" si="12"/>
        <v>95-100</v>
      </c>
      <c r="M827" s="1" t="s">
        <v>21</v>
      </c>
    </row>
    <row r="828" spans="1:13" x14ac:dyDescent="0.35">
      <c r="A828">
        <v>825</v>
      </c>
      <c r="B828" s="1" t="s">
        <v>23</v>
      </c>
      <c r="C828" s="2">
        <v>1.6</v>
      </c>
      <c r="D828" s="3">
        <v>72.5</v>
      </c>
      <c r="E828" s="2">
        <v>8.1999999999999993</v>
      </c>
      <c r="F828" s="1" t="s">
        <v>24</v>
      </c>
      <c r="G828" s="1" t="s">
        <v>19</v>
      </c>
      <c r="H828" s="1" t="s">
        <v>19</v>
      </c>
      <c r="I828" s="1" t="s">
        <v>20</v>
      </c>
      <c r="J828" s="2">
        <v>85.7</v>
      </c>
      <c r="K828" s="3">
        <v>94</v>
      </c>
      <c r="L828" s="3" t="str">
        <f t="shared" si="12"/>
        <v>90-94</v>
      </c>
      <c r="M828" s="1" t="s">
        <v>21</v>
      </c>
    </row>
    <row r="829" spans="1:13" x14ac:dyDescent="0.35">
      <c r="A829">
        <v>826</v>
      </c>
      <c r="B829" s="1" t="s">
        <v>23</v>
      </c>
      <c r="C829" s="2">
        <v>2.5</v>
      </c>
      <c r="D829" s="3">
        <v>91</v>
      </c>
      <c r="E829" s="2">
        <v>5.4</v>
      </c>
      <c r="F829" s="1" t="s">
        <v>18</v>
      </c>
      <c r="G829" s="1" t="s">
        <v>19</v>
      </c>
      <c r="H829" s="1" t="s">
        <v>20</v>
      </c>
      <c r="I829" s="1" t="s">
        <v>19</v>
      </c>
      <c r="J829" s="2">
        <v>80.400000000000006</v>
      </c>
      <c r="K829" s="3">
        <v>88</v>
      </c>
      <c r="L829" s="3" t="str">
        <f t="shared" si="12"/>
        <v>85-89</v>
      </c>
      <c r="M829" s="1" t="s">
        <v>28</v>
      </c>
    </row>
    <row r="830" spans="1:13" x14ac:dyDescent="0.35">
      <c r="A830">
        <v>827</v>
      </c>
      <c r="B830" s="1" t="s">
        <v>17</v>
      </c>
      <c r="C830" s="2">
        <v>2.4</v>
      </c>
      <c r="D830" s="3">
        <v>93.8</v>
      </c>
      <c r="E830" s="2">
        <v>8.8000000000000007</v>
      </c>
      <c r="F830" s="1" t="s">
        <v>18</v>
      </c>
      <c r="G830" s="1" t="s">
        <v>19</v>
      </c>
      <c r="H830" s="1" t="s">
        <v>20</v>
      </c>
      <c r="I830" s="1" t="s">
        <v>20</v>
      </c>
      <c r="J830" s="2">
        <v>73.7</v>
      </c>
      <c r="K830" s="3">
        <v>86</v>
      </c>
      <c r="L830" s="3" t="str">
        <f t="shared" si="12"/>
        <v>85-89</v>
      </c>
      <c r="M830" s="1" t="s">
        <v>28</v>
      </c>
    </row>
    <row r="831" spans="1:13" x14ac:dyDescent="0.35">
      <c r="A831">
        <v>828</v>
      </c>
      <c r="B831" s="1" t="s">
        <v>23</v>
      </c>
      <c r="C831" s="2">
        <v>4.8</v>
      </c>
      <c r="D831" s="3">
        <v>80.5</v>
      </c>
      <c r="E831" s="2">
        <v>8.6</v>
      </c>
      <c r="F831" s="1" t="s">
        <v>18</v>
      </c>
      <c r="G831" s="1" t="s">
        <v>20</v>
      </c>
      <c r="H831" s="1" t="s">
        <v>19</v>
      </c>
      <c r="I831" s="1" t="s">
        <v>19</v>
      </c>
      <c r="J831" s="2">
        <v>67.2</v>
      </c>
      <c r="K831" s="3">
        <v>78</v>
      </c>
      <c r="L831" s="3" t="str">
        <f t="shared" si="12"/>
        <v>75-79</v>
      </c>
      <c r="M831" s="1" t="s">
        <v>32</v>
      </c>
    </row>
    <row r="832" spans="1:13" x14ac:dyDescent="0.35">
      <c r="A832">
        <v>829</v>
      </c>
      <c r="B832" s="1" t="s">
        <v>17</v>
      </c>
      <c r="C832" s="2">
        <v>3.1</v>
      </c>
      <c r="D832" s="3">
        <v>80.3</v>
      </c>
      <c r="E832" s="2">
        <v>7.7</v>
      </c>
      <c r="F832" s="1" t="s">
        <v>33</v>
      </c>
      <c r="G832" s="1" t="s">
        <v>19</v>
      </c>
      <c r="H832" s="1" t="s">
        <v>20</v>
      </c>
      <c r="I832" s="1" t="s">
        <v>19</v>
      </c>
      <c r="J832" s="2">
        <v>55.7</v>
      </c>
      <c r="K832" s="3">
        <v>70</v>
      </c>
      <c r="L832" s="3" t="str">
        <f t="shared" si="12"/>
        <v>70-74</v>
      </c>
      <c r="M832" s="1" t="s">
        <v>32</v>
      </c>
    </row>
    <row r="833" spans="1:13" x14ac:dyDescent="0.35">
      <c r="A833">
        <v>830</v>
      </c>
      <c r="B833" s="1" t="s">
        <v>23</v>
      </c>
      <c r="C833" s="2">
        <v>5.4</v>
      </c>
      <c r="D833" s="3">
        <v>87.7</v>
      </c>
      <c r="E833" s="2">
        <v>8.9</v>
      </c>
      <c r="F833" s="1" t="s">
        <v>24</v>
      </c>
      <c r="G833" s="1" t="s">
        <v>19</v>
      </c>
      <c r="H833" s="1" t="s">
        <v>20</v>
      </c>
      <c r="I833" s="1" t="s">
        <v>20</v>
      </c>
      <c r="J833" s="2">
        <v>93.3</v>
      </c>
      <c r="K833" s="3">
        <v>100</v>
      </c>
      <c r="L833" s="3" t="str">
        <f t="shared" si="12"/>
        <v>95-100</v>
      </c>
      <c r="M833" s="1" t="s">
        <v>21</v>
      </c>
    </row>
    <row r="834" spans="1:13" x14ac:dyDescent="0.35">
      <c r="A834">
        <v>831</v>
      </c>
      <c r="B834" s="1" t="s">
        <v>17</v>
      </c>
      <c r="C834" s="2">
        <v>2.5</v>
      </c>
      <c r="D834" s="3">
        <v>80.599999999999994</v>
      </c>
      <c r="E834" s="2">
        <v>4.8</v>
      </c>
      <c r="F834" s="1" t="s">
        <v>24</v>
      </c>
      <c r="G834" s="1" t="s">
        <v>19</v>
      </c>
      <c r="H834" s="1" t="s">
        <v>20</v>
      </c>
      <c r="I834" s="1" t="s">
        <v>19</v>
      </c>
      <c r="J834" s="2">
        <v>60.9</v>
      </c>
      <c r="K834" s="3">
        <v>74</v>
      </c>
      <c r="L834" s="3" t="str">
        <f t="shared" si="12"/>
        <v>70-74</v>
      </c>
      <c r="M834" s="1" t="s">
        <v>32</v>
      </c>
    </row>
    <row r="835" spans="1:13" x14ac:dyDescent="0.35">
      <c r="A835">
        <v>832</v>
      </c>
      <c r="B835" s="1" t="s">
        <v>17</v>
      </c>
      <c r="C835" s="2">
        <v>3.9</v>
      </c>
      <c r="D835" s="3">
        <v>84.3</v>
      </c>
      <c r="E835" s="2">
        <v>6.2</v>
      </c>
      <c r="F835" s="1" t="s">
        <v>27</v>
      </c>
      <c r="G835" s="1" t="s">
        <v>19</v>
      </c>
      <c r="H835" s="1" t="s">
        <v>19</v>
      </c>
      <c r="I835" s="1" t="s">
        <v>20</v>
      </c>
      <c r="J835" s="2">
        <v>78</v>
      </c>
      <c r="K835" s="3">
        <v>91</v>
      </c>
      <c r="L835" s="3" t="str">
        <f t="shared" si="12"/>
        <v>90-94</v>
      </c>
      <c r="M835" s="1" t="s">
        <v>21</v>
      </c>
    </row>
    <row r="836" spans="1:13" x14ac:dyDescent="0.35">
      <c r="A836">
        <v>833</v>
      </c>
      <c r="B836" s="1" t="s">
        <v>17</v>
      </c>
      <c r="C836" s="2">
        <v>2.2000000000000002</v>
      </c>
      <c r="D836" s="3">
        <v>100</v>
      </c>
      <c r="E836" s="2">
        <v>5.9</v>
      </c>
      <c r="F836" s="1" t="s">
        <v>24</v>
      </c>
      <c r="G836" s="1" t="s">
        <v>19</v>
      </c>
      <c r="H836" s="1" t="s">
        <v>19</v>
      </c>
      <c r="I836" s="1" t="s">
        <v>19</v>
      </c>
      <c r="J836" s="2">
        <v>82.7</v>
      </c>
      <c r="K836" s="3">
        <v>78</v>
      </c>
      <c r="L836" s="3" t="str">
        <f t="shared" si="12"/>
        <v>75-79</v>
      </c>
      <c r="M836" s="1" t="s">
        <v>32</v>
      </c>
    </row>
    <row r="837" spans="1:13" x14ac:dyDescent="0.35">
      <c r="A837">
        <v>834</v>
      </c>
      <c r="B837" s="1" t="s">
        <v>23</v>
      </c>
      <c r="C837" s="2">
        <v>6.7</v>
      </c>
      <c r="D837" s="3">
        <v>82.5</v>
      </c>
      <c r="E837" s="2">
        <v>7.7</v>
      </c>
      <c r="F837" s="1" t="s">
        <v>18</v>
      </c>
      <c r="G837" s="1" t="s">
        <v>20</v>
      </c>
      <c r="H837" s="1" t="s">
        <v>20</v>
      </c>
      <c r="I837" s="1" t="s">
        <v>20</v>
      </c>
      <c r="J837" s="2">
        <v>63.3</v>
      </c>
      <c r="K837" s="3">
        <v>89</v>
      </c>
      <c r="L837" s="3" t="str">
        <f t="shared" ref="L837:L900" si="13">IF(K837&gt;=95,"95-100",IF(K837&gt;=90,"90-94",IF(K837&gt;=85,"85-89",IF(K837&gt;=80,"80-84",IF(K837&gt;=75,"75-79",IF(K837&gt;=70,"70-74",IF(K837&gt;=65,"65-69",IF(K837&gt;=60,"60-64",IF(K837&gt;=55,"55-59","Below 55")))))))))</f>
        <v>85-89</v>
      </c>
      <c r="M837" s="1" t="s">
        <v>28</v>
      </c>
    </row>
    <row r="838" spans="1:13" x14ac:dyDescent="0.35">
      <c r="A838">
        <v>835</v>
      </c>
      <c r="B838" s="1" t="s">
        <v>17</v>
      </c>
      <c r="C838" s="2">
        <v>1.7</v>
      </c>
      <c r="D838" s="3">
        <v>81.400000000000006</v>
      </c>
      <c r="E838" s="2">
        <v>5.5</v>
      </c>
      <c r="F838" s="1" t="s">
        <v>27</v>
      </c>
      <c r="G838" s="1" t="s">
        <v>19</v>
      </c>
      <c r="H838" s="1" t="s">
        <v>19</v>
      </c>
      <c r="I838" s="1" t="s">
        <v>19</v>
      </c>
      <c r="J838" s="2">
        <v>82.5</v>
      </c>
      <c r="K838" s="3">
        <v>82</v>
      </c>
      <c r="L838" s="3" t="str">
        <f t="shared" si="13"/>
        <v>80-84</v>
      </c>
      <c r="M838" s="1" t="s">
        <v>28</v>
      </c>
    </row>
    <row r="839" spans="1:13" x14ac:dyDescent="0.35">
      <c r="A839">
        <v>836</v>
      </c>
      <c r="B839" s="1" t="s">
        <v>23</v>
      </c>
      <c r="C839" s="2">
        <v>4</v>
      </c>
      <c r="D839" s="3">
        <v>78.5</v>
      </c>
      <c r="E839" s="2">
        <v>7.7</v>
      </c>
      <c r="F839" s="1" t="s">
        <v>18</v>
      </c>
      <c r="G839" s="1" t="s">
        <v>19</v>
      </c>
      <c r="H839" s="1" t="s">
        <v>19</v>
      </c>
      <c r="I839" s="1" t="s">
        <v>19</v>
      </c>
      <c r="J839" s="2">
        <v>79.2</v>
      </c>
      <c r="K839" s="3">
        <v>90</v>
      </c>
      <c r="L839" s="3" t="str">
        <f t="shared" si="13"/>
        <v>90-94</v>
      </c>
      <c r="M839" s="1" t="s">
        <v>28</v>
      </c>
    </row>
    <row r="840" spans="1:13" x14ac:dyDescent="0.35">
      <c r="A840">
        <v>837</v>
      </c>
      <c r="B840" s="1" t="s">
        <v>17</v>
      </c>
      <c r="C840" s="2">
        <v>4.5</v>
      </c>
      <c r="D840" s="3">
        <v>92.4</v>
      </c>
      <c r="E840" s="2">
        <v>8.4</v>
      </c>
      <c r="F840" s="1" t="s">
        <v>18</v>
      </c>
      <c r="G840" s="1" t="s">
        <v>19</v>
      </c>
      <c r="H840" s="1" t="s">
        <v>19</v>
      </c>
      <c r="I840" s="1" t="s">
        <v>19</v>
      </c>
      <c r="J840" s="2">
        <v>90.7</v>
      </c>
      <c r="K840" s="3">
        <v>100</v>
      </c>
      <c r="L840" s="3" t="str">
        <f t="shared" si="13"/>
        <v>95-100</v>
      </c>
      <c r="M840" s="1" t="s">
        <v>21</v>
      </c>
    </row>
    <row r="841" spans="1:13" x14ac:dyDescent="0.35">
      <c r="A841">
        <v>838</v>
      </c>
      <c r="B841" s="1" t="s">
        <v>17</v>
      </c>
      <c r="C841" s="2">
        <v>4.0999999999999996</v>
      </c>
      <c r="D841" s="3">
        <v>83.2</v>
      </c>
      <c r="E841" s="2">
        <v>7.6</v>
      </c>
      <c r="F841" s="1" t="s">
        <v>24</v>
      </c>
      <c r="G841" s="1" t="s">
        <v>19</v>
      </c>
      <c r="H841" s="1" t="s">
        <v>19</v>
      </c>
      <c r="I841" s="1" t="s">
        <v>20</v>
      </c>
      <c r="J841" s="2">
        <v>64.400000000000006</v>
      </c>
      <c r="K841" s="3">
        <v>89</v>
      </c>
      <c r="L841" s="3" t="str">
        <f t="shared" si="13"/>
        <v>85-89</v>
      </c>
      <c r="M841" s="1" t="s">
        <v>28</v>
      </c>
    </row>
    <row r="842" spans="1:13" x14ac:dyDescent="0.35">
      <c r="A842">
        <v>839</v>
      </c>
      <c r="B842" s="1" t="s">
        <v>23</v>
      </c>
      <c r="C842" s="2">
        <v>3.2</v>
      </c>
      <c r="D842" s="3">
        <v>78.5</v>
      </c>
      <c r="E842" s="2">
        <v>7.1</v>
      </c>
      <c r="F842" s="1" t="s">
        <v>24</v>
      </c>
      <c r="G842" s="1" t="s">
        <v>19</v>
      </c>
      <c r="H842" s="1" t="s">
        <v>19</v>
      </c>
      <c r="I842" s="1" t="s">
        <v>20</v>
      </c>
      <c r="J842" s="2">
        <v>54.6</v>
      </c>
      <c r="K842" s="3">
        <v>86</v>
      </c>
      <c r="L842" s="3" t="str">
        <f t="shared" si="13"/>
        <v>85-89</v>
      </c>
      <c r="M842" s="1" t="s">
        <v>28</v>
      </c>
    </row>
    <row r="843" spans="1:13" x14ac:dyDescent="0.35">
      <c r="A843">
        <v>840</v>
      </c>
      <c r="B843" s="1" t="s">
        <v>17</v>
      </c>
      <c r="C843" s="2">
        <v>3.3</v>
      </c>
      <c r="D843" s="3">
        <v>98.2</v>
      </c>
      <c r="E843" s="2">
        <v>5.6</v>
      </c>
      <c r="F843" s="1" t="s">
        <v>34</v>
      </c>
      <c r="G843" s="1" t="s">
        <v>19</v>
      </c>
      <c r="H843" s="1" t="s">
        <v>20</v>
      </c>
      <c r="I843" s="1" t="s">
        <v>19</v>
      </c>
      <c r="J843" s="2">
        <v>63.9</v>
      </c>
      <c r="K843" s="3">
        <v>83</v>
      </c>
      <c r="L843" s="3" t="str">
        <f t="shared" si="13"/>
        <v>80-84</v>
      </c>
      <c r="M843" s="1" t="s">
        <v>28</v>
      </c>
    </row>
    <row r="844" spans="1:13" x14ac:dyDescent="0.35">
      <c r="A844">
        <v>841</v>
      </c>
      <c r="B844" s="1" t="s">
        <v>17</v>
      </c>
      <c r="C844" s="2">
        <v>3.6</v>
      </c>
      <c r="D844" s="3">
        <v>99.2</v>
      </c>
      <c r="E844" s="2">
        <v>5.8</v>
      </c>
      <c r="F844" s="1" t="s">
        <v>18</v>
      </c>
      <c r="G844" s="1" t="s">
        <v>19</v>
      </c>
      <c r="H844" s="1" t="s">
        <v>19</v>
      </c>
      <c r="I844" s="1" t="s">
        <v>20</v>
      </c>
      <c r="J844" s="2">
        <v>72.5</v>
      </c>
      <c r="K844" s="3">
        <v>89</v>
      </c>
      <c r="L844" s="3" t="str">
        <f t="shared" si="13"/>
        <v>85-89</v>
      </c>
      <c r="M844" s="1" t="s">
        <v>28</v>
      </c>
    </row>
    <row r="845" spans="1:13" x14ac:dyDescent="0.35">
      <c r="A845">
        <v>842</v>
      </c>
      <c r="B845" s="1" t="s">
        <v>23</v>
      </c>
      <c r="C845" s="2">
        <v>3.3</v>
      </c>
      <c r="D845" s="3">
        <v>79</v>
      </c>
      <c r="E845" s="2">
        <v>8.3000000000000007</v>
      </c>
      <c r="F845" s="1" t="s">
        <v>18</v>
      </c>
      <c r="G845" s="1" t="s">
        <v>19</v>
      </c>
      <c r="H845" s="1" t="s">
        <v>19</v>
      </c>
      <c r="I845" s="1" t="s">
        <v>20</v>
      </c>
      <c r="J845" s="2">
        <v>70.7</v>
      </c>
      <c r="K845" s="3">
        <v>79</v>
      </c>
      <c r="L845" s="3" t="str">
        <f t="shared" si="13"/>
        <v>75-79</v>
      </c>
      <c r="M845" s="1" t="s">
        <v>32</v>
      </c>
    </row>
    <row r="846" spans="1:13" x14ac:dyDescent="0.35">
      <c r="A846">
        <v>843</v>
      </c>
      <c r="B846" s="1" t="s">
        <v>17</v>
      </c>
      <c r="C846" s="2">
        <v>4.9000000000000004</v>
      </c>
      <c r="D846" s="3">
        <v>66.3</v>
      </c>
      <c r="E846" s="2">
        <v>7.7</v>
      </c>
      <c r="F846" s="1" t="s">
        <v>24</v>
      </c>
      <c r="G846" s="1" t="s">
        <v>19</v>
      </c>
      <c r="H846" s="1" t="s">
        <v>20</v>
      </c>
      <c r="I846" s="1" t="s">
        <v>20</v>
      </c>
      <c r="J846" s="2">
        <v>65.3</v>
      </c>
      <c r="K846" s="3">
        <v>85</v>
      </c>
      <c r="L846" s="3" t="str">
        <f t="shared" si="13"/>
        <v>85-89</v>
      </c>
      <c r="M846" s="1" t="s">
        <v>28</v>
      </c>
    </row>
    <row r="847" spans="1:13" x14ac:dyDescent="0.35">
      <c r="A847">
        <v>844</v>
      </c>
      <c r="B847" s="1" t="s">
        <v>17</v>
      </c>
      <c r="C847" s="2">
        <v>6.8</v>
      </c>
      <c r="D847" s="3">
        <v>95.1</v>
      </c>
      <c r="E847" s="2">
        <v>6.8</v>
      </c>
      <c r="F847" s="1" t="s">
        <v>24</v>
      </c>
      <c r="G847" s="1" t="s">
        <v>19</v>
      </c>
      <c r="H847" s="1" t="s">
        <v>19</v>
      </c>
      <c r="I847" s="1" t="s">
        <v>20</v>
      </c>
      <c r="J847" s="2">
        <v>47.1</v>
      </c>
      <c r="K847" s="3">
        <v>80</v>
      </c>
      <c r="L847" s="3" t="str">
        <f t="shared" si="13"/>
        <v>80-84</v>
      </c>
      <c r="M847" s="1" t="s">
        <v>28</v>
      </c>
    </row>
    <row r="848" spans="1:13" x14ac:dyDescent="0.35">
      <c r="A848">
        <v>845</v>
      </c>
      <c r="B848" s="1" t="s">
        <v>17</v>
      </c>
      <c r="C848" s="2">
        <v>2.7</v>
      </c>
      <c r="D848" s="3">
        <v>78.2</v>
      </c>
      <c r="E848" s="2">
        <v>6.3</v>
      </c>
      <c r="F848" s="1" t="s">
        <v>27</v>
      </c>
      <c r="G848" s="1" t="s">
        <v>19</v>
      </c>
      <c r="H848" s="1" t="s">
        <v>19</v>
      </c>
      <c r="I848" s="1" t="s">
        <v>20</v>
      </c>
      <c r="J848" s="2">
        <v>75.599999999999994</v>
      </c>
      <c r="K848" s="3">
        <v>80</v>
      </c>
      <c r="L848" s="3" t="str">
        <f t="shared" si="13"/>
        <v>80-84</v>
      </c>
      <c r="M848" s="1" t="s">
        <v>28</v>
      </c>
    </row>
    <row r="849" spans="1:13" x14ac:dyDescent="0.35">
      <c r="A849">
        <v>846</v>
      </c>
      <c r="B849" s="1" t="s">
        <v>17</v>
      </c>
      <c r="C849" s="2">
        <v>1.4</v>
      </c>
      <c r="D849" s="3">
        <v>92.9</v>
      </c>
      <c r="E849" s="2">
        <v>4.4000000000000004</v>
      </c>
      <c r="F849" s="1" t="s">
        <v>18</v>
      </c>
      <c r="G849" s="1" t="s">
        <v>19</v>
      </c>
      <c r="H849" s="1" t="s">
        <v>20</v>
      </c>
      <c r="I849" s="1" t="s">
        <v>19</v>
      </c>
      <c r="J849" s="2">
        <v>93.7</v>
      </c>
      <c r="K849" s="3">
        <v>80</v>
      </c>
      <c r="L849" s="3" t="str">
        <f t="shared" si="13"/>
        <v>80-84</v>
      </c>
      <c r="M849" s="1" t="s">
        <v>28</v>
      </c>
    </row>
    <row r="850" spans="1:13" x14ac:dyDescent="0.35">
      <c r="A850">
        <v>847</v>
      </c>
      <c r="B850" s="1" t="s">
        <v>23</v>
      </c>
      <c r="C850" s="2">
        <v>3.4</v>
      </c>
      <c r="D850" s="3">
        <v>65.3</v>
      </c>
      <c r="E850" s="2">
        <v>5.5</v>
      </c>
      <c r="F850" s="1" t="s">
        <v>18</v>
      </c>
      <c r="G850" s="1" t="s">
        <v>19</v>
      </c>
      <c r="H850" s="1" t="s">
        <v>20</v>
      </c>
      <c r="I850" s="1" t="s">
        <v>20</v>
      </c>
      <c r="J850" s="2">
        <v>75.599999999999994</v>
      </c>
      <c r="K850" s="3">
        <v>70</v>
      </c>
      <c r="L850" s="3" t="str">
        <f t="shared" si="13"/>
        <v>70-74</v>
      </c>
      <c r="M850" s="1" t="s">
        <v>30</v>
      </c>
    </row>
    <row r="851" spans="1:13" x14ac:dyDescent="0.35">
      <c r="A851">
        <v>848</v>
      </c>
      <c r="B851" s="1" t="s">
        <v>23</v>
      </c>
      <c r="C851" s="2">
        <v>7.4</v>
      </c>
      <c r="D851" s="3">
        <v>93.9</v>
      </c>
      <c r="E851" s="2">
        <v>9.1</v>
      </c>
      <c r="F851" s="1" t="s">
        <v>24</v>
      </c>
      <c r="G851" s="1" t="s">
        <v>20</v>
      </c>
      <c r="H851" s="1" t="s">
        <v>20</v>
      </c>
      <c r="I851" s="1" t="s">
        <v>20</v>
      </c>
      <c r="J851" s="2">
        <v>77.3</v>
      </c>
      <c r="K851" s="3">
        <v>100</v>
      </c>
      <c r="L851" s="3" t="str">
        <f t="shared" si="13"/>
        <v>95-100</v>
      </c>
      <c r="M851" s="1" t="s">
        <v>21</v>
      </c>
    </row>
    <row r="852" spans="1:13" x14ac:dyDescent="0.35">
      <c r="A852">
        <v>849</v>
      </c>
      <c r="B852" s="1" t="s">
        <v>17</v>
      </c>
      <c r="C852" s="2">
        <v>2.2999999999999998</v>
      </c>
      <c r="D852" s="3">
        <v>72.900000000000006</v>
      </c>
      <c r="E852" s="2">
        <v>5.3</v>
      </c>
      <c r="F852" s="1" t="s">
        <v>33</v>
      </c>
      <c r="G852" s="1" t="s">
        <v>19</v>
      </c>
      <c r="H852" s="1" t="s">
        <v>20</v>
      </c>
      <c r="I852" s="1" t="s">
        <v>20</v>
      </c>
      <c r="J852" s="2">
        <v>76.900000000000006</v>
      </c>
      <c r="K852" s="3">
        <v>81</v>
      </c>
      <c r="L852" s="3" t="str">
        <f t="shared" si="13"/>
        <v>80-84</v>
      </c>
      <c r="M852" s="1" t="s">
        <v>28</v>
      </c>
    </row>
    <row r="853" spans="1:13" x14ac:dyDescent="0.35">
      <c r="A853">
        <v>850</v>
      </c>
      <c r="B853" s="1" t="s">
        <v>23</v>
      </c>
      <c r="C853" s="2">
        <v>6</v>
      </c>
      <c r="D853" s="3">
        <v>92.3</v>
      </c>
      <c r="E853" s="2">
        <v>7</v>
      </c>
      <c r="F853" s="1" t="s">
        <v>27</v>
      </c>
      <c r="G853" s="1" t="s">
        <v>19</v>
      </c>
      <c r="H853" s="1" t="s">
        <v>19</v>
      </c>
      <c r="I853" s="1" t="s">
        <v>19</v>
      </c>
      <c r="J853" s="2">
        <v>74.8</v>
      </c>
      <c r="K853" s="3">
        <v>100</v>
      </c>
      <c r="L853" s="3" t="str">
        <f t="shared" si="13"/>
        <v>95-100</v>
      </c>
      <c r="M853" s="1" t="s">
        <v>21</v>
      </c>
    </row>
    <row r="854" spans="1:13" x14ac:dyDescent="0.35">
      <c r="A854">
        <v>851</v>
      </c>
      <c r="B854" s="1" t="s">
        <v>17</v>
      </c>
      <c r="C854" s="2">
        <v>6</v>
      </c>
      <c r="D854" s="3">
        <v>85.1</v>
      </c>
      <c r="E854" s="2">
        <v>8</v>
      </c>
      <c r="F854" s="1" t="s">
        <v>18</v>
      </c>
      <c r="G854" s="1" t="s">
        <v>19</v>
      </c>
      <c r="H854" s="1" t="s">
        <v>20</v>
      </c>
      <c r="I854" s="1" t="s">
        <v>19</v>
      </c>
      <c r="J854" s="2">
        <v>81.2</v>
      </c>
      <c r="K854" s="3">
        <v>100</v>
      </c>
      <c r="L854" s="3" t="str">
        <f t="shared" si="13"/>
        <v>95-100</v>
      </c>
      <c r="M854" s="1" t="s">
        <v>21</v>
      </c>
    </row>
    <row r="855" spans="1:13" x14ac:dyDescent="0.35">
      <c r="A855">
        <v>852</v>
      </c>
      <c r="B855" s="1" t="s">
        <v>23</v>
      </c>
      <c r="C855" s="2">
        <v>2.7</v>
      </c>
      <c r="D855" s="3">
        <v>75.5</v>
      </c>
      <c r="E855" s="2">
        <v>5.3</v>
      </c>
      <c r="F855" s="1" t="s">
        <v>24</v>
      </c>
      <c r="G855" s="1" t="s">
        <v>19</v>
      </c>
      <c r="H855" s="1" t="s">
        <v>19</v>
      </c>
      <c r="I855" s="1" t="s">
        <v>20</v>
      </c>
      <c r="J855" s="2">
        <v>74.7</v>
      </c>
      <c r="K855" s="3">
        <v>81</v>
      </c>
      <c r="L855" s="3" t="str">
        <f t="shared" si="13"/>
        <v>80-84</v>
      </c>
      <c r="M855" s="1" t="s">
        <v>28</v>
      </c>
    </row>
    <row r="856" spans="1:13" x14ac:dyDescent="0.35">
      <c r="A856">
        <v>853</v>
      </c>
      <c r="B856" s="1" t="s">
        <v>17</v>
      </c>
      <c r="C856" s="2">
        <v>4.4000000000000004</v>
      </c>
      <c r="D856" s="3">
        <v>80.900000000000006</v>
      </c>
      <c r="E856" s="2">
        <v>7</v>
      </c>
      <c r="F856" s="1" t="s">
        <v>18</v>
      </c>
      <c r="G856" s="1" t="s">
        <v>19</v>
      </c>
      <c r="H856" s="1" t="s">
        <v>20</v>
      </c>
      <c r="I856" s="1" t="s">
        <v>20</v>
      </c>
      <c r="J856" s="2">
        <v>66.2</v>
      </c>
      <c r="K856" s="3">
        <v>87</v>
      </c>
      <c r="L856" s="3" t="str">
        <f t="shared" si="13"/>
        <v>85-89</v>
      </c>
      <c r="M856" s="1" t="s">
        <v>28</v>
      </c>
    </row>
    <row r="857" spans="1:13" x14ac:dyDescent="0.35">
      <c r="A857">
        <v>854</v>
      </c>
      <c r="B857" s="1" t="s">
        <v>17</v>
      </c>
      <c r="C857" s="2">
        <v>5.9</v>
      </c>
      <c r="D857" s="3">
        <v>91.9</v>
      </c>
      <c r="E857" s="2">
        <v>7.9</v>
      </c>
      <c r="F857" s="1" t="s">
        <v>33</v>
      </c>
      <c r="G857" s="1" t="s">
        <v>20</v>
      </c>
      <c r="H857" s="1" t="s">
        <v>19</v>
      </c>
      <c r="I857" s="1" t="s">
        <v>20</v>
      </c>
      <c r="J857" s="2">
        <v>60.4</v>
      </c>
      <c r="K857" s="3">
        <v>99</v>
      </c>
      <c r="L857" s="3" t="str">
        <f t="shared" si="13"/>
        <v>95-100</v>
      </c>
      <c r="M857" s="1" t="s">
        <v>21</v>
      </c>
    </row>
    <row r="858" spans="1:13" x14ac:dyDescent="0.35">
      <c r="A858">
        <v>855</v>
      </c>
      <c r="B858" s="1" t="s">
        <v>17</v>
      </c>
      <c r="C858" s="2">
        <v>2.9</v>
      </c>
      <c r="D858" s="3">
        <v>86.1</v>
      </c>
      <c r="E858" s="2">
        <v>6.8</v>
      </c>
      <c r="F858" s="1" t="s">
        <v>18</v>
      </c>
      <c r="G858" s="1" t="s">
        <v>19</v>
      </c>
      <c r="H858" s="1" t="s">
        <v>20</v>
      </c>
      <c r="I858" s="1" t="s">
        <v>20</v>
      </c>
      <c r="J858" s="2">
        <v>67</v>
      </c>
      <c r="K858" s="3">
        <v>82</v>
      </c>
      <c r="L858" s="3" t="str">
        <f t="shared" si="13"/>
        <v>80-84</v>
      </c>
      <c r="M858" s="1" t="s">
        <v>28</v>
      </c>
    </row>
    <row r="859" spans="1:13" x14ac:dyDescent="0.35">
      <c r="A859">
        <v>856</v>
      </c>
      <c r="B859" s="1" t="s">
        <v>17</v>
      </c>
      <c r="C859" s="2">
        <v>3.2</v>
      </c>
      <c r="D859" s="3">
        <v>90.8</v>
      </c>
      <c r="E859" s="2">
        <v>10</v>
      </c>
      <c r="F859" s="1" t="s">
        <v>34</v>
      </c>
      <c r="G859" s="1" t="s">
        <v>19</v>
      </c>
      <c r="H859" s="1" t="s">
        <v>20</v>
      </c>
      <c r="I859" s="1" t="s">
        <v>19</v>
      </c>
      <c r="J859" s="2">
        <v>73.8</v>
      </c>
      <c r="K859" s="3">
        <v>79</v>
      </c>
      <c r="L859" s="3" t="str">
        <f t="shared" si="13"/>
        <v>75-79</v>
      </c>
      <c r="M859" s="1" t="s">
        <v>32</v>
      </c>
    </row>
    <row r="860" spans="1:13" x14ac:dyDescent="0.35">
      <c r="A860">
        <v>857</v>
      </c>
      <c r="B860" s="1" t="s">
        <v>17</v>
      </c>
      <c r="C860" s="2">
        <v>2.6</v>
      </c>
      <c r="D860" s="3">
        <v>100</v>
      </c>
      <c r="E860" s="2">
        <v>4.8</v>
      </c>
      <c r="F860" s="1" t="s">
        <v>18</v>
      </c>
      <c r="G860" s="1" t="s">
        <v>19</v>
      </c>
      <c r="H860" s="1" t="s">
        <v>20</v>
      </c>
      <c r="I860" s="1" t="s">
        <v>20</v>
      </c>
      <c r="J860" s="2">
        <v>66.2</v>
      </c>
      <c r="K860" s="3">
        <v>92</v>
      </c>
      <c r="L860" s="3" t="str">
        <f t="shared" si="13"/>
        <v>90-94</v>
      </c>
      <c r="M860" s="1" t="s">
        <v>21</v>
      </c>
    </row>
    <row r="861" spans="1:13" x14ac:dyDescent="0.35">
      <c r="A861">
        <v>858</v>
      </c>
      <c r="B861" s="1" t="s">
        <v>17</v>
      </c>
      <c r="C861" s="2">
        <v>2</v>
      </c>
      <c r="D861" s="3">
        <v>69.400000000000006</v>
      </c>
      <c r="E861" s="2">
        <v>8.1</v>
      </c>
      <c r="F861" s="1" t="s">
        <v>34</v>
      </c>
      <c r="G861" s="1" t="s">
        <v>19</v>
      </c>
      <c r="H861" s="1" t="s">
        <v>19</v>
      </c>
      <c r="I861" s="1" t="s">
        <v>20</v>
      </c>
      <c r="J861" s="2">
        <v>73.8</v>
      </c>
      <c r="K861" s="3">
        <v>79</v>
      </c>
      <c r="L861" s="3" t="str">
        <f t="shared" si="13"/>
        <v>75-79</v>
      </c>
      <c r="M861" s="1" t="s">
        <v>32</v>
      </c>
    </row>
    <row r="862" spans="1:13" x14ac:dyDescent="0.35">
      <c r="A862">
        <v>859</v>
      </c>
      <c r="B862" s="1" t="s">
        <v>23</v>
      </c>
      <c r="C862" s="2">
        <v>2.5</v>
      </c>
      <c r="D862" s="3">
        <v>100</v>
      </c>
      <c r="E862" s="2">
        <v>6.6</v>
      </c>
      <c r="F862" s="1" t="s">
        <v>18</v>
      </c>
      <c r="G862" s="1" t="s">
        <v>19</v>
      </c>
      <c r="H862" s="1" t="s">
        <v>19</v>
      </c>
      <c r="I862" s="1" t="s">
        <v>20</v>
      </c>
      <c r="J862" s="2">
        <v>75.3</v>
      </c>
      <c r="K862" s="3">
        <v>85</v>
      </c>
      <c r="L862" s="3" t="str">
        <f t="shared" si="13"/>
        <v>85-89</v>
      </c>
      <c r="M862" s="1" t="s">
        <v>28</v>
      </c>
    </row>
    <row r="863" spans="1:13" x14ac:dyDescent="0.35">
      <c r="A863">
        <v>860</v>
      </c>
      <c r="B863" s="1" t="s">
        <v>17</v>
      </c>
      <c r="C863" s="2">
        <v>1.7</v>
      </c>
      <c r="D863" s="3">
        <v>86</v>
      </c>
      <c r="E863" s="2">
        <v>7.7</v>
      </c>
      <c r="F863" s="1" t="s">
        <v>24</v>
      </c>
      <c r="G863" s="1" t="s">
        <v>20</v>
      </c>
      <c r="H863" s="1" t="s">
        <v>20</v>
      </c>
      <c r="I863" s="1" t="s">
        <v>19</v>
      </c>
      <c r="J863" s="2">
        <v>80</v>
      </c>
      <c r="K863" s="3">
        <v>67</v>
      </c>
      <c r="L863" s="3" t="str">
        <f t="shared" si="13"/>
        <v>65-69</v>
      </c>
      <c r="M863" s="1" t="s">
        <v>30</v>
      </c>
    </row>
    <row r="864" spans="1:13" x14ac:dyDescent="0.35">
      <c r="A864">
        <v>861</v>
      </c>
      <c r="B864" s="1" t="s">
        <v>23</v>
      </c>
      <c r="C864" s="2">
        <v>3.6</v>
      </c>
      <c r="D864" s="3">
        <v>76</v>
      </c>
      <c r="E864" s="2">
        <v>7.3</v>
      </c>
      <c r="F864" s="1" t="s">
        <v>24</v>
      </c>
      <c r="G864" s="1" t="s">
        <v>19</v>
      </c>
      <c r="H864" s="1" t="s">
        <v>20</v>
      </c>
      <c r="I864" s="1" t="s">
        <v>20</v>
      </c>
      <c r="J864" s="2">
        <v>85.4</v>
      </c>
      <c r="K864" s="3">
        <v>91</v>
      </c>
      <c r="L864" s="3" t="str">
        <f t="shared" si="13"/>
        <v>90-94</v>
      </c>
      <c r="M864" s="1" t="s">
        <v>21</v>
      </c>
    </row>
    <row r="865" spans="1:13" x14ac:dyDescent="0.35">
      <c r="A865">
        <v>862</v>
      </c>
      <c r="B865" s="1" t="s">
        <v>17</v>
      </c>
      <c r="C865" s="2">
        <v>2.2999999999999998</v>
      </c>
      <c r="D865" s="3">
        <v>71.7</v>
      </c>
      <c r="E865" s="2">
        <v>5.9</v>
      </c>
      <c r="F865" s="1" t="s">
        <v>24</v>
      </c>
      <c r="G865" s="1" t="s">
        <v>19</v>
      </c>
      <c r="H865" s="1" t="s">
        <v>19</v>
      </c>
      <c r="I865" s="1" t="s">
        <v>20</v>
      </c>
      <c r="J865" s="2">
        <v>70.900000000000006</v>
      </c>
      <c r="K865" s="3">
        <v>74</v>
      </c>
      <c r="L865" s="3" t="str">
        <f t="shared" si="13"/>
        <v>70-74</v>
      </c>
      <c r="M865" s="1" t="s">
        <v>32</v>
      </c>
    </row>
    <row r="866" spans="1:13" x14ac:dyDescent="0.35">
      <c r="A866">
        <v>863</v>
      </c>
      <c r="B866" s="1" t="s">
        <v>23</v>
      </c>
      <c r="C866" s="2">
        <v>3.9</v>
      </c>
      <c r="D866" s="3">
        <v>83.1</v>
      </c>
      <c r="E866" s="2">
        <v>7.1</v>
      </c>
      <c r="F866" s="1" t="s">
        <v>27</v>
      </c>
      <c r="G866" s="1" t="s">
        <v>19</v>
      </c>
      <c r="H866" s="1" t="s">
        <v>20</v>
      </c>
      <c r="I866" s="1" t="s">
        <v>19</v>
      </c>
      <c r="J866" s="2">
        <v>54.3</v>
      </c>
      <c r="K866" s="3">
        <v>86</v>
      </c>
      <c r="L866" s="3" t="str">
        <f t="shared" si="13"/>
        <v>85-89</v>
      </c>
      <c r="M866" s="1" t="s">
        <v>28</v>
      </c>
    </row>
    <row r="867" spans="1:13" x14ac:dyDescent="0.35">
      <c r="A867">
        <v>864</v>
      </c>
      <c r="B867" s="1" t="s">
        <v>23</v>
      </c>
      <c r="C867" s="2">
        <v>1.2</v>
      </c>
      <c r="D867" s="3">
        <v>94.2</v>
      </c>
      <c r="E867" s="2">
        <v>4.5999999999999996</v>
      </c>
      <c r="F867" s="1" t="s">
        <v>33</v>
      </c>
      <c r="G867" s="1" t="s">
        <v>19</v>
      </c>
      <c r="H867" s="1" t="s">
        <v>20</v>
      </c>
      <c r="I867" s="1" t="s">
        <v>20</v>
      </c>
      <c r="J867" s="2">
        <v>65.900000000000006</v>
      </c>
      <c r="K867" s="3">
        <v>71</v>
      </c>
      <c r="L867" s="3" t="str">
        <f t="shared" si="13"/>
        <v>70-74</v>
      </c>
      <c r="M867" s="1" t="s">
        <v>32</v>
      </c>
    </row>
    <row r="868" spans="1:13" x14ac:dyDescent="0.35">
      <c r="A868">
        <v>865</v>
      </c>
      <c r="B868" s="1" t="s">
        <v>23</v>
      </c>
      <c r="C868" s="2">
        <v>4</v>
      </c>
      <c r="D868" s="3">
        <v>83.7</v>
      </c>
      <c r="E868" s="2">
        <v>7.5</v>
      </c>
      <c r="F868" s="1" t="s">
        <v>33</v>
      </c>
      <c r="G868" s="1" t="s">
        <v>19</v>
      </c>
      <c r="H868" s="1" t="s">
        <v>19</v>
      </c>
      <c r="I868" s="1" t="s">
        <v>20</v>
      </c>
      <c r="J868" s="2">
        <v>70.5</v>
      </c>
      <c r="K868" s="3">
        <v>84</v>
      </c>
      <c r="L868" s="3" t="str">
        <f t="shared" si="13"/>
        <v>80-84</v>
      </c>
      <c r="M868" s="1" t="s">
        <v>28</v>
      </c>
    </row>
    <row r="869" spans="1:13" x14ac:dyDescent="0.35">
      <c r="A869">
        <v>866</v>
      </c>
      <c r="B869" s="1" t="s">
        <v>17</v>
      </c>
      <c r="C869" s="2">
        <v>4.8</v>
      </c>
      <c r="D869" s="3">
        <v>100</v>
      </c>
      <c r="E869" s="2">
        <v>7.2</v>
      </c>
      <c r="F869" s="1" t="s">
        <v>24</v>
      </c>
      <c r="G869" s="1" t="s">
        <v>19</v>
      </c>
      <c r="H869" s="1" t="s">
        <v>20</v>
      </c>
      <c r="I869" s="1" t="s">
        <v>19</v>
      </c>
      <c r="J869" s="2">
        <v>48</v>
      </c>
      <c r="K869" s="3">
        <v>90</v>
      </c>
      <c r="L869" s="3" t="str">
        <f t="shared" si="13"/>
        <v>90-94</v>
      </c>
      <c r="M869" s="1" t="s">
        <v>28</v>
      </c>
    </row>
    <row r="870" spans="1:13" x14ac:dyDescent="0.35">
      <c r="A870">
        <v>867</v>
      </c>
      <c r="B870" s="1" t="s">
        <v>17</v>
      </c>
      <c r="C870" s="2">
        <v>0.5</v>
      </c>
      <c r="D870" s="3">
        <v>70.5</v>
      </c>
      <c r="E870" s="2">
        <v>7.6</v>
      </c>
      <c r="F870" s="1" t="s">
        <v>24</v>
      </c>
      <c r="G870" s="1" t="s">
        <v>19</v>
      </c>
      <c r="H870" s="1" t="s">
        <v>19</v>
      </c>
      <c r="I870" s="1" t="s">
        <v>20</v>
      </c>
      <c r="J870" s="2">
        <v>86.7</v>
      </c>
      <c r="K870" s="3">
        <v>80</v>
      </c>
      <c r="L870" s="3" t="str">
        <f t="shared" si="13"/>
        <v>80-84</v>
      </c>
      <c r="M870" s="1" t="s">
        <v>28</v>
      </c>
    </row>
    <row r="871" spans="1:13" x14ac:dyDescent="0.35">
      <c r="A871">
        <v>868</v>
      </c>
      <c r="B871" s="1" t="s">
        <v>23</v>
      </c>
      <c r="C871" s="2">
        <v>4.0999999999999996</v>
      </c>
      <c r="D871" s="3">
        <v>84.9</v>
      </c>
      <c r="E871" s="2">
        <v>8.1</v>
      </c>
      <c r="F871" s="1" t="s">
        <v>33</v>
      </c>
      <c r="G871" s="1" t="s">
        <v>19</v>
      </c>
      <c r="H871" s="1" t="s">
        <v>19</v>
      </c>
      <c r="I871" s="1" t="s">
        <v>20</v>
      </c>
      <c r="J871" s="2">
        <v>71.7</v>
      </c>
      <c r="K871" s="3">
        <v>92</v>
      </c>
      <c r="L871" s="3" t="str">
        <f t="shared" si="13"/>
        <v>90-94</v>
      </c>
      <c r="M871" s="1" t="s">
        <v>21</v>
      </c>
    </row>
    <row r="872" spans="1:13" x14ac:dyDescent="0.35">
      <c r="A872">
        <v>869</v>
      </c>
      <c r="B872" s="1" t="s">
        <v>17</v>
      </c>
      <c r="C872" s="2">
        <v>5.3</v>
      </c>
      <c r="D872" s="3">
        <v>72.5</v>
      </c>
      <c r="E872" s="2">
        <v>7.2</v>
      </c>
      <c r="F872" s="1" t="s">
        <v>18</v>
      </c>
      <c r="G872" s="1" t="s">
        <v>19</v>
      </c>
      <c r="H872" s="1" t="s">
        <v>19</v>
      </c>
      <c r="I872" s="1" t="s">
        <v>20</v>
      </c>
      <c r="J872" s="2">
        <v>74.599999999999994</v>
      </c>
      <c r="K872" s="3">
        <v>96</v>
      </c>
      <c r="L872" s="3" t="str">
        <f t="shared" si="13"/>
        <v>95-100</v>
      </c>
      <c r="M872" s="1" t="s">
        <v>21</v>
      </c>
    </row>
    <row r="873" spans="1:13" x14ac:dyDescent="0.35">
      <c r="A873">
        <v>870</v>
      </c>
      <c r="B873" s="1" t="s">
        <v>23</v>
      </c>
      <c r="C873" s="2">
        <v>1.7</v>
      </c>
      <c r="D873" s="3">
        <v>88.6</v>
      </c>
      <c r="E873" s="2">
        <v>7</v>
      </c>
      <c r="F873" s="1" t="s">
        <v>24</v>
      </c>
      <c r="G873" s="1" t="s">
        <v>19</v>
      </c>
      <c r="H873" s="1" t="s">
        <v>20</v>
      </c>
      <c r="I873" s="1" t="s">
        <v>20</v>
      </c>
      <c r="J873" s="2">
        <v>86.4</v>
      </c>
      <c r="K873" s="3">
        <v>84</v>
      </c>
      <c r="L873" s="3" t="str">
        <f t="shared" si="13"/>
        <v>80-84</v>
      </c>
      <c r="M873" s="1" t="s">
        <v>28</v>
      </c>
    </row>
    <row r="874" spans="1:13" x14ac:dyDescent="0.35">
      <c r="A874">
        <v>871</v>
      </c>
      <c r="B874" s="1" t="s">
        <v>17</v>
      </c>
      <c r="C874" s="2">
        <v>6</v>
      </c>
      <c r="D874" s="3">
        <v>93.9</v>
      </c>
      <c r="E874" s="2">
        <v>5.7</v>
      </c>
      <c r="F874" s="1" t="s">
        <v>18</v>
      </c>
      <c r="G874" s="1" t="s">
        <v>19</v>
      </c>
      <c r="H874" s="1" t="s">
        <v>20</v>
      </c>
      <c r="I874" s="1" t="s">
        <v>20</v>
      </c>
      <c r="J874" s="2">
        <v>62.4</v>
      </c>
      <c r="K874" s="3">
        <v>96</v>
      </c>
      <c r="L874" s="3" t="str">
        <f t="shared" si="13"/>
        <v>95-100</v>
      </c>
      <c r="M874" s="1" t="s">
        <v>21</v>
      </c>
    </row>
    <row r="875" spans="1:13" x14ac:dyDescent="0.35">
      <c r="A875">
        <v>872</v>
      </c>
      <c r="B875" s="1" t="s">
        <v>23</v>
      </c>
      <c r="C875" s="2">
        <v>4.0999999999999996</v>
      </c>
      <c r="D875" s="3">
        <v>80.8</v>
      </c>
      <c r="E875" s="2">
        <v>5.9</v>
      </c>
      <c r="F875" s="1" t="s">
        <v>24</v>
      </c>
      <c r="G875" s="1" t="s">
        <v>19</v>
      </c>
      <c r="H875" s="1" t="s">
        <v>19</v>
      </c>
      <c r="I875" s="1" t="s">
        <v>19</v>
      </c>
      <c r="J875" s="2">
        <v>76.900000000000006</v>
      </c>
      <c r="K875" s="3">
        <v>93</v>
      </c>
      <c r="L875" s="3" t="str">
        <f t="shared" si="13"/>
        <v>90-94</v>
      </c>
      <c r="M875" s="1" t="s">
        <v>21</v>
      </c>
    </row>
    <row r="876" spans="1:13" x14ac:dyDescent="0.35">
      <c r="A876">
        <v>873</v>
      </c>
      <c r="B876" s="1" t="s">
        <v>23</v>
      </c>
      <c r="C876" s="2">
        <v>2.4</v>
      </c>
      <c r="D876" s="3">
        <v>59</v>
      </c>
      <c r="E876" s="2">
        <v>8.1999999999999993</v>
      </c>
      <c r="F876" s="1" t="s">
        <v>24</v>
      </c>
      <c r="G876" s="1" t="s">
        <v>19</v>
      </c>
      <c r="H876" s="1" t="s">
        <v>20</v>
      </c>
      <c r="I876" s="1" t="s">
        <v>20</v>
      </c>
      <c r="J876" s="2">
        <v>68.7</v>
      </c>
      <c r="K876" s="3">
        <v>76</v>
      </c>
      <c r="L876" s="3" t="str">
        <f t="shared" si="13"/>
        <v>75-79</v>
      </c>
      <c r="M876" s="1" t="s">
        <v>32</v>
      </c>
    </row>
    <row r="877" spans="1:13" x14ac:dyDescent="0.35">
      <c r="A877">
        <v>874</v>
      </c>
      <c r="B877" s="1" t="s">
        <v>17</v>
      </c>
      <c r="C877" s="2">
        <v>3.4</v>
      </c>
      <c r="D877" s="3">
        <v>87</v>
      </c>
      <c r="E877" s="2">
        <v>8.5</v>
      </c>
      <c r="F877" s="1" t="s">
        <v>18</v>
      </c>
      <c r="G877" s="1" t="s">
        <v>19</v>
      </c>
      <c r="H877" s="1" t="s">
        <v>20</v>
      </c>
      <c r="I877" s="1" t="s">
        <v>20</v>
      </c>
      <c r="J877" s="2">
        <v>67.8</v>
      </c>
      <c r="K877" s="3">
        <v>85</v>
      </c>
      <c r="L877" s="3" t="str">
        <f t="shared" si="13"/>
        <v>85-89</v>
      </c>
      <c r="M877" s="1" t="s">
        <v>28</v>
      </c>
    </row>
    <row r="878" spans="1:13" x14ac:dyDescent="0.35">
      <c r="A878">
        <v>875</v>
      </c>
      <c r="B878" s="1" t="s">
        <v>23</v>
      </c>
      <c r="C878" s="2">
        <v>4.3</v>
      </c>
      <c r="D878" s="3">
        <v>89.4</v>
      </c>
      <c r="E878" s="2">
        <v>6.5</v>
      </c>
      <c r="F878" s="1" t="s">
        <v>24</v>
      </c>
      <c r="G878" s="1" t="s">
        <v>19</v>
      </c>
      <c r="H878" s="1" t="s">
        <v>20</v>
      </c>
      <c r="I878" s="1" t="s">
        <v>20</v>
      </c>
      <c r="J878" s="2">
        <v>60.7</v>
      </c>
      <c r="K878" s="3">
        <v>94</v>
      </c>
      <c r="L878" s="3" t="str">
        <f t="shared" si="13"/>
        <v>90-94</v>
      </c>
      <c r="M878" s="1" t="s">
        <v>21</v>
      </c>
    </row>
    <row r="879" spans="1:13" x14ac:dyDescent="0.35">
      <c r="A879">
        <v>876</v>
      </c>
      <c r="B879" s="1" t="s">
        <v>17</v>
      </c>
      <c r="C879" s="2">
        <v>3.6</v>
      </c>
      <c r="D879" s="3">
        <v>89</v>
      </c>
      <c r="E879" s="2">
        <v>6.9</v>
      </c>
      <c r="F879" s="1" t="s">
        <v>27</v>
      </c>
      <c r="G879" s="1" t="s">
        <v>19</v>
      </c>
      <c r="H879" s="1" t="s">
        <v>19</v>
      </c>
      <c r="I879" s="1" t="s">
        <v>20</v>
      </c>
      <c r="J879" s="2">
        <v>90</v>
      </c>
      <c r="K879" s="3">
        <v>81</v>
      </c>
      <c r="L879" s="3" t="str">
        <f t="shared" si="13"/>
        <v>80-84</v>
      </c>
      <c r="M879" s="1" t="s">
        <v>28</v>
      </c>
    </row>
    <row r="880" spans="1:13" x14ac:dyDescent="0.35">
      <c r="A880">
        <v>877</v>
      </c>
      <c r="B880" s="1" t="s">
        <v>23</v>
      </c>
      <c r="C880" s="2">
        <v>4.3</v>
      </c>
      <c r="D880" s="3">
        <v>97.4</v>
      </c>
      <c r="E880" s="2">
        <v>5.7</v>
      </c>
      <c r="F880" s="1" t="s">
        <v>24</v>
      </c>
      <c r="G880" s="1" t="s">
        <v>19</v>
      </c>
      <c r="H880" s="1" t="s">
        <v>20</v>
      </c>
      <c r="I880" s="1" t="s">
        <v>19</v>
      </c>
      <c r="J880" s="2">
        <v>65.5</v>
      </c>
      <c r="K880" s="3">
        <v>99</v>
      </c>
      <c r="L880" s="3" t="str">
        <f t="shared" si="13"/>
        <v>95-100</v>
      </c>
      <c r="M880" s="1" t="s">
        <v>21</v>
      </c>
    </row>
    <row r="881" spans="1:13" x14ac:dyDescent="0.35">
      <c r="A881">
        <v>878</v>
      </c>
      <c r="B881" s="1" t="s">
        <v>23</v>
      </c>
      <c r="C881" s="2">
        <v>2.1</v>
      </c>
      <c r="D881" s="3">
        <v>74.3</v>
      </c>
      <c r="E881" s="2">
        <v>8.1999999999999993</v>
      </c>
      <c r="F881" s="1" t="s">
        <v>24</v>
      </c>
      <c r="G881" s="1" t="s">
        <v>20</v>
      </c>
      <c r="H881" s="1" t="s">
        <v>19</v>
      </c>
      <c r="I881" s="1" t="s">
        <v>20</v>
      </c>
      <c r="J881" s="2">
        <v>78.400000000000006</v>
      </c>
      <c r="K881" s="3">
        <v>65</v>
      </c>
      <c r="L881" s="3" t="str">
        <f t="shared" si="13"/>
        <v>65-69</v>
      </c>
      <c r="M881" s="1" t="s">
        <v>30</v>
      </c>
    </row>
    <row r="882" spans="1:13" x14ac:dyDescent="0.35">
      <c r="A882">
        <v>879</v>
      </c>
      <c r="B882" s="1" t="s">
        <v>17</v>
      </c>
      <c r="C882" s="2">
        <v>3.8</v>
      </c>
      <c r="D882" s="3">
        <v>91.8</v>
      </c>
      <c r="E882" s="2">
        <v>7.6</v>
      </c>
      <c r="F882" s="1" t="s">
        <v>24</v>
      </c>
      <c r="G882" s="1" t="s">
        <v>19</v>
      </c>
      <c r="H882" s="1" t="s">
        <v>19</v>
      </c>
      <c r="I882" s="1" t="s">
        <v>20</v>
      </c>
      <c r="J882" s="2">
        <v>47.5</v>
      </c>
      <c r="K882" s="3">
        <v>78</v>
      </c>
      <c r="L882" s="3" t="str">
        <f t="shared" si="13"/>
        <v>75-79</v>
      </c>
      <c r="M882" s="1" t="s">
        <v>32</v>
      </c>
    </row>
    <row r="883" spans="1:13" x14ac:dyDescent="0.35">
      <c r="A883">
        <v>880</v>
      </c>
      <c r="B883" s="1" t="s">
        <v>17</v>
      </c>
      <c r="C883" s="2">
        <v>1.4</v>
      </c>
      <c r="D883" s="3">
        <v>96.9</v>
      </c>
      <c r="E883" s="2">
        <v>9.1</v>
      </c>
      <c r="F883" s="1" t="s">
        <v>33</v>
      </c>
      <c r="G883" s="1" t="s">
        <v>19</v>
      </c>
      <c r="H883" s="1" t="s">
        <v>19</v>
      </c>
      <c r="I883" s="1" t="s">
        <v>19</v>
      </c>
      <c r="J883" s="2">
        <v>84.2</v>
      </c>
      <c r="K883" s="3">
        <v>86</v>
      </c>
      <c r="L883" s="3" t="str">
        <f t="shared" si="13"/>
        <v>85-89</v>
      </c>
      <c r="M883" s="1" t="s">
        <v>28</v>
      </c>
    </row>
    <row r="884" spans="1:13" x14ac:dyDescent="0.35">
      <c r="A884">
        <v>881</v>
      </c>
      <c r="B884" s="1" t="s">
        <v>17</v>
      </c>
      <c r="C884" s="2">
        <v>3.3</v>
      </c>
      <c r="D884" s="3">
        <v>67.2</v>
      </c>
      <c r="E884" s="2">
        <v>5.7</v>
      </c>
      <c r="F884" s="1" t="s">
        <v>18</v>
      </c>
      <c r="G884" s="1" t="s">
        <v>19</v>
      </c>
      <c r="H884" s="1" t="s">
        <v>19</v>
      </c>
      <c r="I884" s="1" t="s">
        <v>20</v>
      </c>
      <c r="J884" s="2">
        <v>82.6</v>
      </c>
      <c r="K884" s="3">
        <v>81</v>
      </c>
      <c r="L884" s="3" t="str">
        <f t="shared" si="13"/>
        <v>80-84</v>
      </c>
      <c r="M884" s="1" t="s">
        <v>28</v>
      </c>
    </row>
    <row r="885" spans="1:13" x14ac:dyDescent="0.35">
      <c r="A885">
        <v>882</v>
      </c>
      <c r="B885" s="1" t="s">
        <v>23</v>
      </c>
      <c r="C885" s="2">
        <v>2.1</v>
      </c>
      <c r="D885" s="3">
        <v>88.2</v>
      </c>
      <c r="E885" s="2">
        <v>6.3</v>
      </c>
      <c r="F885" s="1" t="s">
        <v>18</v>
      </c>
      <c r="G885" s="1" t="s">
        <v>19</v>
      </c>
      <c r="H885" s="1" t="s">
        <v>20</v>
      </c>
      <c r="I885" s="1" t="s">
        <v>20</v>
      </c>
      <c r="J885" s="2">
        <v>71.2</v>
      </c>
      <c r="K885" s="3">
        <v>85</v>
      </c>
      <c r="L885" s="3" t="str">
        <f t="shared" si="13"/>
        <v>85-89</v>
      </c>
      <c r="M885" s="1" t="s">
        <v>28</v>
      </c>
    </row>
    <row r="886" spans="1:13" x14ac:dyDescent="0.35">
      <c r="A886">
        <v>883</v>
      </c>
      <c r="B886" s="1" t="s">
        <v>17</v>
      </c>
      <c r="C886" s="2">
        <v>2.4</v>
      </c>
      <c r="D886" s="3">
        <v>80</v>
      </c>
      <c r="E886" s="2">
        <v>7.1</v>
      </c>
      <c r="F886" s="1" t="s">
        <v>24</v>
      </c>
      <c r="G886" s="1" t="s">
        <v>19</v>
      </c>
      <c r="H886" s="1" t="s">
        <v>19</v>
      </c>
      <c r="I886" s="1" t="s">
        <v>20</v>
      </c>
      <c r="J886" s="2">
        <v>67.3</v>
      </c>
      <c r="K886" s="3">
        <v>72</v>
      </c>
      <c r="L886" s="3" t="str">
        <f t="shared" si="13"/>
        <v>70-74</v>
      </c>
      <c r="M886" s="1" t="s">
        <v>32</v>
      </c>
    </row>
    <row r="887" spans="1:13" x14ac:dyDescent="0.35">
      <c r="A887">
        <v>884</v>
      </c>
      <c r="B887" s="1" t="s">
        <v>23</v>
      </c>
      <c r="C887" s="2">
        <v>5.4</v>
      </c>
      <c r="D887" s="3">
        <v>84.2</v>
      </c>
      <c r="E887" s="2">
        <v>7.6</v>
      </c>
      <c r="F887" s="1" t="s">
        <v>24</v>
      </c>
      <c r="G887" s="1" t="s">
        <v>19</v>
      </c>
      <c r="H887" s="1" t="s">
        <v>20</v>
      </c>
      <c r="I887" s="1" t="s">
        <v>19</v>
      </c>
      <c r="J887" s="2">
        <v>74.8</v>
      </c>
      <c r="K887" s="3">
        <v>94</v>
      </c>
      <c r="L887" s="3" t="str">
        <f t="shared" si="13"/>
        <v>90-94</v>
      </c>
      <c r="M887" s="1" t="s">
        <v>21</v>
      </c>
    </row>
    <row r="888" spans="1:13" x14ac:dyDescent="0.35">
      <c r="A888">
        <v>885</v>
      </c>
      <c r="B888" s="1" t="s">
        <v>23</v>
      </c>
      <c r="C888" s="2">
        <v>5.0999999999999996</v>
      </c>
      <c r="D888" s="3">
        <v>88.5</v>
      </c>
      <c r="E888" s="2">
        <v>6.5</v>
      </c>
      <c r="F888" s="1" t="s">
        <v>18</v>
      </c>
      <c r="G888" s="1" t="s">
        <v>19</v>
      </c>
      <c r="H888" s="1" t="s">
        <v>19</v>
      </c>
      <c r="I888" s="1" t="s">
        <v>20</v>
      </c>
      <c r="J888" s="2">
        <v>97.5</v>
      </c>
      <c r="K888" s="3">
        <v>100</v>
      </c>
      <c r="L888" s="3" t="str">
        <f t="shared" si="13"/>
        <v>95-100</v>
      </c>
      <c r="M888" s="1" t="s">
        <v>21</v>
      </c>
    </row>
    <row r="889" spans="1:13" x14ac:dyDescent="0.35">
      <c r="A889">
        <v>886</v>
      </c>
      <c r="B889" s="1" t="s">
        <v>17</v>
      </c>
      <c r="C889" s="2">
        <v>4.4000000000000004</v>
      </c>
      <c r="D889" s="3">
        <v>80.099999999999994</v>
      </c>
      <c r="E889" s="2">
        <v>5.8</v>
      </c>
      <c r="F889" s="1" t="s">
        <v>33</v>
      </c>
      <c r="G889" s="1" t="s">
        <v>19</v>
      </c>
      <c r="H889" s="1" t="s">
        <v>19</v>
      </c>
      <c r="I889" s="1" t="s">
        <v>19</v>
      </c>
      <c r="J889" s="2">
        <v>48.8</v>
      </c>
      <c r="K889" s="3">
        <v>77</v>
      </c>
      <c r="L889" s="3" t="str">
        <f t="shared" si="13"/>
        <v>75-79</v>
      </c>
      <c r="M889" s="1" t="s">
        <v>32</v>
      </c>
    </row>
    <row r="890" spans="1:13" x14ac:dyDescent="0.35">
      <c r="A890">
        <v>887</v>
      </c>
      <c r="B890" s="1" t="s">
        <v>17</v>
      </c>
      <c r="C890" s="2">
        <v>1.9</v>
      </c>
      <c r="D890" s="3">
        <v>78.2</v>
      </c>
      <c r="E890" s="2">
        <v>7.9</v>
      </c>
      <c r="F890" s="1" t="s">
        <v>34</v>
      </c>
      <c r="G890" s="1" t="s">
        <v>19</v>
      </c>
      <c r="H890" s="1" t="s">
        <v>20</v>
      </c>
      <c r="I890" s="1" t="s">
        <v>19</v>
      </c>
      <c r="J890" s="2">
        <v>79.400000000000006</v>
      </c>
      <c r="K890" s="3">
        <v>77</v>
      </c>
      <c r="L890" s="3" t="str">
        <f t="shared" si="13"/>
        <v>75-79</v>
      </c>
      <c r="M890" s="1" t="s">
        <v>32</v>
      </c>
    </row>
    <row r="891" spans="1:13" x14ac:dyDescent="0.35">
      <c r="A891">
        <v>888</v>
      </c>
      <c r="B891" s="1" t="s">
        <v>23</v>
      </c>
      <c r="C891" s="2">
        <v>3</v>
      </c>
      <c r="D891" s="3">
        <v>85.3</v>
      </c>
      <c r="E891" s="2">
        <v>7.7</v>
      </c>
      <c r="F891" s="1" t="s">
        <v>24</v>
      </c>
      <c r="G891" s="1" t="s">
        <v>19</v>
      </c>
      <c r="H891" s="1" t="s">
        <v>20</v>
      </c>
      <c r="I891" s="1" t="s">
        <v>20</v>
      </c>
      <c r="J891" s="2">
        <v>59.1</v>
      </c>
      <c r="K891" s="3">
        <v>80</v>
      </c>
      <c r="L891" s="3" t="str">
        <f t="shared" si="13"/>
        <v>80-84</v>
      </c>
      <c r="M891" s="1" t="s">
        <v>32</v>
      </c>
    </row>
    <row r="892" spans="1:13" x14ac:dyDescent="0.35">
      <c r="A892">
        <v>889</v>
      </c>
      <c r="B892" s="1" t="s">
        <v>23</v>
      </c>
      <c r="C892" s="2">
        <v>5.3</v>
      </c>
      <c r="D892" s="3">
        <v>74.099999999999994</v>
      </c>
      <c r="E892" s="2">
        <v>5.7</v>
      </c>
      <c r="F892" s="1" t="s">
        <v>18</v>
      </c>
      <c r="G892" s="1" t="s">
        <v>19</v>
      </c>
      <c r="H892" s="1" t="s">
        <v>19</v>
      </c>
      <c r="I892" s="1" t="s">
        <v>19</v>
      </c>
      <c r="J892" s="2">
        <v>69.8</v>
      </c>
      <c r="K892" s="3">
        <v>82</v>
      </c>
      <c r="L892" s="3" t="str">
        <f t="shared" si="13"/>
        <v>80-84</v>
      </c>
      <c r="M892" s="1" t="s">
        <v>28</v>
      </c>
    </row>
    <row r="893" spans="1:13" x14ac:dyDescent="0.35">
      <c r="A893">
        <v>890</v>
      </c>
      <c r="B893" s="1" t="s">
        <v>17</v>
      </c>
      <c r="C893" s="2">
        <v>3.7</v>
      </c>
      <c r="D893" s="3">
        <v>74.099999999999994</v>
      </c>
      <c r="E893" s="2">
        <v>8.4</v>
      </c>
      <c r="F893" s="1" t="s">
        <v>27</v>
      </c>
      <c r="G893" s="1" t="s">
        <v>19</v>
      </c>
      <c r="H893" s="1" t="s">
        <v>19</v>
      </c>
      <c r="I893" s="1" t="s">
        <v>19</v>
      </c>
      <c r="J893" s="2">
        <v>67</v>
      </c>
      <c r="K893" s="3">
        <v>77</v>
      </c>
      <c r="L893" s="3" t="str">
        <f t="shared" si="13"/>
        <v>75-79</v>
      </c>
      <c r="M893" s="1" t="s">
        <v>32</v>
      </c>
    </row>
    <row r="894" spans="1:13" x14ac:dyDescent="0.35">
      <c r="A894">
        <v>891</v>
      </c>
      <c r="B894" s="1" t="s">
        <v>17</v>
      </c>
      <c r="C894" s="2">
        <v>7</v>
      </c>
      <c r="D894" s="3">
        <v>91.8</v>
      </c>
      <c r="E894" s="2">
        <v>8.1999999999999993</v>
      </c>
      <c r="F894" s="1" t="s">
        <v>18</v>
      </c>
      <c r="G894" s="1" t="s">
        <v>19</v>
      </c>
      <c r="H894" s="1" t="s">
        <v>19</v>
      </c>
      <c r="I894" s="1" t="s">
        <v>19</v>
      </c>
      <c r="J894" s="2">
        <v>64.900000000000006</v>
      </c>
      <c r="K894" s="3">
        <v>100</v>
      </c>
      <c r="L894" s="3" t="str">
        <f t="shared" si="13"/>
        <v>95-100</v>
      </c>
      <c r="M894" s="1" t="s">
        <v>21</v>
      </c>
    </row>
    <row r="895" spans="1:13" x14ac:dyDescent="0.35">
      <c r="A895">
        <v>892</v>
      </c>
      <c r="B895" s="1" t="s">
        <v>17</v>
      </c>
      <c r="C895" s="2">
        <v>4.0999999999999996</v>
      </c>
      <c r="D895" s="3">
        <v>73.5</v>
      </c>
      <c r="E895" s="2">
        <v>7</v>
      </c>
      <c r="F895" s="1" t="s">
        <v>33</v>
      </c>
      <c r="G895" s="1" t="s">
        <v>19</v>
      </c>
      <c r="H895" s="1" t="s">
        <v>19</v>
      </c>
      <c r="I895" s="1" t="s">
        <v>19</v>
      </c>
      <c r="J895" s="2">
        <v>69.900000000000006</v>
      </c>
      <c r="K895" s="3">
        <v>87</v>
      </c>
      <c r="L895" s="3" t="str">
        <f t="shared" si="13"/>
        <v>85-89</v>
      </c>
      <c r="M895" s="1" t="s">
        <v>28</v>
      </c>
    </row>
    <row r="896" spans="1:13" x14ac:dyDescent="0.35">
      <c r="A896">
        <v>893</v>
      </c>
      <c r="B896" s="1" t="s">
        <v>17</v>
      </c>
      <c r="C896" s="2">
        <v>3.8</v>
      </c>
      <c r="D896" s="3">
        <v>91.7</v>
      </c>
      <c r="E896" s="2">
        <v>6.9</v>
      </c>
      <c r="F896" s="1" t="s">
        <v>24</v>
      </c>
      <c r="G896" s="1" t="s">
        <v>19</v>
      </c>
      <c r="H896" s="1" t="s">
        <v>20</v>
      </c>
      <c r="I896" s="1" t="s">
        <v>19</v>
      </c>
      <c r="J896" s="2">
        <v>56.4</v>
      </c>
      <c r="K896" s="3">
        <v>76</v>
      </c>
      <c r="L896" s="3" t="str">
        <f t="shared" si="13"/>
        <v>75-79</v>
      </c>
      <c r="M896" s="1" t="s">
        <v>32</v>
      </c>
    </row>
    <row r="897" spans="1:13" x14ac:dyDescent="0.35">
      <c r="A897">
        <v>894</v>
      </c>
      <c r="B897" s="1" t="s">
        <v>17</v>
      </c>
      <c r="C897" s="2">
        <v>3</v>
      </c>
      <c r="D897" s="3">
        <v>89.6</v>
      </c>
      <c r="E897" s="2">
        <v>7.5</v>
      </c>
      <c r="F897" s="1" t="s">
        <v>27</v>
      </c>
      <c r="G897" s="1" t="s">
        <v>20</v>
      </c>
      <c r="H897" s="1" t="s">
        <v>20</v>
      </c>
      <c r="I897" s="1" t="s">
        <v>20</v>
      </c>
      <c r="J897" s="2">
        <v>82.4</v>
      </c>
      <c r="K897" s="3">
        <v>80</v>
      </c>
      <c r="L897" s="3" t="str">
        <f t="shared" si="13"/>
        <v>80-84</v>
      </c>
      <c r="M897" s="1" t="s">
        <v>32</v>
      </c>
    </row>
    <row r="898" spans="1:13" x14ac:dyDescent="0.35">
      <c r="A898">
        <v>895</v>
      </c>
      <c r="B898" s="1" t="s">
        <v>23</v>
      </c>
      <c r="C898" s="2">
        <v>3.7</v>
      </c>
      <c r="D898" s="3">
        <v>67.7</v>
      </c>
      <c r="E898" s="2">
        <v>5.8</v>
      </c>
      <c r="F898" s="1" t="s">
        <v>33</v>
      </c>
      <c r="G898" s="1" t="s">
        <v>19</v>
      </c>
      <c r="H898" s="1" t="s">
        <v>19</v>
      </c>
      <c r="I898" s="1" t="s">
        <v>19</v>
      </c>
      <c r="J898" s="2">
        <v>48.5</v>
      </c>
      <c r="K898" s="3">
        <v>71</v>
      </c>
      <c r="L898" s="3" t="str">
        <f t="shared" si="13"/>
        <v>70-74</v>
      </c>
      <c r="M898" s="1" t="s">
        <v>32</v>
      </c>
    </row>
    <row r="899" spans="1:13" x14ac:dyDescent="0.35">
      <c r="A899">
        <v>896</v>
      </c>
      <c r="B899" s="1" t="s">
        <v>23</v>
      </c>
      <c r="C899" s="2">
        <v>3.3</v>
      </c>
      <c r="D899" s="3">
        <v>78.2</v>
      </c>
      <c r="E899" s="2">
        <v>6.8</v>
      </c>
      <c r="F899" s="1" t="s">
        <v>27</v>
      </c>
      <c r="G899" s="1" t="s">
        <v>19</v>
      </c>
      <c r="H899" s="1" t="s">
        <v>20</v>
      </c>
      <c r="I899" s="1" t="s">
        <v>19</v>
      </c>
      <c r="J899" s="2">
        <v>76.5</v>
      </c>
      <c r="K899" s="3">
        <v>81</v>
      </c>
      <c r="L899" s="3" t="str">
        <f t="shared" si="13"/>
        <v>80-84</v>
      </c>
      <c r="M899" s="1" t="s">
        <v>28</v>
      </c>
    </row>
    <row r="900" spans="1:13" x14ac:dyDescent="0.35">
      <c r="A900">
        <v>897</v>
      </c>
      <c r="B900" s="1" t="s">
        <v>23</v>
      </c>
      <c r="C900" s="2">
        <v>4.5999999999999996</v>
      </c>
      <c r="D900" s="3">
        <v>96.9</v>
      </c>
      <c r="E900" s="2">
        <v>4.2</v>
      </c>
      <c r="F900" s="1" t="s">
        <v>33</v>
      </c>
      <c r="G900" s="1" t="s">
        <v>19</v>
      </c>
      <c r="H900" s="1" t="s">
        <v>20</v>
      </c>
      <c r="I900" s="1" t="s">
        <v>19</v>
      </c>
      <c r="J900" s="2">
        <v>66.099999999999994</v>
      </c>
      <c r="K900" s="3">
        <v>91</v>
      </c>
      <c r="L900" s="3" t="str">
        <f t="shared" si="13"/>
        <v>90-94</v>
      </c>
      <c r="M900" s="1" t="s">
        <v>21</v>
      </c>
    </row>
    <row r="901" spans="1:13" x14ac:dyDescent="0.35">
      <c r="A901">
        <v>898</v>
      </c>
      <c r="B901" s="1" t="s">
        <v>23</v>
      </c>
      <c r="C901" s="2">
        <v>4.9000000000000004</v>
      </c>
      <c r="D901" s="3">
        <v>75.2</v>
      </c>
      <c r="E901" s="2">
        <v>7.9</v>
      </c>
      <c r="F901" s="1" t="s">
        <v>18</v>
      </c>
      <c r="G901" s="1" t="s">
        <v>19</v>
      </c>
      <c r="H901" s="1" t="s">
        <v>19</v>
      </c>
      <c r="I901" s="1" t="s">
        <v>20</v>
      </c>
      <c r="J901" s="2">
        <v>55.9</v>
      </c>
      <c r="K901" s="3">
        <v>79</v>
      </c>
      <c r="L901" s="3" t="str">
        <f t="shared" ref="L901:L964" si="14">IF(K901&gt;=95,"95-100",IF(K901&gt;=90,"90-94",IF(K901&gt;=85,"85-89",IF(K901&gt;=80,"80-84",IF(K901&gt;=75,"75-79",IF(K901&gt;=70,"70-74",IF(K901&gt;=65,"65-69",IF(K901&gt;=60,"60-64",IF(K901&gt;=55,"55-59","Below 55")))))))))</f>
        <v>75-79</v>
      </c>
      <c r="M901" s="1" t="s">
        <v>32</v>
      </c>
    </row>
    <row r="902" spans="1:13" x14ac:dyDescent="0.35">
      <c r="A902">
        <v>899</v>
      </c>
      <c r="B902" s="1" t="s">
        <v>17</v>
      </c>
      <c r="C902" s="2">
        <v>2.2999999999999998</v>
      </c>
      <c r="D902" s="3">
        <v>80.400000000000006</v>
      </c>
      <c r="E902" s="2">
        <v>4.9000000000000004</v>
      </c>
      <c r="F902" s="1" t="s">
        <v>27</v>
      </c>
      <c r="G902" s="1" t="s">
        <v>19</v>
      </c>
      <c r="H902" s="1" t="s">
        <v>19</v>
      </c>
      <c r="I902" s="1" t="s">
        <v>20</v>
      </c>
      <c r="J902" s="2">
        <v>72.400000000000006</v>
      </c>
      <c r="K902" s="3">
        <v>67</v>
      </c>
      <c r="L902" s="3" t="str">
        <f t="shared" si="14"/>
        <v>65-69</v>
      </c>
      <c r="M902" s="1" t="s">
        <v>30</v>
      </c>
    </row>
    <row r="903" spans="1:13" x14ac:dyDescent="0.35">
      <c r="A903">
        <v>900</v>
      </c>
      <c r="B903" s="1" t="s">
        <v>17</v>
      </c>
      <c r="C903" s="2">
        <v>1.5</v>
      </c>
      <c r="D903" s="3">
        <v>89.6</v>
      </c>
      <c r="E903" s="2">
        <v>8.6</v>
      </c>
      <c r="F903" s="1" t="s">
        <v>24</v>
      </c>
      <c r="G903" s="1" t="s">
        <v>19</v>
      </c>
      <c r="H903" s="1" t="s">
        <v>20</v>
      </c>
      <c r="I903" s="1" t="s">
        <v>20</v>
      </c>
      <c r="J903" s="2">
        <v>51.3</v>
      </c>
      <c r="K903" s="3">
        <v>69</v>
      </c>
      <c r="L903" s="3" t="str">
        <f t="shared" si="14"/>
        <v>65-69</v>
      </c>
      <c r="M903" s="1" t="s">
        <v>30</v>
      </c>
    </row>
    <row r="904" spans="1:13" x14ac:dyDescent="0.35">
      <c r="A904">
        <v>901</v>
      </c>
      <c r="B904" s="1" t="s">
        <v>17</v>
      </c>
      <c r="C904" s="2">
        <v>0.7</v>
      </c>
      <c r="D904" s="3">
        <v>92.8</v>
      </c>
      <c r="E904" s="2">
        <v>6.4</v>
      </c>
      <c r="F904" s="1" t="s">
        <v>24</v>
      </c>
      <c r="G904" s="1" t="s">
        <v>19</v>
      </c>
      <c r="H904" s="1" t="s">
        <v>20</v>
      </c>
      <c r="I904" s="1" t="s">
        <v>20</v>
      </c>
      <c r="J904" s="2">
        <v>70.5</v>
      </c>
      <c r="K904" s="3">
        <v>70</v>
      </c>
      <c r="L904" s="3" t="str">
        <f t="shared" si="14"/>
        <v>70-74</v>
      </c>
      <c r="M904" s="1" t="s">
        <v>30</v>
      </c>
    </row>
    <row r="905" spans="1:13" x14ac:dyDescent="0.35">
      <c r="A905">
        <v>902</v>
      </c>
      <c r="B905" s="1" t="s">
        <v>23</v>
      </c>
      <c r="C905" s="2">
        <v>4.3</v>
      </c>
      <c r="D905" s="3">
        <v>82.5</v>
      </c>
      <c r="E905" s="2">
        <v>6.5</v>
      </c>
      <c r="F905" s="1" t="s">
        <v>33</v>
      </c>
      <c r="G905" s="1" t="s">
        <v>19</v>
      </c>
      <c r="H905" s="1" t="s">
        <v>19</v>
      </c>
      <c r="I905" s="1" t="s">
        <v>20</v>
      </c>
      <c r="J905" s="2">
        <v>52.9</v>
      </c>
      <c r="K905" s="3">
        <v>81</v>
      </c>
      <c r="L905" s="3" t="str">
        <f t="shared" si="14"/>
        <v>80-84</v>
      </c>
      <c r="M905" s="1" t="s">
        <v>28</v>
      </c>
    </row>
    <row r="906" spans="1:13" x14ac:dyDescent="0.35">
      <c r="A906">
        <v>903</v>
      </c>
      <c r="B906" s="1" t="s">
        <v>23</v>
      </c>
      <c r="C906" s="2">
        <v>1.8</v>
      </c>
      <c r="D906" s="3">
        <v>79</v>
      </c>
      <c r="E906" s="2">
        <v>6</v>
      </c>
      <c r="F906" s="1" t="s">
        <v>33</v>
      </c>
      <c r="G906" s="1" t="s">
        <v>19</v>
      </c>
      <c r="H906" s="1" t="s">
        <v>19</v>
      </c>
      <c r="I906" s="1" t="s">
        <v>20</v>
      </c>
      <c r="J906" s="2">
        <v>75.5</v>
      </c>
      <c r="K906" s="3">
        <v>73</v>
      </c>
      <c r="L906" s="3" t="str">
        <f t="shared" si="14"/>
        <v>70-74</v>
      </c>
      <c r="M906" s="1" t="s">
        <v>32</v>
      </c>
    </row>
    <row r="907" spans="1:13" x14ac:dyDescent="0.35">
      <c r="A907">
        <v>904</v>
      </c>
      <c r="B907" s="1" t="s">
        <v>17</v>
      </c>
      <c r="C907" s="2">
        <v>0.5</v>
      </c>
      <c r="D907" s="3">
        <v>99.2</v>
      </c>
      <c r="E907" s="2">
        <v>6.5</v>
      </c>
      <c r="F907" s="1" t="s">
        <v>27</v>
      </c>
      <c r="G907" s="1" t="s">
        <v>20</v>
      </c>
      <c r="H907" s="1" t="s">
        <v>19</v>
      </c>
      <c r="I907" s="1" t="s">
        <v>19</v>
      </c>
      <c r="J907" s="2">
        <v>58.9</v>
      </c>
      <c r="K907" s="3">
        <v>69</v>
      </c>
      <c r="L907" s="3" t="str">
        <f t="shared" si="14"/>
        <v>65-69</v>
      </c>
      <c r="M907" s="1" t="s">
        <v>30</v>
      </c>
    </row>
    <row r="908" spans="1:13" x14ac:dyDescent="0.35">
      <c r="A908">
        <v>905</v>
      </c>
      <c r="B908" s="1" t="s">
        <v>17</v>
      </c>
      <c r="C908" s="2">
        <v>4.0999999999999996</v>
      </c>
      <c r="D908" s="3">
        <v>100</v>
      </c>
      <c r="E908" s="2">
        <v>8.5</v>
      </c>
      <c r="F908" s="1" t="s">
        <v>24</v>
      </c>
      <c r="G908" s="1" t="s">
        <v>19</v>
      </c>
      <c r="H908" s="1" t="s">
        <v>20</v>
      </c>
      <c r="I908" s="1" t="s">
        <v>20</v>
      </c>
      <c r="J908" s="2">
        <v>64.599999999999994</v>
      </c>
      <c r="K908" s="3">
        <v>91</v>
      </c>
      <c r="L908" s="3" t="str">
        <f t="shared" si="14"/>
        <v>90-94</v>
      </c>
      <c r="M908" s="1" t="s">
        <v>21</v>
      </c>
    </row>
    <row r="909" spans="1:13" x14ac:dyDescent="0.35">
      <c r="A909">
        <v>906</v>
      </c>
      <c r="B909" s="1" t="s">
        <v>23</v>
      </c>
      <c r="C909" s="2">
        <v>7.2</v>
      </c>
      <c r="D909" s="3">
        <v>94.8</v>
      </c>
      <c r="E909" s="2">
        <v>3.8</v>
      </c>
      <c r="F909" s="1" t="s">
        <v>33</v>
      </c>
      <c r="G909" s="1" t="s">
        <v>19</v>
      </c>
      <c r="H909" s="1" t="s">
        <v>19</v>
      </c>
      <c r="I909" s="1" t="s">
        <v>20</v>
      </c>
      <c r="J909" s="2">
        <v>73.5</v>
      </c>
      <c r="K909" s="3">
        <v>100</v>
      </c>
      <c r="L909" s="3" t="str">
        <f t="shared" si="14"/>
        <v>95-100</v>
      </c>
      <c r="M909" s="1" t="s">
        <v>21</v>
      </c>
    </row>
    <row r="910" spans="1:13" x14ac:dyDescent="0.35">
      <c r="A910">
        <v>907</v>
      </c>
      <c r="B910" s="1" t="s">
        <v>23</v>
      </c>
      <c r="C910" s="2">
        <v>3.5</v>
      </c>
      <c r="D910" s="3">
        <v>85.9</v>
      </c>
      <c r="E910" s="2">
        <v>8.3000000000000007</v>
      </c>
      <c r="F910" s="1" t="s">
        <v>33</v>
      </c>
      <c r="G910" s="1" t="s">
        <v>19</v>
      </c>
      <c r="H910" s="1" t="s">
        <v>19</v>
      </c>
      <c r="I910" s="1" t="s">
        <v>20</v>
      </c>
      <c r="J910" s="2">
        <v>60.7</v>
      </c>
      <c r="K910" s="3">
        <v>85</v>
      </c>
      <c r="L910" s="3" t="str">
        <f t="shared" si="14"/>
        <v>85-89</v>
      </c>
      <c r="M910" s="1" t="s">
        <v>28</v>
      </c>
    </row>
    <row r="911" spans="1:13" x14ac:dyDescent="0.35">
      <c r="A911">
        <v>908</v>
      </c>
      <c r="B911" s="1" t="s">
        <v>17</v>
      </c>
      <c r="C911" s="2">
        <v>4.8</v>
      </c>
      <c r="D911" s="3">
        <v>76.900000000000006</v>
      </c>
      <c r="E911" s="2">
        <v>7.2</v>
      </c>
      <c r="F911" s="1" t="s">
        <v>24</v>
      </c>
      <c r="G911" s="1" t="s">
        <v>19</v>
      </c>
      <c r="H911" s="1" t="s">
        <v>20</v>
      </c>
      <c r="I911" s="1" t="s">
        <v>19</v>
      </c>
      <c r="J911" s="2">
        <v>69.3</v>
      </c>
      <c r="K911" s="3">
        <v>86</v>
      </c>
      <c r="L911" s="3" t="str">
        <f t="shared" si="14"/>
        <v>85-89</v>
      </c>
      <c r="M911" s="1" t="s">
        <v>28</v>
      </c>
    </row>
    <row r="912" spans="1:13" x14ac:dyDescent="0.35">
      <c r="A912">
        <v>909</v>
      </c>
      <c r="B912" s="1" t="s">
        <v>17</v>
      </c>
      <c r="C912" s="2">
        <v>3.6</v>
      </c>
      <c r="D912" s="3">
        <v>76.7</v>
      </c>
      <c r="E912" s="2">
        <v>5.4</v>
      </c>
      <c r="F912" s="1" t="s">
        <v>18</v>
      </c>
      <c r="G912" s="1" t="s">
        <v>19</v>
      </c>
      <c r="H912" s="1" t="s">
        <v>20</v>
      </c>
      <c r="I912" s="1" t="s">
        <v>20</v>
      </c>
      <c r="J912" s="2">
        <v>51.8</v>
      </c>
      <c r="K912" s="3">
        <v>73</v>
      </c>
      <c r="L912" s="3" t="str">
        <f t="shared" si="14"/>
        <v>70-74</v>
      </c>
      <c r="M912" s="1" t="s">
        <v>32</v>
      </c>
    </row>
    <row r="913" spans="1:13" x14ac:dyDescent="0.35">
      <c r="A913">
        <v>910</v>
      </c>
      <c r="B913" s="1" t="s">
        <v>23</v>
      </c>
      <c r="C913" s="2">
        <v>3.4</v>
      </c>
      <c r="D913" s="3">
        <v>90.2</v>
      </c>
      <c r="E913" s="2">
        <v>5.5</v>
      </c>
      <c r="F913" s="1" t="s">
        <v>24</v>
      </c>
      <c r="G913" s="1" t="s">
        <v>19</v>
      </c>
      <c r="H913" s="1" t="s">
        <v>20</v>
      </c>
      <c r="I913" s="1" t="s">
        <v>19</v>
      </c>
      <c r="J913" s="2">
        <v>77.599999999999994</v>
      </c>
      <c r="K913" s="3">
        <v>88</v>
      </c>
      <c r="L913" s="3" t="str">
        <f t="shared" si="14"/>
        <v>85-89</v>
      </c>
      <c r="M913" s="1" t="s">
        <v>28</v>
      </c>
    </row>
    <row r="914" spans="1:13" x14ac:dyDescent="0.35">
      <c r="A914">
        <v>911</v>
      </c>
      <c r="B914" s="1" t="s">
        <v>17</v>
      </c>
      <c r="C914" s="2">
        <v>4.9000000000000004</v>
      </c>
      <c r="D914" s="3">
        <v>89.2</v>
      </c>
      <c r="E914" s="2">
        <v>8.8000000000000007</v>
      </c>
      <c r="F914" s="1" t="s">
        <v>24</v>
      </c>
      <c r="G914" s="1" t="s">
        <v>19</v>
      </c>
      <c r="H914" s="1" t="s">
        <v>19</v>
      </c>
      <c r="I914" s="1" t="s">
        <v>19</v>
      </c>
      <c r="J914" s="2">
        <v>91.2</v>
      </c>
      <c r="K914" s="3">
        <v>97</v>
      </c>
      <c r="L914" s="3" t="str">
        <f t="shared" si="14"/>
        <v>95-100</v>
      </c>
      <c r="M914" s="1" t="s">
        <v>21</v>
      </c>
    </row>
    <row r="915" spans="1:13" x14ac:dyDescent="0.35">
      <c r="A915">
        <v>912</v>
      </c>
      <c r="B915" s="1" t="s">
        <v>17</v>
      </c>
      <c r="C915" s="2">
        <v>3.1</v>
      </c>
      <c r="D915" s="3">
        <v>99</v>
      </c>
      <c r="E915" s="2">
        <v>5.7</v>
      </c>
      <c r="F915" s="1" t="s">
        <v>27</v>
      </c>
      <c r="G915" s="1" t="s">
        <v>19</v>
      </c>
      <c r="H915" s="1" t="s">
        <v>19</v>
      </c>
      <c r="I915" s="1" t="s">
        <v>20</v>
      </c>
      <c r="J915" s="2">
        <v>100</v>
      </c>
      <c r="K915" s="3">
        <v>100</v>
      </c>
      <c r="L915" s="3" t="str">
        <f t="shared" si="14"/>
        <v>95-100</v>
      </c>
      <c r="M915" s="1" t="s">
        <v>21</v>
      </c>
    </row>
    <row r="916" spans="1:13" x14ac:dyDescent="0.35">
      <c r="A916">
        <v>913</v>
      </c>
      <c r="B916" s="1" t="s">
        <v>17</v>
      </c>
      <c r="C916" s="2">
        <v>3.9</v>
      </c>
      <c r="D916" s="3">
        <v>91.5</v>
      </c>
      <c r="E916" s="2">
        <v>5.4</v>
      </c>
      <c r="F916" s="1" t="s">
        <v>18</v>
      </c>
      <c r="G916" s="1" t="s">
        <v>20</v>
      </c>
      <c r="H916" s="1" t="s">
        <v>19</v>
      </c>
      <c r="I916" s="1" t="s">
        <v>20</v>
      </c>
      <c r="J916" s="2">
        <v>71.099999999999994</v>
      </c>
      <c r="K916" s="3">
        <v>82</v>
      </c>
      <c r="L916" s="3" t="str">
        <f t="shared" si="14"/>
        <v>80-84</v>
      </c>
      <c r="M916" s="1" t="s">
        <v>28</v>
      </c>
    </row>
    <row r="917" spans="1:13" x14ac:dyDescent="0.35">
      <c r="A917">
        <v>914</v>
      </c>
      <c r="B917" s="1" t="s">
        <v>23</v>
      </c>
      <c r="C917" s="2">
        <v>4</v>
      </c>
      <c r="D917" s="3">
        <v>70</v>
      </c>
      <c r="E917" s="2">
        <v>8.1999999999999993</v>
      </c>
      <c r="F917" s="1" t="s">
        <v>33</v>
      </c>
      <c r="G917" s="1" t="s">
        <v>19</v>
      </c>
      <c r="H917" s="1" t="s">
        <v>19</v>
      </c>
      <c r="I917" s="1" t="s">
        <v>20</v>
      </c>
      <c r="J917" s="2">
        <v>79.5</v>
      </c>
      <c r="K917" s="3">
        <v>80</v>
      </c>
      <c r="L917" s="3" t="str">
        <f t="shared" si="14"/>
        <v>80-84</v>
      </c>
      <c r="M917" s="1" t="s">
        <v>28</v>
      </c>
    </row>
    <row r="918" spans="1:13" x14ac:dyDescent="0.35">
      <c r="A918">
        <v>915</v>
      </c>
      <c r="B918" s="1" t="s">
        <v>23</v>
      </c>
      <c r="C918" s="2">
        <v>2.5</v>
      </c>
      <c r="D918" s="3">
        <v>95.5</v>
      </c>
      <c r="E918" s="2">
        <v>7.2</v>
      </c>
      <c r="F918" s="1" t="s">
        <v>27</v>
      </c>
      <c r="G918" s="1" t="s">
        <v>19</v>
      </c>
      <c r="H918" s="1" t="s">
        <v>20</v>
      </c>
      <c r="I918" s="1" t="s">
        <v>20</v>
      </c>
      <c r="J918" s="2">
        <v>48.6</v>
      </c>
      <c r="K918" s="3">
        <v>77</v>
      </c>
      <c r="L918" s="3" t="str">
        <f t="shared" si="14"/>
        <v>75-79</v>
      </c>
      <c r="M918" s="1" t="s">
        <v>32</v>
      </c>
    </row>
    <row r="919" spans="1:13" x14ac:dyDescent="0.35">
      <c r="A919">
        <v>916</v>
      </c>
      <c r="B919" s="1" t="s">
        <v>23</v>
      </c>
      <c r="C919" s="2">
        <v>5</v>
      </c>
      <c r="D919" s="3">
        <v>75</v>
      </c>
      <c r="E919" s="2">
        <v>5.7</v>
      </c>
      <c r="F919" s="1" t="s">
        <v>18</v>
      </c>
      <c r="G919" s="1" t="s">
        <v>20</v>
      </c>
      <c r="H919" s="1" t="s">
        <v>19</v>
      </c>
      <c r="I919" s="1" t="s">
        <v>19</v>
      </c>
      <c r="J919" s="2">
        <v>88</v>
      </c>
      <c r="K919" s="3">
        <v>82</v>
      </c>
      <c r="L919" s="3" t="str">
        <f t="shared" si="14"/>
        <v>80-84</v>
      </c>
      <c r="M919" s="1" t="s">
        <v>28</v>
      </c>
    </row>
    <row r="920" spans="1:13" x14ac:dyDescent="0.35">
      <c r="A920">
        <v>917</v>
      </c>
      <c r="B920" s="1" t="s">
        <v>23</v>
      </c>
      <c r="C920" s="2">
        <v>3.2</v>
      </c>
      <c r="D920" s="3">
        <v>81.2</v>
      </c>
      <c r="E920" s="2">
        <v>7.1</v>
      </c>
      <c r="F920" s="1" t="s">
        <v>33</v>
      </c>
      <c r="G920" s="1" t="s">
        <v>19</v>
      </c>
      <c r="H920" s="1" t="s">
        <v>19</v>
      </c>
      <c r="I920" s="1" t="s">
        <v>19</v>
      </c>
      <c r="J920" s="2">
        <v>79.3</v>
      </c>
      <c r="K920" s="3">
        <v>88</v>
      </c>
      <c r="L920" s="3" t="str">
        <f t="shared" si="14"/>
        <v>85-89</v>
      </c>
      <c r="M920" s="1" t="s">
        <v>28</v>
      </c>
    </row>
    <row r="921" spans="1:13" x14ac:dyDescent="0.35">
      <c r="A921">
        <v>918</v>
      </c>
      <c r="B921" s="1" t="s">
        <v>23</v>
      </c>
      <c r="C921" s="2">
        <v>2.4</v>
      </c>
      <c r="D921" s="3">
        <v>87.5</v>
      </c>
      <c r="E921" s="2">
        <v>5.6</v>
      </c>
      <c r="F921" s="1" t="s">
        <v>18</v>
      </c>
      <c r="G921" s="1" t="s">
        <v>19</v>
      </c>
      <c r="H921" s="1" t="s">
        <v>19</v>
      </c>
      <c r="I921" s="1" t="s">
        <v>19</v>
      </c>
      <c r="J921" s="2">
        <v>64.2</v>
      </c>
      <c r="K921" s="3">
        <v>88</v>
      </c>
      <c r="L921" s="3" t="str">
        <f t="shared" si="14"/>
        <v>85-89</v>
      </c>
      <c r="M921" s="1" t="s">
        <v>28</v>
      </c>
    </row>
    <row r="922" spans="1:13" x14ac:dyDescent="0.35">
      <c r="A922">
        <v>919</v>
      </c>
      <c r="B922" s="1" t="s">
        <v>23</v>
      </c>
      <c r="C922" s="2">
        <v>4.3</v>
      </c>
      <c r="D922" s="3">
        <v>100</v>
      </c>
      <c r="E922" s="2">
        <v>8.1</v>
      </c>
      <c r="F922" s="1" t="s">
        <v>34</v>
      </c>
      <c r="G922" s="1" t="s">
        <v>19</v>
      </c>
      <c r="H922" s="1" t="s">
        <v>19</v>
      </c>
      <c r="I922" s="1" t="s">
        <v>20</v>
      </c>
      <c r="J922" s="2">
        <v>84.8</v>
      </c>
      <c r="K922" s="3">
        <v>97</v>
      </c>
      <c r="L922" s="3" t="str">
        <f t="shared" si="14"/>
        <v>95-100</v>
      </c>
      <c r="M922" s="1" t="s">
        <v>21</v>
      </c>
    </row>
    <row r="923" spans="1:13" x14ac:dyDescent="0.35">
      <c r="A923">
        <v>920</v>
      </c>
      <c r="B923" s="1" t="s">
        <v>23</v>
      </c>
      <c r="C923" s="2">
        <v>2.2000000000000002</v>
      </c>
      <c r="D923" s="3">
        <v>100</v>
      </c>
      <c r="E923" s="2">
        <v>8.1</v>
      </c>
      <c r="F923" s="1" t="s">
        <v>24</v>
      </c>
      <c r="G923" s="1" t="s">
        <v>19</v>
      </c>
      <c r="H923" s="1" t="s">
        <v>20</v>
      </c>
      <c r="I923" s="1" t="s">
        <v>19</v>
      </c>
      <c r="J923" s="2">
        <v>66.900000000000006</v>
      </c>
      <c r="K923" s="3">
        <v>83</v>
      </c>
      <c r="L923" s="3" t="str">
        <f t="shared" si="14"/>
        <v>80-84</v>
      </c>
      <c r="M923" s="1" t="s">
        <v>28</v>
      </c>
    </row>
    <row r="924" spans="1:13" x14ac:dyDescent="0.35">
      <c r="A924">
        <v>921</v>
      </c>
      <c r="B924" s="1" t="s">
        <v>17</v>
      </c>
      <c r="C924" s="2">
        <v>3.5</v>
      </c>
      <c r="D924" s="3">
        <v>91.1</v>
      </c>
      <c r="E924" s="2">
        <v>7.4</v>
      </c>
      <c r="F924" s="1" t="s">
        <v>27</v>
      </c>
      <c r="G924" s="1" t="s">
        <v>19</v>
      </c>
      <c r="H924" s="1" t="s">
        <v>19</v>
      </c>
      <c r="I924" s="1" t="s">
        <v>19</v>
      </c>
      <c r="J924" s="2">
        <v>64.5</v>
      </c>
      <c r="K924" s="3">
        <v>73</v>
      </c>
      <c r="L924" s="3" t="str">
        <f t="shared" si="14"/>
        <v>70-74</v>
      </c>
      <c r="M924" s="1" t="s">
        <v>32</v>
      </c>
    </row>
    <row r="925" spans="1:13" x14ac:dyDescent="0.35">
      <c r="A925">
        <v>922</v>
      </c>
      <c r="B925" s="1" t="s">
        <v>17</v>
      </c>
      <c r="C925" s="2">
        <v>3.5</v>
      </c>
      <c r="D925" s="3">
        <v>83.2</v>
      </c>
      <c r="E925" s="2">
        <v>7.2</v>
      </c>
      <c r="F925" s="1" t="s">
        <v>24</v>
      </c>
      <c r="G925" s="1" t="s">
        <v>19</v>
      </c>
      <c r="H925" s="1" t="s">
        <v>19</v>
      </c>
      <c r="I925" s="1" t="s">
        <v>20</v>
      </c>
      <c r="J925" s="2">
        <v>75.7</v>
      </c>
      <c r="K925" s="3">
        <v>91</v>
      </c>
      <c r="L925" s="3" t="str">
        <f t="shared" si="14"/>
        <v>90-94</v>
      </c>
      <c r="M925" s="1" t="s">
        <v>21</v>
      </c>
    </row>
    <row r="926" spans="1:13" x14ac:dyDescent="0.35">
      <c r="A926">
        <v>923</v>
      </c>
      <c r="B926" s="1" t="s">
        <v>17</v>
      </c>
      <c r="C926" s="2">
        <v>5.0999999999999996</v>
      </c>
      <c r="D926" s="3">
        <v>90.3</v>
      </c>
      <c r="E926" s="2">
        <v>8.9</v>
      </c>
      <c r="F926" s="1" t="s">
        <v>24</v>
      </c>
      <c r="G926" s="1" t="s">
        <v>19</v>
      </c>
      <c r="H926" s="1" t="s">
        <v>19</v>
      </c>
      <c r="I926" s="1" t="s">
        <v>19</v>
      </c>
      <c r="J926" s="2">
        <v>57.2</v>
      </c>
      <c r="K926" s="3">
        <v>84</v>
      </c>
      <c r="L926" s="3" t="str">
        <f t="shared" si="14"/>
        <v>80-84</v>
      </c>
      <c r="M926" s="1" t="s">
        <v>28</v>
      </c>
    </row>
    <row r="927" spans="1:13" x14ac:dyDescent="0.35">
      <c r="A927">
        <v>924</v>
      </c>
      <c r="B927" s="1" t="s">
        <v>17</v>
      </c>
      <c r="C927" s="2">
        <v>4.2</v>
      </c>
      <c r="D927" s="3">
        <v>93.9</v>
      </c>
      <c r="E927" s="2">
        <v>6.8</v>
      </c>
      <c r="F927" s="1" t="s">
        <v>33</v>
      </c>
      <c r="G927" s="1" t="s">
        <v>19</v>
      </c>
      <c r="H927" s="1" t="s">
        <v>19</v>
      </c>
      <c r="I927" s="1" t="s">
        <v>20</v>
      </c>
      <c r="J927" s="2">
        <v>82.3</v>
      </c>
      <c r="K927" s="3">
        <v>93</v>
      </c>
      <c r="L927" s="3" t="str">
        <f t="shared" si="14"/>
        <v>90-94</v>
      </c>
      <c r="M927" s="1" t="s">
        <v>21</v>
      </c>
    </row>
    <row r="928" spans="1:13" x14ac:dyDescent="0.35">
      <c r="A928">
        <v>925</v>
      </c>
      <c r="B928" s="1" t="s">
        <v>17</v>
      </c>
      <c r="C928" s="2">
        <v>3.5</v>
      </c>
      <c r="D928" s="3">
        <v>81.8</v>
      </c>
      <c r="E928" s="2">
        <v>5.4</v>
      </c>
      <c r="F928" s="1" t="s">
        <v>18</v>
      </c>
      <c r="G928" s="1" t="s">
        <v>19</v>
      </c>
      <c r="H928" s="1" t="s">
        <v>19</v>
      </c>
      <c r="I928" s="1" t="s">
        <v>20</v>
      </c>
      <c r="J928" s="2">
        <v>57.3</v>
      </c>
      <c r="K928" s="3">
        <v>71</v>
      </c>
      <c r="L928" s="3" t="str">
        <f t="shared" si="14"/>
        <v>70-74</v>
      </c>
      <c r="M928" s="1" t="s">
        <v>32</v>
      </c>
    </row>
    <row r="929" spans="1:13" x14ac:dyDescent="0.35">
      <c r="A929">
        <v>926</v>
      </c>
      <c r="B929" s="1" t="s">
        <v>17</v>
      </c>
      <c r="C929" s="2">
        <v>4.7</v>
      </c>
      <c r="D929" s="3">
        <v>100</v>
      </c>
      <c r="E929" s="2">
        <v>7.3</v>
      </c>
      <c r="F929" s="1" t="s">
        <v>18</v>
      </c>
      <c r="G929" s="1" t="s">
        <v>19</v>
      </c>
      <c r="H929" s="1" t="s">
        <v>20</v>
      </c>
      <c r="I929" s="1" t="s">
        <v>20</v>
      </c>
      <c r="J929" s="2">
        <v>57.4</v>
      </c>
      <c r="K929" s="3">
        <v>95</v>
      </c>
      <c r="L929" s="3" t="str">
        <f t="shared" si="14"/>
        <v>95-100</v>
      </c>
      <c r="M929" s="1" t="s">
        <v>21</v>
      </c>
    </row>
    <row r="930" spans="1:13" x14ac:dyDescent="0.35">
      <c r="A930">
        <v>927</v>
      </c>
      <c r="B930" s="1" t="s">
        <v>17</v>
      </c>
      <c r="C930" s="2">
        <v>5.6</v>
      </c>
      <c r="D930" s="3">
        <v>87.3</v>
      </c>
      <c r="E930" s="2">
        <v>9.3000000000000007</v>
      </c>
      <c r="F930" s="1" t="s">
        <v>18</v>
      </c>
      <c r="G930" s="1" t="s">
        <v>19</v>
      </c>
      <c r="H930" s="1" t="s">
        <v>20</v>
      </c>
      <c r="I930" s="1" t="s">
        <v>20</v>
      </c>
      <c r="J930" s="2">
        <v>59.1</v>
      </c>
      <c r="K930" s="3">
        <v>100</v>
      </c>
      <c r="L930" s="3" t="str">
        <f t="shared" si="14"/>
        <v>95-100</v>
      </c>
      <c r="M930" s="1" t="s">
        <v>21</v>
      </c>
    </row>
    <row r="931" spans="1:13" x14ac:dyDescent="0.35">
      <c r="A931">
        <v>928</v>
      </c>
      <c r="B931" s="1" t="s">
        <v>23</v>
      </c>
      <c r="C931" s="2">
        <v>4.3</v>
      </c>
      <c r="D931" s="3">
        <v>90</v>
      </c>
      <c r="E931" s="2">
        <v>5.6</v>
      </c>
      <c r="F931" s="1" t="s">
        <v>33</v>
      </c>
      <c r="G931" s="1" t="s">
        <v>19</v>
      </c>
      <c r="H931" s="1" t="s">
        <v>20</v>
      </c>
      <c r="I931" s="1" t="s">
        <v>20</v>
      </c>
      <c r="J931" s="2">
        <v>79.099999999999994</v>
      </c>
      <c r="K931" s="3">
        <v>92</v>
      </c>
      <c r="L931" s="3" t="str">
        <f t="shared" si="14"/>
        <v>90-94</v>
      </c>
      <c r="M931" s="1" t="s">
        <v>21</v>
      </c>
    </row>
    <row r="932" spans="1:13" x14ac:dyDescent="0.35">
      <c r="A932">
        <v>929</v>
      </c>
      <c r="B932" s="1" t="s">
        <v>23</v>
      </c>
      <c r="C932" s="2">
        <v>3.5</v>
      </c>
      <c r="D932" s="3">
        <v>91.7</v>
      </c>
      <c r="E932" s="2">
        <v>6.4</v>
      </c>
      <c r="F932" s="1" t="s">
        <v>24</v>
      </c>
      <c r="G932" s="1" t="s">
        <v>19</v>
      </c>
      <c r="H932" s="1" t="s">
        <v>20</v>
      </c>
      <c r="I932" s="1" t="s">
        <v>19</v>
      </c>
      <c r="J932" s="2">
        <v>62.6</v>
      </c>
      <c r="K932" s="3">
        <v>75</v>
      </c>
      <c r="L932" s="3" t="str">
        <f t="shared" si="14"/>
        <v>75-79</v>
      </c>
      <c r="M932" s="1" t="s">
        <v>32</v>
      </c>
    </row>
    <row r="933" spans="1:13" x14ac:dyDescent="0.35">
      <c r="A933">
        <v>930</v>
      </c>
      <c r="B933" s="1" t="s">
        <v>17</v>
      </c>
      <c r="C933" s="2">
        <v>1.5</v>
      </c>
      <c r="D933" s="3">
        <v>89.2</v>
      </c>
      <c r="E933" s="2">
        <v>7.3</v>
      </c>
      <c r="F933" s="1" t="s">
        <v>24</v>
      </c>
      <c r="G933" s="1" t="s">
        <v>19</v>
      </c>
      <c r="H933" s="1" t="s">
        <v>20</v>
      </c>
      <c r="I933" s="1" t="s">
        <v>20</v>
      </c>
      <c r="J933" s="2">
        <v>53.8</v>
      </c>
      <c r="K933" s="3">
        <v>81</v>
      </c>
      <c r="L933" s="3" t="str">
        <f t="shared" si="14"/>
        <v>80-84</v>
      </c>
      <c r="M933" s="1" t="s">
        <v>28</v>
      </c>
    </row>
    <row r="934" spans="1:13" x14ac:dyDescent="0.35">
      <c r="A934">
        <v>931</v>
      </c>
      <c r="B934" s="1" t="s">
        <v>17</v>
      </c>
      <c r="C934" s="2">
        <v>1.9</v>
      </c>
      <c r="D934" s="3">
        <v>93.4</v>
      </c>
      <c r="E934" s="2">
        <v>6.7</v>
      </c>
      <c r="F934" s="1" t="s">
        <v>24</v>
      </c>
      <c r="G934" s="1" t="s">
        <v>19</v>
      </c>
      <c r="H934" s="1" t="s">
        <v>20</v>
      </c>
      <c r="I934" s="1" t="s">
        <v>20</v>
      </c>
      <c r="J934" s="2">
        <v>62.7</v>
      </c>
      <c r="K934" s="3">
        <v>73</v>
      </c>
      <c r="L934" s="3" t="str">
        <f t="shared" si="14"/>
        <v>70-74</v>
      </c>
      <c r="M934" s="1" t="s">
        <v>32</v>
      </c>
    </row>
    <row r="935" spans="1:13" x14ac:dyDescent="0.35">
      <c r="A935">
        <v>932</v>
      </c>
      <c r="B935" s="1" t="s">
        <v>23</v>
      </c>
      <c r="C935" s="2">
        <v>3</v>
      </c>
      <c r="D935" s="3">
        <v>78.8</v>
      </c>
      <c r="E935" s="2">
        <v>5.6</v>
      </c>
      <c r="F935" s="1" t="s">
        <v>18</v>
      </c>
      <c r="G935" s="1" t="s">
        <v>19</v>
      </c>
      <c r="H935" s="1" t="s">
        <v>19</v>
      </c>
      <c r="I935" s="1" t="s">
        <v>19</v>
      </c>
      <c r="J935" s="2">
        <v>69.599999999999994</v>
      </c>
      <c r="K935" s="3">
        <v>64</v>
      </c>
      <c r="L935" s="3" t="str">
        <f t="shared" si="14"/>
        <v>60-64</v>
      </c>
      <c r="M935" s="1" t="s">
        <v>30</v>
      </c>
    </row>
    <row r="936" spans="1:13" x14ac:dyDescent="0.35">
      <c r="A936">
        <v>933</v>
      </c>
      <c r="B936" s="1" t="s">
        <v>17</v>
      </c>
      <c r="C936" s="2">
        <v>2.6</v>
      </c>
      <c r="D936" s="3">
        <v>79.400000000000006</v>
      </c>
      <c r="E936" s="2">
        <v>8.1</v>
      </c>
      <c r="F936" s="1" t="s">
        <v>24</v>
      </c>
      <c r="G936" s="1" t="s">
        <v>19</v>
      </c>
      <c r="H936" s="1" t="s">
        <v>19</v>
      </c>
      <c r="I936" s="1" t="s">
        <v>19</v>
      </c>
      <c r="J936" s="2">
        <v>55.8</v>
      </c>
      <c r="K936" s="3">
        <v>75</v>
      </c>
      <c r="L936" s="3" t="str">
        <f t="shared" si="14"/>
        <v>75-79</v>
      </c>
      <c r="M936" s="1" t="s">
        <v>32</v>
      </c>
    </row>
    <row r="937" spans="1:13" x14ac:dyDescent="0.35">
      <c r="A937">
        <v>934</v>
      </c>
      <c r="B937" s="1" t="s">
        <v>17</v>
      </c>
      <c r="C937" s="2">
        <v>3.2</v>
      </c>
      <c r="D937" s="3">
        <v>74</v>
      </c>
      <c r="E937" s="2">
        <v>9.6</v>
      </c>
      <c r="F937" s="1" t="s">
        <v>18</v>
      </c>
      <c r="G937" s="1" t="s">
        <v>19</v>
      </c>
      <c r="H937" s="1" t="s">
        <v>19</v>
      </c>
      <c r="I937" s="1" t="s">
        <v>20</v>
      </c>
      <c r="J937" s="2">
        <v>56.2</v>
      </c>
      <c r="K937" s="3">
        <v>72</v>
      </c>
      <c r="L937" s="3" t="str">
        <f t="shared" si="14"/>
        <v>70-74</v>
      </c>
      <c r="M937" s="1" t="s">
        <v>32</v>
      </c>
    </row>
    <row r="938" spans="1:13" x14ac:dyDescent="0.35">
      <c r="A938">
        <v>935</v>
      </c>
      <c r="B938" s="1" t="s">
        <v>23</v>
      </c>
      <c r="C938" s="2">
        <v>3.6</v>
      </c>
      <c r="D938" s="3">
        <v>89.4</v>
      </c>
      <c r="E938" s="2">
        <v>7</v>
      </c>
      <c r="F938" s="1" t="s">
        <v>18</v>
      </c>
      <c r="G938" s="1" t="s">
        <v>19</v>
      </c>
      <c r="H938" s="1" t="s">
        <v>20</v>
      </c>
      <c r="I938" s="1" t="s">
        <v>20</v>
      </c>
      <c r="J938" s="2">
        <v>95.3</v>
      </c>
      <c r="K938" s="3">
        <v>100</v>
      </c>
      <c r="L938" s="3" t="str">
        <f t="shared" si="14"/>
        <v>95-100</v>
      </c>
      <c r="M938" s="1" t="s">
        <v>21</v>
      </c>
    </row>
    <row r="939" spans="1:13" x14ac:dyDescent="0.35">
      <c r="A939">
        <v>936</v>
      </c>
      <c r="B939" s="1" t="s">
        <v>17</v>
      </c>
      <c r="C939" s="2">
        <v>4.3</v>
      </c>
      <c r="D939" s="3">
        <v>92.8</v>
      </c>
      <c r="E939" s="2">
        <v>5.7</v>
      </c>
      <c r="F939" s="1" t="s">
        <v>24</v>
      </c>
      <c r="G939" s="1" t="s">
        <v>19</v>
      </c>
      <c r="H939" s="1" t="s">
        <v>20</v>
      </c>
      <c r="I939" s="1" t="s">
        <v>20</v>
      </c>
      <c r="J939" s="2">
        <v>59.7</v>
      </c>
      <c r="K939" s="3">
        <v>83</v>
      </c>
      <c r="L939" s="3" t="str">
        <f t="shared" si="14"/>
        <v>80-84</v>
      </c>
      <c r="M939" s="1" t="s">
        <v>28</v>
      </c>
    </row>
    <row r="940" spans="1:13" x14ac:dyDescent="0.35">
      <c r="A940">
        <v>937</v>
      </c>
      <c r="B940" s="1" t="s">
        <v>23</v>
      </c>
      <c r="C940" s="2">
        <v>3.4</v>
      </c>
      <c r="D940" s="3">
        <v>89.6</v>
      </c>
      <c r="E940" s="2">
        <v>4.9000000000000004</v>
      </c>
      <c r="F940" s="1" t="s">
        <v>18</v>
      </c>
      <c r="G940" s="1" t="s">
        <v>19</v>
      </c>
      <c r="H940" s="1" t="s">
        <v>20</v>
      </c>
      <c r="I940" s="1" t="s">
        <v>20</v>
      </c>
      <c r="J940" s="2">
        <v>66.099999999999994</v>
      </c>
      <c r="K940" s="3">
        <v>86</v>
      </c>
      <c r="L940" s="3" t="str">
        <f t="shared" si="14"/>
        <v>85-89</v>
      </c>
      <c r="M940" s="1" t="s">
        <v>28</v>
      </c>
    </row>
    <row r="941" spans="1:13" x14ac:dyDescent="0.35">
      <c r="A941">
        <v>938</v>
      </c>
      <c r="B941" s="1" t="s">
        <v>17</v>
      </c>
      <c r="C941" s="2">
        <v>4.2</v>
      </c>
      <c r="D941" s="3">
        <v>100</v>
      </c>
      <c r="E941" s="2">
        <v>7.1</v>
      </c>
      <c r="F941" s="1" t="s">
        <v>34</v>
      </c>
      <c r="G941" s="1" t="s">
        <v>20</v>
      </c>
      <c r="H941" s="1" t="s">
        <v>19</v>
      </c>
      <c r="I941" s="1" t="s">
        <v>19</v>
      </c>
      <c r="J941" s="2">
        <v>65.599999999999994</v>
      </c>
      <c r="K941" s="3">
        <v>93</v>
      </c>
      <c r="L941" s="3" t="str">
        <f t="shared" si="14"/>
        <v>90-94</v>
      </c>
      <c r="M941" s="1" t="s">
        <v>21</v>
      </c>
    </row>
    <row r="942" spans="1:13" x14ac:dyDescent="0.35">
      <c r="A942">
        <v>939</v>
      </c>
      <c r="B942" s="1" t="s">
        <v>23</v>
      </c>
      <c r="C942" s="2">
        <v>3.6</v>
      </c>
      <c r="D942" s="3">
        <v>84.9</v>
      </c>
      <c r="E942" s="2">
        <v>8.1</v>
      </c>
      <c r="F942" s="1" t="s">
        <v>24</v>
      </c>
      <c r="G942" s="1" t="s">
        <v>19</v>
      </c>
      <c r="H942" s="1" t="s">
        <v>20</v>
      </c>
      <c r="I942" s="1" t="s">
        <v>20</v>
      </c>
      <c r="J942" s="2">
        <v>64.900000000000006</v>
      </c>
      <c r="K942" s="3">
        <v>77</v>
      </c>
      <c r="L942" s="3" t="str">
        <f t="shared" si="14"/>
        <v>75-79</v>
      </c>
      <c r="M942" s="1" t="s">
        <v>32</v>
      </c>
    </row>
    <row r="943" spans="1:13" x14ac:dyDescent="0.35">
      <c r="A943">
        <v>940</v>
      </c>
      <c r="B943" s="1" t="s">
        <v>23</v>
      </c>
      <c r="C943" s="2">
        <v>0.5</v>
      </c>
      <c r="D943" s="3">
        <v>91.7</v>
      </c>
      <c r="E943" s="2">
        <v>7.4</v>
      </c>
      <c r="F943" s="1" t="s">
        <v>18</v>
      </c>
      <c r="G943" s="1" t="s">
        <v>19</v>
      </c>
      <c r="H943" s="1" t="s">
        <v>19</v>
      </c>
      <c r="I943" s="1" t="s">
        <v>20</v>
      </c>
      <c r="J943" s="2">
        <v>77.5</v>
      </c>
      <c r="K943" s="3">
        <v>75</v>
      </c>
      <c r="L943" s="3" t="str">
        <f t="shared" si="14"/>
        <v>75-79</v>
      </c>
      <c r="M943" s="1" t="s">
        <v>32</v>
      </c>
    </row>
    <row r="944" spans="1:13" x14ac:dyDescent="0.35">
      <c r="A944">
        <v>941</v>
      </c>
      <c r="B944" s="1" t="s">
        <v>23</v>
      </c>
      <c r="C944" s="2">
        <v>2.1</v>
      </c>
      <c r="D944" s="3">
        <v>74.099999999999994</v>
      </c>
      <c r="E944" s="2">
        <v>6.8</v>
      </c>
      <c r="F944" s="1" t="s">
        <v>33</v>
      </c>
      <c r="G944" s="1" t="s">
        <v>19</v>
      </c>
      <c r="H944" s="1" t="s">
        <v>19</v>
      </c>
      <c r="I944" s="1" t="s">
        <v>19</v>
      </c>
      <c r="J944" s="2">
        <v>81.400000000000006</v>
      </c>
      <c r="K944" s="3">
        <v>77</v>
      </c>
      <c r="L944" s="3" t="str">
        <f t="shared" si="14"/>
        <v>75-79</v>
      </c>
      <c r="M944" s="1" t="s">
        <v>32</v>
      </c>
    </row>
    <row r="945" spans="1:13" x14ac:dyDescent="0.35">
      <c r="A945">
        <v>942</v>
      </c>
      <c r="B945" s="1" t="s">
        <v>17</v>
      </c>
      <c r="C945" s="2">
        <v>3.3</v>
      </c>
      <c r="D945" s="3">
        <v>81.099999999999994</v>
      </c>
      <c r="E945" s="2">
        <v>6.1</v>
      </c>
      <c r="F945" s="1" t="s">
        <v>18</v>
      </c>
      <c r="G945" s="1" t="s">
        <v>20</v>
      </c>
      <c r="H945" s="1" t="s">
        <v>19</v>
      </c>
      <c r="I945" s="1" t="s">
        <v>20</v>
      </c>
      <c r="J945" s="2">
        <v>66.3</v>
      </c>
      <c r="K945" s="3">
        <v>85</v>
      </c>
      <c r="L945" s="3" t="str">
        <f t="shared" si="14"/>
        <v>85-89</v>
      </c>
      <c r="M945" s="1" t="s">
        <v>28</v>
      </c>
    </row>
    <row r="946" spans="1:13" x14ac:dyDescent="0.35">
      <c r="A946">
        <v>943</v>
      </c>
      <c r="B946" s="1" t="s">
        <v>23</v>
      </c>
      <c r="C946" s="2">
        <v>1.7</v>
      </c>
      <c r="D946" s="3">
        <v>92</v>
      </c>
      <c r="E946" s="2">
        <v>5.5</v>
      </c>
      <c r="F946" s="1" t="s">
        <v>33</v>
      </c>
      <c r="G946" s="1" t="s">
        <v>19</v>
      </c>
      <c r="H946" s="1" t="s">
        <v>19</v>
      </c>
      <c r="I946" s="1" t="s">
        <v>20</v>
      </c>
      <c r="J946" s="2">
        <v>55.2</v>
      </c>
      <c r="K946" s="3">
        <v>69</v>
      </c>
      <c r="L946" s="3" t="str">
        <f t="shared" si="14"/>
        <v>65-69</v>
      </c>
      <c r="M946" s="1" t="s">
        <v>30</v>
      </c>
    </row>
    <row r="947" spans="1:13" x14ac:dyDescent="0.35">
      <c r="A947">
        <v>944</v>
      </c>
      <c r="B947" s="1" t="s">
        <v>17</v>
      </c>
      <c r="C947" s="2">
        <v>4.4000000000000004</v>
      </c>
      <c r="D947" s="3">
        <v>93.5</v>
      </c>
      <c r="E947" s="2">
        <v>7.8</v>
      </c>
      <c r="F947" s="1" t="s">
        <v>18</v>
      </c>
      <c r="G947" s="1" t="s">
        <v>19</v>
      </c>
      <c r="H947" s="1" t="s">
        <v>19</v>
      </c>
      <c r="I947" s="1" t="s">
        <v>20</v>
      </c>
      <c r="J947" s="2">
        <v>85.3</v>
      </c>
      <c r="K947" s="3">
        <v>96</v>
      </c>
      <c r="L947" s="3" t="str">
        <f t="shared" si="14"/>
        <v>95-100</v>
      </c>
      <c r="M947" s="1" t="s">
        <v>21</v>
      </c>
    </row>
    <row r="948" spans="1:13" x14ac:dyDescent="0.35">
      <c r="A948">
        <v>945</v>
      </c>
      <c r="B948" s="1" t="s">
        <v>17</v>
      </c>
      <c r="C948" s="2">
        <v>5.8</v>
      </c>
      <c r="D948" s="3">
        <v>82.1</v>
      </c>
      <c r="E948" s="2">
        <v>7.9</v>
      </c>
      <c r="F948" s="1" t="s">
        <v>18</v>
      </c>
      <c r="G948" s="1" t="s">
        <v>19</v>
      </c>
      <c r="H948" s="1" t="s">
        <v>19</v>
      </c>
      <c r="I948" s="1" t="s">
        <v>19</v>
      </c>
      <c r="J948" s="2">
        <v>68.900000000000006</v>
      </c>
      <c r="K948" s="3">
        <v>96</v>
      </c>
      <c r="L948" s="3" t="str">
        <f t="shared" si="14"/>
        <v>95-100</v>
      </c>
      <c r="M948" s="1" t="s">
        <v>21</v>
      </c>
    </row>
    <row r="949" spans="1:13" x14ac:dyDescent="0.35">
      <c r="A949">
        <v>946</v>
      </c>
      <c r="B949" s="1" t="s">
        <v>17</v>
      </c>
      <c r="C949" s="2">
        <v>5.3</v>
      </c>
      <c r="D949" s="3">
        <v>84.3</v>
      </c>
      <c r="E949" s="2">
        <v>4.9000000000000004</v>
      </c>
      <c r="F949" s="1" t="s">
        <v>24</v>
      </c>
      <c r="G949" s="1" t="s">
        <v>19</v>
      </c>
      <c r="H949" s="1" t="s">
        <v>19</v>
      </c>
      <c r="I949" s="1" t="s">
        <v>20</v>
      </c>
      <c r="J949" s="2">
        <v>90.8</v>
      </c>
      <c r="K949" s="3">
        <v>96</v>
      </c>
      <c r="L949" s="3" t="str">
        <f t="shared" si="14"/>
        <v>95-100</v>
      </c>
      <c r="M949" s="1" t="s">
        <v>21</v>
      </c>
    </row>
    <row r="950" spans="1:13" x14ac:dyDescent="0.35">
      <c r="A950">
        <v>947</v>
      </c>
      <c r="B950" s="1" t="s">
        <v>17</v>
      </c>
      <c r="C950" s="2">
        <v>3.2</v>
      </c>
      <c r="D950" s="3">
        <v>69.8</v>
      </c>
      <c r="E950" s="2">
        <v>8.6999999999999993</v>
      </c>
      <c r="F950" s="1" t="s">
        <v>33</v>
      </c>
      <c r="G950" s="1" t="s">
        <v>19</v>
      </c>
      <c r="H950" s="1" t="s">
        <v>20</v>
      </c>
      <c r="I950" s="1" t="s">
        <v>20</v>
      </c>
      <c r="J950" s="2">
        <v>43.1</v>
      </c>
      <c r="K950" s="3">
        <v>70</v>
      </c>
      <c r="L950" s="3" t="str">
        <f t="shared" si="14"/>
        <v>70-74</v>
      </c>
      <c r="M950" s="1" t="s">
        <v>32</v>
      </c>
    </row>
    <row r="951" spans="1:13" x14ac:dyDescent="0.35">
      <c r="A951">
        <v>948</v>
      </c>
      <c r="B951" s="1" t="s">
        <v>23</v>
      </c>
      <c r="C951" s="2">
        <v>5.7</v>
      </c>
      <c r="D951" s="3">
        <v>81.400000000000006</v>
      </c>
      <c r="E951" s="2">
        <v>7.5</v>
      </c>
      <c r="F951" s="1" t="s">
        <v>33</v>
      </c>
      <c r="G951" s="1" t="s">
        <v>19</v>
      </c>
      <c r="H951" s="1" t="s">
        <v>20</v>
      </c>
      <c r="I951" s="1" t="s">
        <v>20</v>
      </c>
      <c r="J951" s="2">
        <v>72.3</v>
      </c>
      <c r="K951" s="3">
        <v>86</v>
      </c>
      <c r="L951" s="3" t="str">
        <f t="shared" si="14"/>
        <v>85-89</v>
      </c>
      <c r="M951" s="1" t="s">
        <v>28</v>
      </c>
    </row>
    <row r="952" spans="1:13" x14ac:dyDescent="0.35">
      <c r="A952">
        <v>949</v>
      </c>
      <c r="B952" s="1" t="s">
        <v>23</v>
      </c>
      <c r="C952" s="2">
        <v>3.7</v>
      </c>
      <c r="D952" s="3">
        <v>93.9</v>
      </c>
      <c r="E952" s="2">
        <v>8.5</v>
      </c>
      <c r="F952" s="1" t="s">
        <v>24</v>
      </c>
      <c r="G952" s="1" t="s">
        <v>20</v>
      </c>
      <c r="H952" s="1" t="s">
        <v>20</v>
      </c>
      <c r="I952" s="1" t="s">
        <v>20</v>
      </c>
      <c r="J952" s="2">
        <v>93</v>
      </c>
      <c r="K952" s="3">
        <v>100</v>
      </c>
      <c r="L952" s="3" t="str">
        <f t="shared" si="14"/>
        <v>95-100</v>
      </c>
      <c r="M952" s="1" t="s">
        <v>21</v>
      </c>
    </row>
    <row r="953" spans="1:13" x14ac:dyDescent="0.35">
      <c r="A953">
        <v>950</v>
      </c>
      <c r="B953" s="1" t="s">
        <v>17</v>
      </c>
      <c r="C953" s="2">
        <v>3</v>
      </c>
      <c r="D953" s="3">
        <v>90.8</v>
      </c>
      <c r="E953" s="2">
        <v>5.2</v>
      </c>
      <c r="F953" s="1" t="s">
        <v>18</v>
      </c>
      <c r="G953" s="1" t="s">
        <v>20</v>
      </c>
      <c r="H953" s="1" t="s">
        <v>19</v>
      </c>
      <c r="I953" s="1" t="s">
        <v>19</v>
      </c>
      <c r="J953" s="2">
        <v>65.8</v>
      </c>
      <c r="K953" s="3">
        <v>66</v>
      </c>
      <c r="L953" s="3" t="str">
        <f t="shared" si="14"/>
        <v>65-69</v>
      </c>
      <c r="M953" s="1" t="s">
        <v>30</v>
      </c>
    </row>
    <row r="954" spans="1:13" x14ac:dyDescent="0.35">
      <c r="A954">
        <v>951</v>
      </c>
      <c r="B954" s="1" t="s">
        <v>17</v>
      </c>
      <c r="C954" s="2">
        <v>2.6</v>
      </c>
      <c r="D954" s="3">
        <v>90</v>
      </c>
      <c r="E954" s="2">
        <v>5.2</v>
      </c>
      <c r="F954" s="1" t="s">
        <v>27</v>
      </c>
      <c r="G954" s="1" t="s">
        <v>20</v>
      </c>
      <c r="H954" s="1" t="s">
        <v>20</v>
      </c>
      <c r="I954" s="1" t="s">
        <v>20</v>
      </c>
      <c r="J954" s="2">
        <v>67.3</v>
      </c>
      <c r="K954" s="3">
        <v>72</v>
      </c>
      <c r="L954" s="3" t="str">
        <f t="shared" si="14"/>
        <v>70-74</v>
      </c>
      <c r="M954" s="1" t="s">
        <v>32</v>
      </c>
    </row>
    <row r="955" spans="1:13" x14ac:dyDescent="0.35">
      <c r="A955">
        <v>952</v>
      </c>
      <c r="B955" s="1" t="s">
        <v>23</v>
      </c>
      <c r="C955" s="2">
        <v>3</v>
      </c>
      <c r="D955" s="3">
        <v>85.5</v>
      </c>
      <c r="E955" s="2">
        <v>6.6</v>
      </c>
      <c r="F955" s="1" t="s">
        <v>18</v>
      </c>
      <c r="G955" s="1" t="s">
        <v>19</v>
      </c>
      <c r="H955" s="1" t="s">
        <v>20</v>
      </c>
      <c r="I955" s="1" t="s">
        <v>20</v>
      </c>
      <c r="J955" s="2">
        <v>73.5</v>
      </c>
      <c r="K955" s="3">
        <v>84</v>
      </c>
      <c r="L955" s="3" t="str">
        <f t="shared" si="14"/>
        <v>80-84</v>
      </c>
      <c r="M955" s="1" t="s">
        <v>28</v>
      </c>
    </row>
    <row r="956" spans="1:13" x14ac:dyDescent="0.35">
      <c r="A956">
        <v>953</v>
      </c>
      <c r="B956" s="1" t="s">
        <v>17</v>
      </c>
      <c r="C956" s="2">
        <v>2.9</v>
      </c>
      <c r="D956" s="3">
        <v>85.1</v>
      </c>
      <c r="E956" s="2">
        <v>7.4</v>
      </c>
      <c r="F956" s="1" t="s">
        <v>18</v>
      </c>
      <c r="G956" s="1" t="s">
        <v>19</v>
      </c>
      <c r="H956" s="1" t="s">
        <v>19</v>
      </c>
      <c r="I956" s="1" t="s">
        <v>19</v>
      </c>
      <c r="J956" s="2">
        <v>63.3</v>
      </c>
      <c r="K956" s="3">
        <v>90</v>
      </c>
      <c r="L956" s="3" t="str">
        <f t="shared" si="14"/>
        <v>90-94</v>
      </c>
      <c r="M956" s="1" t="s">
        <v>28</v>
      </c>
    </row>
    <row r="957" spans="1:13" x14ac:dyDescent="0.35">
      <c r="A957">
        <v>954</v>
      </c>
      <c r="B957" s="1" t="s">
        <v>23</v>
      </c>
      <c r="C957" s="2">
        <v>3.8</v>
      </c>
      <c r="D957" s="3">
        <v>78.400000000000006</v>
      </c>
      <c r="E957" s="2">
        <v>9</v>
      </c>
      <c r="F957" s="1" t="s">
        <v>27</v>
      </c>
      <c r="G957" s="1" t="s">
        <v>19</v>
      </c>
      <c r="H957" s="1" t="s">
        <v>19</v>
      </c>
      <c r="I957" s="1" t="s">
        <v>20</v>
      </c>
      <c r="J957" s="2">
        <v>66.3</v>
      </c>
      <c r="K957" s="3">
        <v>78</v>
      </c>
      <c r="L957" s="3" t="str">
        <f t="shared" si="14"/>
        <v>75-79</v>
      </c>
      <c r="M957" s="1" t="s">
        <v>32</v>
      </c>
    </row>
    <row r="958" spans="1:13" x14ac:dyDescent="0.35">
      <c r="A958">
        <v>955</v>
      </c>
      <c r="B958" s="1" t="s">
        <v>17</v>
      </c>
      <c r="C958" s="2">
        <v>3.7</v>
      </c>
      <c r="D958" s="3">
        <v>92</v>
      </c>
      <c r="E958" s="2">
        <v>7.6</v>
      </c>
      <c r="F958" s="1" t="s">
        <v>33</v>
      </c>
      <c r="G958" s="1" t="s">
        <v>19</v>
      </c>
      <c r="H958" s="1" t="s">
        <v>19</v>
      </c>
      <c r="I958" s="1" t="s">
        <v>20</v>
      </c>
      <c r="J958" s="2">
        <v>65.900000000000006</v>
      </c>
      <c r="K958" s="3">
        <v>100</v>
      </c>
      <c r="L958" s="3" t="str">
        <f t="shared" si="14"/>
        <v>95-100</v>
      </c>
      <c r="M958" s="1" t="s">
        <v>21</v>
      </c>
    </row>
    <row r="959" spans="1:13" x14ac:dyDescent="0.35">
      <c r="A959">
        <v>956</v>
      </c>
      <c r="B959" s="1" t="s">
        <v>17</v>
      </c>
      <c r="C959" s="2">
        <v>3.5</v>
      </c>
      <c r="D959" s="3">
        <v>89.2</v>
      </c>
      <c r="E959" s="2">
        <v>6.5</v>
      </c>
      <c r="F959" s="1" t="s">
        <v>18</v>
      </c>
      <c r="G959" s="1" t="s">
        <v>19</v>
      </c>
      <c r="H959" s="1" t="s">
        <v>19</v>
      </c>
      <c r="I959" s="1" t="s">
        <v>20</v>
      </c>
      <c r="J959" s="2">
        <v>62.5</v>
      </c>
      <c r="K959" s="3">
        <v>88</v>
      </c>
      <c r="L959" s="3" t="str">
        <f t="shared" si="14"/>
        <v>85-89</v>
      </c>
      <c r="M959" s="1" t="s">
        <v>28</v>
      </c>
    </row>
    <row r="960" spans="1:13" x14ac:dyDescent="0.35">
      <c r="A960">
        <v>957</v>
      </c>
      <c r="B960" s="1" t="s">
        <v>23</v>
      </c>
      <c r="C960" s="2">
        <v>4.2</v>
      </c>
      <c r="D960" s="3">
        <v>89.9</v>
      </c>
      <c r="E960" s="2">
        <v>5.6</v>
      </c>
      <c r="F960" s="1" t="s">
        <v>33</v>
      </c>
      <c r="G960" s="1" t="s">
        <v>19</v>
      </c>
      <c r="H960" s="1" t="s">
        <v>20</v>
      </c>
      <c r="I960" s="1" t="s">
        <v>19</v>
      </c>
      <c r="J960" s="2">
        <v>84.7</v>
      </c>
      <c r="K960" s="3">
        <v>94</v>
      </c>
      <c r="L960" s="3" t="str">
        <f t="shared" si="14"/>
        <v>90-94</v>
      </c>
      <c r="M960" s="1" t="s">
        <v>21</v>
      </c>
    </row>
    <row r="961" spans="1:13" x14ac:dyDescent="0.35">
      <c r="A961">
        <v>958</v>
      </c>
      <c r="B961" s="1" t="s">
        <v>17</v>
      </c>
      <c r="C961" s="2">
        <v>5.3</v>
      </c>
      <c r="D961" s="3">
        <v>79.7</v>
      </c>
      <c r="E961" s="2">
        <v>8.3000000000000007</v>
      </c>
      <c r="F961" s="1" t="s">
        <v>34</v>
      </c>
      <c r="G961" s="1" t="s">
        <v>19</v>
      </c>
      <c r="H961" s="1" t="s">
        <v>20</v>
      </c>
      <c r="I961" s="1" t="s">
        <v>20</v>
      </c>
      <c r="J961" s="2">
        <v>75.5</v>
      </c>
      <c r="K961" s="3">
        <v>89</v>
      </c>
      <c r="L961" s="3" t="str">
        <f t="shared" si="14"/>
        <v>85-89</v>
      </c>
      <c r="M961" s="1" t="s">
        <v>28</v>
      </c>
    </row>
    <row r="962" spans="1:13" x14ac:dyDescent="0.35">
      <c r="A962">
        <v>959</v>
      </c>
      <c r="B962" s="1" t="s">
        <v>23</v>
      </c>
      <c r="C962" s="2">
        <v>4.9000000000000004</v>
      </c>
      <c r="D962" s="3">
        <v>63.5</v>
      </c>
      <c r="E962" s="2">
        <v>5.6</v>
      </c>
      <c r="F962" s="1" t="s">
        <v>18</v>
      </c>
      <c r="G962" s="1" t="s">
        <v>19</v>
      </c>
      <c r="H962" s="1" t="s">
        <v>19</v>
      </c>
      <c r="I962" s="1" t="s">
        <v>20</v>
      </c>
      <c r="J962" s="2">
        <v>73</v>
      </c>
      <c r="K962" s="3">
        <v>88</v>
      </c>
      <c r="L962" s="3" t="str">
        <f t="shared" si="14"/>
        <v>85-89</v>
      </c>
      <c r="M962" s="1" t="s">
        <v>28</v>
      </c>
    </row>
    <row r="963" spans="1:13" x14ac:dyDescent="0.35">
      <c r="A963">
        <v>960</v>
      </c>
      <c r="B963" s="1" t="s">
        <v>17</v>
      </c>
      <c r="C963" s="2">
        <v>1.3</v>
      </c>
      <c r="D963" s="3">
        <v>96</v>
      </c>
      <c r="E963" s="2">
        <v>8.8000000000000007</v>
      </c>
      <c r="F963" s="1" t="s">
        <v>18</v>
      </c>
      <c r="G963" s="1" t="s">
        <v>19</v>
      </c>
      <c r="H963" s="1" t="s">
        <v>20</v>
      </c>
      <c r="I963" s="1" t="s">
        <v>20</v>
      </c>
      <c r="J963" s="2">
        <v>79.7</v>
      </c>
      <c r="K963" s="3">
        <v>81</v>
      </c>
      <c r="L963" s="3" t="str">
        <f t="shared" si="14"/>
        <v>80-84</v>
      </c>
      <c r="M963" s="1" t="s">
        <v>28</v>
      </c>
    </row>
    <row r="964" spans="1:13" x14ac:dyDescent="0.35">
      <c r="A964">
        <v>961</v>
      </c>
      <c r="B964" s="1" t="s">
        <v>17</v>
      </c>
      <c r="C964" s="2">
        <v>0.5</v>
      </c>
      <c r="D964" s="3">
        <v>80.2</v>
      </c>
      <c r="E964" s="2">
        <v>6.5</v>
      </c>
      <c r="F964" s="1" t="s">
        <v>18</v>
      </c>
      <c r="G964" s="1" t="s">
        <v>19</v>
      </c>
      <c r="H964" s="1" t="s">
        <v>20</v>
      </c>
      <c r="I964" s="1" t="s">
        <v>20</v>
      </c>
      <c r="J964" s="2">
        <v>66.8</v>
      </c>
      <c r="K964" s="3">
        <v>75</v>
      </c>
      <c r="L964" s="3" t="str">
        <f t="shared" si="14"/>
        <v>75-79</v>
      </c>
      <c r="M964" s="1" t="s">
        <v>32</v>
      </c>
    </row>
    <row r="965" spans="1:13" x14ac:dyDescent="0.35">
      <c r="A965">
        <v>962</v>
      </c>
      <c r="B965" s="1" t="s">
        <v>17</v>
      </c>
      <c r="C965" s="2">
        <v>4.9000000000000004</v>
      </c>
      <c r="D965" s="3">
        <v>76.400000000000006</v>
      </c>
      <c r="E965" s="2">
        <v>8.6999999999999993</v>
      </c>
      <c r="F965" s="1" t="s">
        <v>27</v>
      </c>
      <c r="G965" s="1" t="s">
        <v>19</v>
      </c>
      <c r="H965" s="1" t="s">
        <v>20</v>
      </c>
      <c r="I965" s="1" t="s">
        <v>20</v>
      </c>
      <c r="J965" s="2">
        <v>60.7</v>
      </c>
      <c r="K965" s="3">
        <v>81</v>
      </c>
      <c r="L965" s="3" t="str">
        <f t="shared" ref="L965:L1003" si="15">IF(K965&gt;=95,"95-100",IF(K965&gt;=90,"90-94",IF(K965&gt;=85,"85-89",IF(K965&gt;=80,"80-84",IF(K965&gt;=75,"75-79",IF(K965&gt;=70,"70-74",IF(K965&gt;=65,"65-69",IF(K965&gt;=60,"60-64",IF(K965&gt;=55,"55-59","Below 55")))))))))</f>
        <v>80-84</v>
      </c>
      <c r="M965" s="1" t="s">
        <v>28</v>
      </c>
    </row>
    <row r="966" spans="1:13" x14ac:dyDescent="0.35">
      <c r="A966">
        <v>963</v>
      </c>
      <c r="B966" s="1" t="s">
        <v>23</v>
      </c>
      <c r="C966" s="2">
        <v>1.4</v>
      </c>
      <c r="D966" s="3">
        <v>91.9</v>
      </c>
      <c r="E966" s="2">
        <v>7.6</v>
      </c>
      <c r="F966" s="1" t="s">
        <v>33</v>
      </c>
      <c r="G966" s="1" t="s">
        <v>19</v>
      </c>
      <c r="H966" s="1" t="s">
        <v>19</v>
      </c>
      <c r="I966" s="1" t="s">
        <v>19</v>
      </c>
      <c r="J966" s="2">
        <v>62.8</v>
      </c>
      <c r="K966" s="3">
        <v>73</v>
      </c>
      <c r="L966" s="3" t="str">
        <f t="shared" si="15"/>
        <v>70-74</v>
      </c>
      <c r="M966" s="1" t="s">
        <v>32</v>
      </c>
    </row>
    <row r="967" spans="1:13" x14ac:dyDescent="0.35">
      <c r="A967">
        <v>964</v>
      </c>
      <c r="B967" s="1" t="s">
        <v>17</v>
      </c>
      <c r="C967" s="2">
        <v>3.2</v>
      </c>
      <c r="D967" s="3">
        <v>81.099999999999994</v>
      </c>
      <c r="E967" s="2">
        <v>6.6</v>
      </c>
      <c r="F967" s="1" t="s">
        <v>24</v>
      </c>
      <c r="G967" s="1" t="s">
        <v>19</v>
      </c>
      <c r="H967" s="1" t="s">
        <v>20</v>
      </c>
      <c r="I967" s="1" t="s">
        <v>20</v>
      </c>
      <c r="J967" s="2">
        <v>70</v>
      </c>
      <c r="K967" s="3">
        <v>78</v>
      </c>
      <c r="L967" s="3" t="str">
        <f t="shared" si="15"/>
        <v>75-79</v>
      </c>
      <c r="M967" s="1" t="s">
        <v>32</v>
      </c>
    </row>
    <row r="968" spans="1:13" x14ac:dyDescent="0.35">
      <c r="A968">
        <v>965</v>
      </c>
      <c r="B968" s="1" t="s">
        <v>17</v>
      </c>
      <c r="C968" s="2">
        <v>1.7</v>
      </c>
      <c r="D968" s="3">
        <v>95.6</v>
      </c>
      <c r="E968" s="2">
        <v>6.2</v>
      </c>
      <c r="F968" s="1" t="s">
        <v>34</v>
      </c>
      <c r="G968" s="1" t="s">
        <v>19</v>
      </c>
      <c r="H968" s="1" t="s">
        <v>19</v>
      </c>
      <c r="I968" s="1" t="s">
        <v>20</v>
      </c>
      <c r="J968" s="2">
        <v>57.3</v>
      </c>
      <c r="K968" s="3">
        <v>70</v>
      </c>
      <c r="L968" s="3" t="str">
        <f t="shared" si="15"/>
        <v>70-74</v>
      </c>
      <c r="M968" s="1" t="s">
        <v>30</v>
      </c>
    </row>
    <row r="969" spans="1:13" x14ac:dyDescent="0.35">
      <c r="A969">
        <v>966</v>
      </c>
      <c r="B969" s="1" t="s">
        <v>17</v>
      </c>
      <c r="C969" s="2">
        <v>0.8</v>
      </c>
      <c r="D969" s="3">
        <v>91.2</v>
      </c>
      <c r="E969" s="2">
        <v>6.4</v>
      </c>
      <c r="F969" s="1" t="s">
        <v>18</v>
      </c>
      <c r="G969" s="1" t="s">
        <v>19</v>
      </c>
      <c r="H969" s="1" t="s">
        <v>20</v>
      </c>
      <c r="I969" s="1" t="s">
        <v>20</v>
      </c>
      <c r="J969" s="2">
        <v>64</v>
      </c>
      <c r="K969" s="3">
        <v>76</v>
      </c>
      <c r="L969" s="3" t="str">
        <f t="shared" si="15"/>
        <v>75-79</v>
      </c>
      <c r="M969" s="1" t="s">
        <v>32</v>
      </c>
    </row>
    <row r="970" spans="1:13" x14ac:dyDescent="0.35">
      <c r="A970">
        <v>967</v>
      </c>
      <c r="B970" s="1" t="s">
        <v>17</v>
      </c>
      <c r="C970" s="2">
        <v>4.3</v>
      </c>
      <c r="D970" s="3">
        <v>91.8</v>
      </c>
      <c r="E970" s="2">
        <v>7.3</v>
      </c>
      <c r="F970" s="1" t="s">
        <v>24</v>
      </c>
      <c r="G970" s="1" t="s">
        <v>19</v>
      </c>
      <c r="H970" s="1" t="s">
        <v>19</v>
      </c>
      <c r="I970" s="1" t="s">
        <v>19</v>
      </c>
      <c r="J970" s="2">
        <v>63.8</v>
      </c>
      <c r="K970" s="3">
        <v>90</v>
      </c>
      <c r="L970" s="3" t="str">
        <f t="shared" si="15"/>
        <v>90-94</v>
      </c>
      <c r="M970" s="1" t="s">
        <v>21</v>
      </c>
    </row>
    <row r="971" spans="1:13" x14ac:dyDescent="0.35">
      <c r="A971">
        <v>968</v>
      </c>
      <c r="B971" s="1" t="s">
        <v>23</v>
      </c>
      <c r="C971" s="2">
        <v>4.5999999999999996</v>
      </c>
      <c r="D971" s="3">
        <v>71.3</v>
      </c>
      <c r="E971" s="2">
        <v>6.9</v>
      </c>
      <c r="F971" s="1" t="s">
        <v>18</v>
      </c>
      <c r="G971" s="1" t="s">
        <v>19</v>
      </c>
      <c r="H971" s="1" t="s">
        <v>19</v>
      </c>
      <c r="I971" s="1" t="s">
        <v>20</v>
      </c>
      <c r="J971" s="2">
        <v>95.5</v>
      </c>
      <c r="K971" s="3">
        <v>100</v>
      </c>
      <c r="L971" s="3" t="str">
        <f t="shared" si="15"/>
        <v>95-100</v>
      </c>
      <c r="M971" s="1" t="s">
        <v>21</v>
      </c>
    </row>
    <row r="972" spans="1:13" x14ac:dyDescent="0.35">
      <c r="A972">
        <v>969</v>
      </c>
      <c r="B972" s="1" t="s">
        <v>23</v>
      </c>
      <c r="C972" s="2">
        <v>2.6</v>
      </c>
      <c r="D972" s="3">
        <v>97.1</v>
      </c>
      <c r="E972" s="2">
        <v>6.1</v>
      </c>
      <c r="F972" s="1" t="s">
        <v>18</v>
      </c>
      <c r="G972" s="1" t="s">
        <v>19</v>
      </c>
      <c r="H972" s="1" t="s">
        <v>20</v>
      </c>
      <c r="I972" s="1" t="s">
        <v>20</v>
      </c>
      <c r="J972" s="2">
        <v>36.700000000000003</v>
      </c>
      <c r="K972" s="3">
        <v>60</v>
      </c>
      <c r="L972" s="3" t="str">
        <f t="shared" si="15"/>
        <v>60-64</v>
      </c>
      <c r="M972" s="1" t="s">
        <v>30</v>
      </c>
    </row>
    <row r="973" spans="1:13" x14ac:dyDescent="0.35">
      <c r="A973">
        <v>970</v>
      </c>
      <c r="B973" s="1" t="s">
        <v>17</v>
      </c>
      <c r="C973" s="2">
        <v>0.5</v>
      </c>
      <c r="D973" s="3">
        <v>87.6</v>
      </c>
      <c r="E973" s="2">
        <v>6.6</v>
      </c>
      <c r="F973" s="1" t="s">
        <v>34</v>
      </c>
      <c r="G973" s="1" t="s">
        <v>19</v>
      </c>
      <c r="H973" s="1" t="s">
        <v>19</v>
      </c>
      <c r="I973" s="1" t="s">
        <v>20</v>
      </c>
      <c r="J973" s="2">
        <v>67.8</v>
      </c>
      <c r="K973" s="3">
        <v>78</v>
      </c>
      <c r="L973" s="3" t="str">
        <f t="shared" si="15"/>
        <v>75-79</v>
      </c>
      <c r="M973" s="1" t="s">
        <v>32</v>
      </c>
    </row>
    <row r="974" spans="1:13" x14ac:dyDescent="0.35">
      <c r="A974">
        <v>971</v>
      </c>
      <c r="B974" s="1" t="s">
        <v>23</v>
      </c>
      <c r="C974" s="2">
        <v>2.7</v>
      </c>
      <c r="D974" s="3">
        <v>81.3</v>
      </c>
      <c r="E974" s="2">
        <v>6.9</v>
      </c>
      <c r="F974" s="1" t="s">
        <v>24</v>
      </c>
      <c r="G974" s="1" t="s">
        <v>19</v>
      </c>
      <c r="H974" s="1" t="s">
        <v>19</v>
      </c>
      <c r="I974" s="1" t="s">
        <v>19</v>
      </c>
      <c r="J974" s="2">
        <v>90.7</v>
      </c>
      <c r="K974" s="3">
        <v>100</v>
      </c>
      <c r="L974" s="3" t="str">
        <f t="shared" si="15"/>
        <v>95-100</v>
      </c>
      <c r="M974" s="1" t="s">
        <v>21</v>
      </c>
    </row>
    <row r="975" spans="1:13" x14ac:dyDescent="0.35">
      <c r="A975">
        <v>972</v>
      </c>
      <c r="B975" s="1" t="s">
        <v>17</v>
      </c>
      <c r="C975" s="2">
        <v>4.0999999999999996</v>
      </c>
      <c r="D975" s="3">
        <v>86.4</v>
      </c>
      <c r="E975" s="2">
        <v>4.2</v>
      </c>
      <c r="F975" s="1" t="s">
        <v>33</v>
      </c>
      <c r="G975" s="1" t="s">
        <v>20</v>
      </c>
      <c r="H975" s="1" t="s">
        <v>19</v>
      </c>
      <c r="I975" s="1" t="s">
        <v>19</v>
      </c>
      <c r="J975" s="2">
        <v>71.5</v>
      </c>
      <c r="K975" s="3">
        <v>76</v>
      </c>
      <c r="L975" s="3" t="str">
        <f t="shared" si="15"/>
        <v>75-79</v>
      </c>
      <c r="M975" s="1" t="s">
        <v>32</v>
      </c>
    </row>
    <row r="976" spans="1:13" x14ac:dyDescent="0.35">
      <c r="A976">
        <v>973</v>
      </c>
      <c r="B976" s="1" t="s">
        <v>17</v>
      </c>
      <c r="C976" s="2">
        <v>1.3</v>
      </c>
      <c r="D976" s="3">
        <v>67.2</v>
      </c>
      <c r="E976" s="2">
        <v>7.3</v>
      </c>
      <c r="F976" s="1" t="s">
        <v>18</v>
      </c>
      <c r="G976" s="1" t="s">
        <v>19</v>
      </c>
      <c r="H976" s="1" t="s">
        <v>20</v>
      </c>
      <c r="I976" s="1" t="s">
        <v>20</v>
      </c>
      <c r="J976" s="2">
        <v>79</v>
      </c>
      <c r="K976" s="3">
        <v>84</v>
      </c>
      <c r="L976" s="3" t="str">
        <f t="shared" si="15"/>
        <v>80-84</v>
      </c>
      <c r="M976" s="1" t="s">
        <v>28</v>
      </c>
    </row>
    <row r="977" spans="1:13" x14ac:dyDescent="0.35">
      <c r="A977">
        <v>974</v>
      </c>
      <c r="B977" s="1" t="s">
        <v>17</v>
      </c>
      <c r="C977" s="2">
        <v>3.8</v>
      </c>
      <c r="D977" s="3">
        <v>89.1</v>
      </c>
      <c r="E977" s="2">
        <v>5.6</v>
      </c>
      <c r="F977" s="1" t="s">
        <v>24</v>
      </c>
      <c r="G977" s="1" t="s">
        <v>20</v>
      </c>
      <c r="H977" s="1" t="s">
        <v>19</v>
      </c>
      <c r="I977" s="1" t="s">
        <v>19</v>
      </c>
      <c r="J977" s="2">
        <v>71.2</v>
      </c>
      <c r="K977" s="3">
        <v>78</v>
      </c>
      <c r="L977" s="3" t="str">
        <f t="shared" si="15"/>
        <v>75-79</v>
      </c>
      <c r="M977" s="1" t="s">
        <v>32</v>
      </c>
    </row>
    <row r="978" spans="1:13" x14ac:dyDescent="0.35">
      <c r="A978">
        <v>975</v>
      </c>
      <c r="B978" s="1" t="s">
        <v>23</v>
      </c>
      <c r="C978" s="2">
        <v>3.5</v>
      </c>
      <c r="D978" s="3">
        <v>74.7</v>
      </c>
      <c r="E978" s="2">
        <v>5.4</v>
      </c>
      <c r="F978" s="1" t="s">
        <v>27</v>
      </c>
      <c r="G978" s="1" t="s">
        <v>19</v>
      </c>
      <c r="H978" s="1" t="s">
        <v>20</v>
      </c>
      <c r="I978" s="1" t="s">
        <v>20</v>
      </c>
      <c r="J978" s="2">
        <v>62</v>
      </c>
      <c r="K978" s="3">
        <v>68</v>
      </c>
      <c r="L978" s="3" t="str">
        <f t="shared" si="15"/>
        <v>65-69</v>
      </c>
      <c r="M978" s="1" t="s">
        <v>30</v>
      </c>
    </row>
    <row r="979" spans="1:13" x14ac:dyDescent="0.35">
      <c r="A979">
        <v>976</v>
      </c>
      <c r="B979" s="1" t="s">
        <v>23</v>
      </c>
      <c r="C979" s="2">
        <v>4.4000000000000004</v>
      </c>
      <c r="D979" s="3">
        <v>71.5</v>
      </c>
      <c r="E979" s="2">
        <v>4.8</v>
      </c>
      <c r="F979" s="1" t="s">
        <v>18</v>
      </c>
      <c r="G979" s="1" t="s">
        <v>19</v>
      </c>
      <c r="H979" s="1" t="s">
        <v>19</v>
      </c>
      <c r="I979" s="1" t="s">
        <v>19</v>
      </c>
      <c r="J979" s="2">
        <v>43.1</v>
      </c>
      <c r="K979" s="3">
        <v>67</v>
      </c>
      <c r="L979" s="3" t="str">
        <f t="shared" si="15"/>
        <v>65-69</v>
      </c>
      <c r="M979" s="1" t="s">
        <v>30</v>
      </c>
    </row>
    <row r="980" spans="1:13" x14ac:dyDescent="0.35">
      <c r="A980">
        <v>977</v>
      </c>
      <c r="B980" s="1" t="s">
        <v>23</v>
      </c>
      <c r="C980" s="2">
        <v>3.7</v>
      </c>
      <c r="D980" s="3">
        <v>69.8</v>
      </c>
      <c r="E980" s="2">
        <v>4.5999999999999996</v>
      </c>
      <c r="F980" s="1" t="s">
        <v>24</v>
      </c>
      <c r="G980" s="1" t="s">
        <v>20</v>
      </c>
      <c r="H980" s="1" t="s">
        <v>19</v>
      </c>
      <c r="I980" s="1" t="s">
        <v>20</v>
      </c>
      <c r="J980" s="2">
        <v>72.5</v>
      </c>
      <c r="K980" s="3">
        <v>81</v>
      </c>
      <c r="L980" s="3" t="str">
        <f t="shared" si="15"/>
        <v>80-84</v>
      </c>
      <c r="M980" s="1" t="s">
        <v>28</v>
      </c>
    </row>
    <row r="981" spans="1:13" x14ac:dyDescent="0.35">
      <c r="A981">
        <v>978</v>
      </c>
      <c r="B981" s="1" t="s">
        <v>23</v>
      </c>
      <c r="C981" s="2">
        <v>2</v>
      </c>
      <c r="D981" s="3">
        <v>96.1</v>
      </c>
      <c r="E981" s="2">
        <v>5.2</v>
      </c>
      <c r="F981" s="1" t="s">
        <v>18</v>
      </c>
      <c r="G981" s="1" t="s">
        <v>19</v>
      </c>
      <c r="H981" s="1" t="s">
        <v>19</v>
      </c>
      <c r="I981" s="1" t="s">
        <v>20</v>
      </c>
      <c r="J981" s="2">
        <v>60.7</v>
      </c>
      <c r="K981" s="3">
        <v>72</v>
      </c>
      <c r="L981" s="3" t="str">
        <f t="shared" si="15"/>
        <v>70-74</v>
      </c>
      <c r="M981" s="1" t="s">
        <v>32</v>
      </c>
    </row>
    <row r="982" spans="1:13" x14ac:dyDescent="0.35">
      <c r="A982">
        <v>979</v>
      </c>
      <c r="B982" s="1" t="s">
        <v>23</v>
      </c>
      <c r="C982" s="2">
        <v>5.3</v>
      </c>
      <c r="D982" s="3">
        <v>78.7</v>
      </c>
      <c r="E982" s="2">
        <v>5.9</v>
      </c>
      <c r="F982" s="1" t="s">
        <v>34</v>
      </c>
      <c r="G982" s="1" t="s">
        <v>19</v>
      </c>
      <c r="H982" s="1" t="s">
        <v>19</v>
      </c>
      <c r="I982" s="1" t="s">
        <v>20</v>
      </c>
      <c r="J982" s="2">
        <v>60.4</v>
      </c>
      <c r="K982" s="3">
        <v>83</v>
      </c>
      <c r="L982" s="3" t="str">
        <f t="shared" si="15"/>
        <v>80-84</v>
      </c>
      <c r="M982" s="1" t="s">
        <v>28</v>
      </c>
    </row>
    <row r="983" spans="1:13" x14ac:dyDescent="0.35">
      <c r="A983">
        <v>980</v>
      </c>
      <c r="B983" s="1" t="s">
        <v>23</v>
      </c>
      <c r="C983" s="2">
        <v>3.3</v>
      </c>
      <c r="D983" s="3">
        <v>100</v>
      </c>
      <c r="E983" s="2">
        <v>9.1</v>
      </c>
      <c r="F983" s="1" t="s">
        <v>24</v>
      </c>
      <c r="G983" s="1" t="s">
        <v>19</v>
      </c>
      <c r="H983" s="1" t="s">
        <v>19</v>
      </c>
      <c r="I983" s="1" t="s">
        <v>20</v>
      </c>
      <c r="J983" s="2">
        <v>64</v>
      </c>
      <c r="K983" s="3">
        <v>94</v>
      </c>
      <c r="L983" s="3" t="str">
        <f t="shared" si="15"/>
        <v>90-94</v>
      </c>
      <c r="M983" s="1" t="s">
        <v>21</v>
      </c>
    </row>
    <row r="984" spans="1:13" x14ac:dyDescent="0.35">
      <c r="A984">
        <v>981</v>
      </c>
      <c r="B984" s="1" t="s">
        <v>23</v>
      </c>
      <c r="C984" s="2">
        <v>3.5</v>
      </c>
      <c r="D984" s="3">
        <v>79.599999999999994</v>
      </c>
      <c r="E984" s="2">
        <v>6.2</v>
      </c>
      <c r="F984" s="1" t="s">
        <v>24</v>
      </c>
      <c r="G984" s="1" t="s">
        <v>19</v>
      </c>
      <c r="H984" s="1" t="s">
        <v>19</v>
      </c>
      <c r="I984" s="1" t="s">
        <v>20</v>
      </c>
      <c r="J984" s="2">
        <v>90.9</v>
      </c>
      <c r="K984" s="3">
        <v>91</v>
      </c>
      <c r="L984" s="3" t="str">
        <f t="shared" si="15"/>
        <v>90-94</v>
      </c>
      <c r="M984" s="1" t="s">
        <v>21</v>
      </c>
    </row>
    <row r="985" spans="1:13" x14ac:dyDescent="0.35">
      <c r="A985">
        <v>982</v>
      </c>
      <c r="B985" s="1" t="s">
        <v>23</v>
      </c>
      <c r="C985" s="2">
        <v>2.1</v>
      </c>
      <c r="D985" s="3">
        <v>67.900000000000006</v>
      </c>
      <c r="E985" s="2">
        <v>7</v>
      </c>
      <c r="F985" s="1" t="s">
        <v>24</v>
      </c>
      <c r="G985" s="1" t="s">
        <v>20</v>
      </c>
      <c r="H985" s="1" t="s">
        <v>20</v>
      </c>
      <c r="I985" s="1" t="s">
        <v>19</v>
      </c>
      <c r="J985" s="2">
        <v>98.9</v>
      </c>
      <c r="K985" s="3">
        <v>80</v>
      </c>
      <c r="L985" s="3" t="str">
        <f t="shared" si="15"/>
        <v>80-84</v>
      </c>
      <c r="M985" s="1" t="s">
        <v>32</v>
      </c>
    </row>
    <row r="986" spans="1:13" x14ac:dyDescent="0.35">
      <c r="A986">
        <v>983</v>
      </c>
      <c r="B986" s="1" t="s">
        <v>23</v>
      </c>
      <c r="C986" s="2">
        <v>2.8</v>
      </c>
      <c r="D986" s="3">
        <v>73.8</v>
      </c>
      <c r="E986" s="2">
        <v>7.3</v>
      </c>
      <c r="F986" s="1" t="s">
        <v>24</v>
      </c>
      <c r="G986" s="1" t="s">
        <v>19</v>
      </c>
      <c r="H986" s="1" t="s">
        <v>20</v>
      </c>
      <c r="I986" s="1" t="s">
        <v>19</v>
      </c>
      <c r="J986" s="2">
        <v>72.599999999999994</v>
      </c>
      <c r="K986" s="3">
        <v>78</v>
      </c>
      <c r="L986" s="3" t="str">
        <f t="shared" si="15"/>
        <v>75-79</v>
      </c>
      <c r="M986" s="1" t="s">
        <v>32</v>
      </c>
    </row>
    <row r="987" spans="1:13" x14ac:dyDescent="0.35">
      <c r="A987">
        <v>984</v>
      </c>
      <c r="B987" s="1" t="s">
        <v>17</v>
      </c>
      <c r="C987" s="2">
        <v>2.2000000000000002</v>
      </c>
      <c r="D987" s="3">
        <v>97.4</v>
      </c>
      <c r="E987" s="2">
        <v>7</v>
      </c>
      <c r="F987" s="1" t="s">
        <v>33</v>
      </c>
      <c r="G987" s="1" t="s">
        <v>19</v>
      </c>
      <c r="H987" s="1" t="s">
        <v>19</v>
      </c>
      <c r="I987" s="1" t="s">
        <v>20</v>
      </c>
      <c r="J987" s="2">
        <v>64.400000000000006</v>
      </c>
      <c r="K987" s="3">
        <v>85</v>
      </c>
      <c r="L987" s="3" t="str">
        <f t="shared" si="15"/>
        <v>85-89</v>
      </c>
      <c r="M987" s="1" t="s">
        <v>28</v>
      </c>
    </row>
    <row r="988" spans="1:13" x14ac:dyDescent="0.35">
      <c r="A988">
        <v>985</v>
      </c>
      <c r="B988" s="1" t="s">
        <v>23</v>
      </c>
      <c r="C988" s="2">
        <v>3.2</v>
      </c>
      <c r="D988" s="3">
        <v>83.4</v>
      </c>
      <c r="E988" s="2">
        <v>6.7</v>
      </c>
      <c r="F988" s="1" t="s">
        <v>18</v>
      </c>
      <c r="G988" s="1" t="s">
        <v>19</v>
      </c>
      <c r="H988" s="1" t="s">
        <v>19</v>
      </c>
      <c r="I988" s="1" t="s">
        <v>20</v>
      </c>
      <c r="J988" s="2">
        <v>55.9</v>
      </c>
      <c r="K988" s="3">
        <v>75</v>
      </c>
      <c r="L988" s="3" t="str">
        <f t="shared" si="15"/>
        <v>75-79</v>
      </c>
      <c r="M988" s="1" t="s">
        <v>32</v>
      </c>
    </row>
    <row r="989" spans="1:13" x14ac:dyDescent="0.35">
      <c r="A989">
        <v>986</v>
      </c>
      <c r="B989" s="1" t="s">
        <v>23</v>
      </c>
      <c r="C989" s="2">
        <v>6.1</v>
      </c>
      <c r="D989" s="3">
        <v>79.5</v>
      </c>
      <c r="E989" s="2">
        <v>5.4</v>
      </c>
      <c r="F989" s="1" t="s">
        <v>24</v>
      </c>
      <c r="G989" s="1" t="s">
        <v>19</v>
      </c>
      <c r="H989" s="1" t="s">
        <v>20</v>
      </c>
      <c r="I989" s="1" t="s">
        <v>20</v>
      </c>
      <c r="J989" s="2">
        <v>75.599999999999994</v>
      </c>
      <c r="K989" s="3">
        <v>96</v>
      </c>
      <c r="L989" s="3" t="str">
        <f t="shared" si="15"/>
        <v>95-100</v>
      </c>
      <c r="M989" s="1" t="s">
        <v>21</v>
      </c>
    </row>
    <row r="990" spans="1:13" x14ac:dyDescent="0.35">
      <c r="A990">
        <v>987</v>
      </c>
      <c r="B990" s="1" t="s">
        <v>23</v>
      </c>
      <c r="C990" s="2">
        <v>1.4</v>
      </c>
      <c r="D990" s="3">
        <v>86.6</v>
      </c>
      <c r="E990" s="2">
        <v>8.5</v>
      </c>
      <c r="F990" s="1" t="s">
        <v>24</v>
      </c>
      <c r="G990" s="1" t="s">
        <v>19</v>
      </c>
      <c r="H990" s="1" t="s">
        <v>19</v>
      </c>
      <c r="I990" s="1" t="s">
        <v>20</v>
      </c>
      <c r="J990" s="2">
        <v>91.4</v>
      </c>
      <c r="K990" s="3">
        <v>82</v>
      </c>
      <c r="L990" s="3" t="str">
        <f t="shared" si="15"/>
        <v>80-84</v>
      </c>
      <c r="M990" s="1" t="s">
        <v>28</v>
      </c>
    </row>
    <row r="991" spans="1:13" x14ac:dyDescent="0.35">
      <c r="A991">
        <v>988</v>
      </c>
      <c r="B991" s="1" t="s">
        <v>23</v>
      </c>
      <c r="C991" s="2">
        <v>1.1000000000000001</v>
      </c>
      <c r="D991" s="3">
        <v>90</v>
      </c>
      <c r="E991" s="2">
        <v>9</v>
      </c>
      <c r="F991" s="1" t="s">
        <v>24</v>
      </c>
      <c r="G991" s="1" t="s">
        <v>19</v>
      </c>
      <c r="H991" s="1" t="s">
        <v>19</v>
      </c>
      <c r="I991" s="1" t="s">
        <v>20</v>
      </c>
      <c r="J991" s="2">
        <v>67</v>
      </c>
      <c r="K991" s="3">
        <v>86</v>
      </c>
      <c r="L991" s="3" t="str">
        <f t="shared" si="15"/>
        <v>85-89</v>
      </c>
      <c r="M991" s="1" t="s">
        <v>28</v>
      </c>
    </row>
    <row r="992" spans="1:13" x14ac:dyDescent="0.35">
      <c r="A992">
        <v>989</v>
      </c>
      <c r="B992" s="1" t="s">
        <v>23</v>
      </c>
      <c r="C992" s="2">
        <v>5.7</v>
      </c>
      <c r="D992" s="3">
        <v>96.2</v>
      </c>
      <c r="E992" s="2">
        <v>4.8</v>
      </c>
      <c r="F992" s="1" t="s">
        <v>27</v>
      </c>
      <c r="G992" s="1" t="s">
        <v>19</v>
      </c>
      <c r="H992" s="1" t="s">
        <v>20</v>
      </c>
      <c r="I992" s="1" t="s">
        <v>20</v>
      </c>
      <c r="J992" s="2">
        <v>41.5</v>
      </c>
      <c r="K992" s="3">
        <v>81</v>
      </c>
      <c r="L992" s="3" t="str">
        <f t="shared" si="15"/>
        <v>80-84</v>
      </c>
      <c r="M992" s="1" t="s">
        <v>28</v>
      </c>
    </row>
    <row r="993" spans="1:13" x14ac:dyDescent="0.35">
      <c r="A993">
        <v>990</v>
      </c>
      <c r="B993" s="1" t="s">
        <v>23</v>
      </c>
      <c r="C993" s="2">
        <v>3.2</v>
      </c>
      <c r="D993" s="3">
        <v>99.5</v>
      </c>
      <c r="E993" s="2">
        <v>5.6</v>
      </c>
      <c r="F993" s="1" t="s">
        <v>24</v>
      </c>
      <c r="G993" s="1" t="s">
        <v>19</v>
      </c>
      <c r="H993" s="1" t="s">
        <v>20</v>
      </c>
      <c r="I993" s="1" t="s">
        <v>19</v>
      </c>
      <c r="J993" s="2">
        <v>78</v>
      </c>
      <c r="K993" s="3">
        <v>94</v>
      </c>
      <c r="L993" s="3" t="str">
        <f t="shared" si="15"/>
        <v>90-94</v>
      </c>
      <c r="M993" s="1" t="s">
        <v>21</v>
      </c>
    </row>
    <row r="994" spans="1:13" x14ac:dyDescent="0.35">
      <c r="A994">
        <v>991</v>
      </c>
      <c r="B994" s="1" t="s">
        <v>23</v>
      </c>
      <c r="C994" s="2">
        <v>2.5</v>
      </c>
      <c r="D994" s="3">
        <v>81.400000000000006</v>
      </c>
      <c r="E994" s="2">
        <v>6.5</v>
      </c>
      <c r="F994" s="1" t="s">
        <v>27</v>
      </c>
      <c r="G994" s="1" t="s">
        <v>19</v>
      </c>
      <c r="H994" s="1" t="s">
        <v>20</v>
      </c>
      <c r="I994" s="1" t="s">
        <v>20</v>
      </c>
      <c r="J994" s="2">
        <v>81.8</v>
      </c>
      <c r="K994" s="3">
        <v>82</v>
      </c>
      <c r="L994" s="3" t="str">
        <f t="shared" si="15"/>
        <v>80-84</v>
      </c>
      <c r="M994" s="1" t="s">
        <v>28</v>
      </c>
    </row>
    <row r="995" spans="1:13" x14ac:dyDescent="0.35">
      <c r="A995">
        <v>992</v>
      </c>
      <c r="B995" s="1" t="s">
        <v>23</v>
      </c>
      <c r="C995" s="2">
        <v>5.0999999999999996</v>
      </c>
      <c r="D995" s="3">
        <v>71.7</v>
      </c>
      <c r="E995" s="2">
        <v>5.6</v>
      </c>
      <c r="F995" s="1" t="s">
        <v>18</v>
      </c>
      <c r="G995" s="1" t="s">
        <v>19</v>
      </c>
      <c r="H995" s="1" t="s">
        <v>19</v>
      </c>
      <c r="I995" s="1" t="s">
        <v>20</v>
      </c>
      <c r="J995" s="2">
        <v>51</v>
      </c>
      <c r="K995" s="3">
        <v>80</v>
      </c>
      <c r="L995" s="3" t="str">
        <f t="shared" si="15"/>
        <v>80-84</v>
      </c>
      <c r="M995" s="1" t="s">
        <v>28</v>
      </c>
    </row>
    <row r="996" spans="1:13" x14ac:dyDescent="0.35">
      <c r="A996">
        <v>993</v>
      </c>
      <c r="B996" s="1" t="s">
        <v>23</v>
      </c>
      <c r="C996" s="2">
        <v>2.6</v>
      </c>
      <c r="D996" s="3">
        <v>80.900000000000006</v>
      </c>
      <c r="E996" s="2">
        <v>7.4</v>
      </c>
      <c r="F996" s="1" t="s">
        <v>24</v>
      </c>
      <c r="G996" s="1" t="s">
        <v>19</v>
      </c>
      <c r="H996" s="1" t="s">
        <v>19</v>
      </c>
      <c r="I996" s="1" t="s">
        <v>20</v>
      </c>
      <c r="J996" s="2">
        <v>72.099999999999994</v>
      </c>
      <c r="K996" s="3">
        <v>79</v>
      </c>
      <c r="L996" s="3" t="str">
        <f t="shared" si="15"/>
        <v>75-79</v>
      </c>
      <c r="M996" s="1" t="s">
        <v>32</v>
      </c>
    </row>
    <row r="997" spans="1:13" x14ac:dyDescent="0.35">
      <c r="A997">
        <v>994</v>
      </c>
      <c r="B997" s="1" t="s">
        <v>23</v>
      </c>
      <c r="C997" s="2">
        <v>6.2</v>
      </c>
      <c r="D997" s="3">
        <v>87.6</v>
      </c>
      <c r="E997" s="2">
        <v>5.9</v>
      </c>
      <c r="F997" s="1" t="s">
        <v>34</v>
      </c>
      <c r="G997" s="1" t="s">
        <v>19</v>
      </c>
      <c r="H997" s="1" t="s">
        <v>20</v>
      </c>
      <c r="I997" s="1" t="s">
        <v>20</v>
      </c>
      <c r="J997" s="2">
        <v>75.400000000000006</v>
      </c>
      <c r="K997" s="3">
        <v>93</v>
      </c>
      <c r="L997" s="3" t="str">
        <f t="shared" si="15"/>
        <v>90-94</v>
      </c>
      <c r="M997" s="1" t="s">
        <v>21</v>
      </c>
    </row>
    <row r="998" spans="1:13" x14ac:dyDescent="0.35">
      <c r="A998">
        <v>995</v>
      </c>
      <c r="B998" s="1" t="s">
        <v>23</v>
      </c>
      <c r="C998" s="2">
        <v>4.5</v>
      </c>
      <c r="D998" s="3">
        <v>75.400000000000006</v>
      </c>
      <c r="E998" s="2">
        <v>9.4</v>
      </c>
      <c r="F998" s="1" t="s">
        <v>18</v>
      </c>
      <c r="G998" s="1" t="s">
        <v>19</v>
      </c>
      <c r="H998" s="1" t="s">
        <v>19</v>
      </c>
      <c r="I998" s="1" t="s">
        <v>20</v>
      </c>
      <c r="J998" s="2">
        <v>69.099999999999994</v>
      </c>
      <c r="K998" s="3">
        <v>79</v>
      </c>
      <c r="L998" s="3" t="str">
        <f t="shared" si="15"/>
        <v>75-79</v>
      </c>
      <c r="M998" s="1" t="s">
        <v>32</v>
      </c>
    </row>
    <row r="999" spans="1:13" x14ac:dyDescent="0.35">
      <c r="A999">
        <v>996</v>
      </c>
      <c r="B999" s="1" t="s">
        <v>17</v>
      </c>
      <c r="C999" s="2">
        <v>2.8</v>
      </c>
      <c r="D999" s="3">
        <v>75.400000000000006</v>
      </c>
      <c r="E999" s="2">
        <v>8.1999999999999993</v>
      </c>
      <c r="F999" s="1" t="s">
        <v>33</v>
      </c>
      <c r="G999" s="1" t="s">
        <v>19</v>
      </c>
      <c r="H999" s="1" t="s">
        <v>19</v>
      </c>
      <c r="I999" s="1" t="s">
        <v>20</v>
      </c>
      <c r="J999" s="2">
        <v>60.5</v>
      </c>
      <c r="K999" s="3">
        <v>71</v>
      </c>
      <c r="L999" s="3" t="str">
        <f t="shared" si="15"/>
        <v>70-74</v>
      </c>
      <c r="M999" s="1" t="s">
        <v>32</v>
      </c>
    </row>
    <row r="1000" spans="1:13" x14ac:dyDescent="0.35">
      <c r="A1000">
        <v>997</v>
      </c>
      <c r="B1000" s="1" t="s">
        <v>17</v>
      </c>
      <c r="C1000" s="2">
        <v>6.7</v>
      </c>
      <c r="D1000" s="3">
        <v>88.4</v>
      </c>
      <c r="E1000" s="2">
        <v>7.1</v>
      </c>
      <c r="F1000" s="1" t="s">
        <v>27</v>
      </c>
      <c r="G1000" s="1" t="s">
        <v>20</v>
      </c>
      <c r="H1000" s="1" t="s">
        <v>19</v>
      </c>
      <c r="I1000" s="1" t="s">
        <v>20</v>
      </c>
      <c r="J1000" s="2">
        <v>82.2</v>
      </c>
      <c r="K1000" s="3">
        <v>100</v>
      </c>
      <c r="L1000" s="3" t="str">
        <f t="shared" si="15"/>
        <v>95-100</v>
      </c>
      <c r="M1000" s="1" t="s">
        <v>21</v>
      </c>
    </row>
    <row r="1001" spans="1:13" x14ac:dyDescent="0.35">
      <c r="A1001">
        <v>998</v>
      </c>
      <c r="B1001" s="1" t="s">
        <v>23</v>
      </c>
      <c r="C1001" s="2">
        <v>2.6</v>
      </c>
      <c r="D1001" s="3">
        <v>84.5</v>
      </c>
      <c r="E1001" s="2">
        <v>8</v>
      </c>
      <c r="F1001" s="1" t="s">
        <v>24</v>
      </c>
      <c r="G1001" s="1" t="s">
        <v>19</v>
      </c>
      <c r="H1001" s="1" t="s">
        <v>19</v>
      </c>
      <c r="I1001" s="1" t="s">
        <v>19</v>
      </c>
      <c r="J1001" s="2">
        <v>65.2</v>
      </c>
      <c r="K1001" s="3">
        <v>79</v>
      </c>
      <c r="L1001" s="3" t="str">
        <f t="shared" si="15"/>
        <v>75-79</v>
      </c>
      <c r="M1001" s="1" t="s">
        <v>32</v>
      </c>
    </row>
    <row r="1002" spans="1:13" x14ac:dyDescent="0.35">
      <c r="A1002">
        <v>999</v>
      </c>
      <c r="B1002" s="1" t="s">
        <v>23</v>
      </c>
      <c r="C1002" s="2">
        <v>4.5999999999999996</v>
      </c>
      <c r="D1002" s="3">
        <v>85.3</v>
      </c>
      <c r="E1002" s="2">
        <v>8.1</v>
      </c>
      <c r="F1002" s="1" t="s">
        <v>24</v>
      </c>
      <c r="G1002" s="1" t="s">
        <v>20</v>
      </c>
      <c r="H1002" s="1" t="s">
        <v>20</v>
      </c>
      <c r="I1002" s="1" t="s">
        <v>19</v>
      </c>
      <c r="J1002" s="2">
        <v>52.2</v>
      </c>
      <c r="K1002" s="3">
        <v>82</v>
      </c>
      <c r="L1002" s="3" t="str">
        <f t="shared" si="15"/>
        <v>80-84</v>
      </c>
      <c r="M1002" s="1" t="s">
        <v>28</v>
      </c>
    </row>
    <row r="1003" spans="1:13" x14ac:dyDescent="0.35">
      <c r="A1003">
        <v>1000</v>
      </c>
      <c r="B1003" s="1" t="s">
        <v>17</v>
      </c>
      <c r="C1003" s="2">
        <v>3.9</v>
      </c>
      <c r="D1003" s="3">
        <v>77.400000000000006</v>
      </c>
      <c r="E1003" s="2">
        <v>6.1</v>
      </c>
      <c r="F1003" s="1" t="s">
        <v>33</v>
      </c>
      <c r="G1003" s="1" t="s">
        <v>19</v>
      </c>
      <c r="H1003" s="1" t="s">
        <v>20</v>
      </c>
      <c r="I1003" s="1" t="s">
        <v>20</v>
      </c>
      <c r="J1003" s="2">
        <v>45.4</v>
      </c>
      <c r="K1003" s="3">
        <v>70</v>
      </c>
      <c r="L1003" s="3" t="str">
        <f t="shared" si="15"/>
        <v>70-74</v>
      </c>
      <c r="M1003" s="1" t="s">
        <v>32</v>
      </c>
    </row>
  </sheetData>
  <conditionalFormatting sqref="O3:S8 O1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7"/>
  </sheetPr>
  <dimension ref="B3:K147"/>
  <sheetViews>
    <sheetView zoomScale="103" zoomScaleNormal="99" workbookViewId="0"/>
  </sheetViews>
  <sheetFormatPr defaultRowHeight="14.5" x14ac:dyDescent="0.35"/>
  <cols>
    <col min="2" max="2" width="27.26953125" bestFit="1" customWidth="1"/>
    <col min="3" max="3" width="5" bestFit="1" customWidth="1"/>
    <col min="4" max="4" width="11.26953125" bestFit="1" customWidth="1"/>
    <col min="5" max="5" width="16.26953125" bestFit="1" customWidth="1"/>
    <col min="6" max="6" width="27.1796875" customWidth="1"/>
    <col min="8" max="8" width="13.1796875" bestFit="1" customWidth="1"/>
    <col min="9" max="9" width="27.1796875" bestFit="1" customWidth="1"/>
    <col min="10" max="10" width="12.453125" bestFit="1" customWidth="1"/>
    <col min="11" max="11" width="17.81640625" bestFit="1" customWidth="1"/>
  </cols>
  <sheetData>
    <row r="3" spans="2:3" x14ac:dyDescent="0.35">
      <c r="B3" s="13" t="s">
        <v>89</v>
      </c>
    </row>
    <row r="4" spans="2:3" x14ac:dyDescent="0.35">
      <c r="B4" s="4" t="s">
        <v>85</v>
      </c>
    </row>
    <row r="5" spans="2:3" x14ac:dyDescent="0.35">
      <c r="B5" s="5" t="s">
        <v>86</v>
      </c>
      <c r="C5" s="2">
        <v>3.5707000000000018</v>
      </c>
    </row>
    <row r="6" spans="2:3" x14ac:dyDescent="0.35">
      <c r="B6" s="5" t="s">
        <v>87</v>
      </c>
      <c r="C6" s="3">
        <v>85.092299999999838</v>
      </c>
    </row>
    <row r="7" spans="2:3" x14ac:dyDescent="0.35">
      <c r="B7" s="5" t="s">
        <v>51</v>
      </c>
      <c r="C7" s="18">
        <v>1000</v>
      </c>
    </row>
    <row r="8" spans="2:3" x14ac:dyDescent="0.35">
      <c r="B8" s="5" t="s">
        <v>88</v>
      </c>
      <c r="C8" s="2">
        <v>6.7994999999999948</v>
      </c>
    </row>
    <row r="9" spans="2:3" x14ac:dyDescent="0.35">
      <c r="B9" s="5" t="s">
        <v>38</v>
      </c>
      <c r="C9" s="3">
        <v>83.584000000000003</v>
      </c>
    </row>
    <row r="12" spans="2:3" x14ac:dyDescent="0.35">
      <c r="B12" s="5" t="s">
        <v>90</v>
      </c>
      <c r="C12">
        <f>GETPIVOTDATA("Count of student_id",$B$4)</f>
        <v>1000</v>
      </c>
    </row>
    <row r="13" spans="2:3" x14ac:dyDescent="0.35">
      <c r="B13" s="5" t="s">
        <v>91</v>
      </c>
      <c r="C13" s="2">
        <f>GETPIVOTDATA("Average of final_exam_score",$B$4)</f>
        <v>83.584000000000003</v>
      </c>
    </row>
    <row r="14" spans="2:3" x14ac:dyDescent="0.35">
      <c r="B14" s="14" t="s">
        <v>92</v>
      </c>
      <c r="C14" s="2">
        <f>GETPIVOTDATA("Average of study_time_hours",$B$4)</f>
        <v>3.5707000000000018</v>
      </c>
    </row>
    <row r="15" spans="2:3" x14ac:dyDescent="0.35">
      <c r="B15" t="s">
        <v>94</v>
      </c>
      <c r="C15" s="15">
        <f>GETPIVOTDATA("Average of attendance_percent",$B$4)</f>
        <v>85.092299999999838</v>
      </c>
    </row>
    <row r="16" spans="2:3" x14ac:dyDescent="0.35">
      <c r="B16" t="s">
        <v>93</v>
      </c>
      <c r="C16" s="2">
        <f>GETPIVOTDATA("Average of sleep_hours",$B$4)</f>
        <v>6.7994999999999948</v>
      </c>
    </row>
    <row r="22" spans="2:3" x14ac:dyDescent="0.35">
      <c r="B22" s="4" t="s">
        <v>37</v>
      </c>
      <c r="C22" t="s">
        <v>38</v>
      </c>
    </row>
    <row r="23" spans="2:3" x14ac:dyDescent="0.35">
      <c r="B23" s="5" t="s">
        <v>20</v>
      </c>
      <c r="C23" s="18">
        <v>84.615497076023388</v>
      </c>
    </row>
    <row r="24" spans="2:3" x14ac:dyDescent="0.35">
      <c r="B24" s="5" t="s">
        <v>19</v>
      </c>
      <c r="C24" s="18">
        <v>81.351265822784811</v>
      </c>
    </row>
    <row r="25" spans="2:3" x14ac:dyDescent="0.35">
      <c r="B25" s="5" t="s">
        <v>36</v>
      </c>
      <c r="C25" s="18">
        <v>83.584000000000003</v>
      </c>
    </row>
    <row r="38" spans="2:3" x14ac:dyDescent="0.35">
      <c r="B38" s="4" t="s">
        <v>37</v>
      </c>
      <c r="C38" t="s">
        <v>38</v>
      </c>
    </row>
    <row r="39" spans="2:3" x14ac:dyDescent="0.35">
      <c r="B39" s="5" t="s">
        <v>20</v>
      </c>
      <c r="C39" s="18">
        <v>83.324766355140184</v>
      </c>
    </row>
    <row r="40" spans="2:3" x14ac:dyDescent="0.35">
      <c r="B40" s="5" t="s">
        <v>19</v>
      </c>
      <c r="C40" s="18">
        <v>83.777972027972027</v>
      </c>
    </row>
    <row r="41" spans="2:3" x14ac:dyDescent="0.35">
      <c r="B41" s="5" t="s">
        <v>36</v>
      </c>
      <c r="C41" s="18">
        <v>83.584000000000003</v>
      </c>
    </row>
    <row r="53" spans="2:3" x14ac:dyDescent="0.35">
      <c r="B53" s="4" t="s">
        <v>37</v>
      </c>
      <c r="C53" t="s">
        <v>38</v>
      </c>
    </row>
    <row r="54" spans="2:3" x14ac:dyDescent="0.35">
      <c r="B54" s="5" t="s">
        <v>24</v>
      </c>
      <c r="C54" s="18">
        <v>83.294943820224717</v>
      </c>
    </row>
    <row r="55" spans="2:3" x14ac:dyDescent="0.35">
      <c r="B55" s="5" t="s">
        <v>18</v>
      </c>
      <c r="C55" s="18">
        <v>83.431818181818187</v>
      </c>
    </row>
    <row r="56" spans="2:3" x14ac:dyDescent="0.35">
      <c r="B56" s="5" t="s">
        <v>27</v>
      </c>
      <c r="C56" s="18">
        <v>83.450980392156865</v>
      </c>
    </row>
    <row r="57" spans="2:3" x14ac:dyDescent="0.35">
      <c r="B57" s="5" t="s">
        <v>33</v>
      </c>
      <c r="C57" s="18">
        <v>84.065217391304344</v>
      </c>
    </row>
    <row r="58" spans="2:3" x14ac:dyDescent="0.35">
      <c r="B58" s="5" t="s">
        <v>34</v>
      </c>
      <c r="C58" s="18">
        <v>85.08</v>
      </c>
    </row>
    <row r="59" spans="2:3" x14ac:dyDescent="0.35">
      <c r="B59" s="5" t="s">
        <v>36</v>
      </c>
      <c r="C59" s="18">
        <v>83.584000000000003</v>
      </c>
    </row>
    <row r="70" spans="2:11" x14ac:dyDescent="0.35">
      <c r="B70" s="4" t="s">
        <v>37</v>
      </c>
      <c r="C70" t="s">
        <v>38</v>
      </c>
    </row>
    <row r="71" spans="2:11" x14ac:dyDescent="0.35">
      <c r="B71" s="5" t="s">
        <v>20</v>
      </c>
      <c r="C71" s="18">
        <v>79.294520547945211</v>
      </c>
    </row>
    <row r="72" spans="2:11" x14ac:dyDescent="0.35">
      <c r="B72" s="5" t="s">
        <v>19</v>
      </c>
      <c r="C72" s="18">
        <v>84.317330210772838</v>
      </c>
    </row>
    <row r="73" spans="2:11" x14ac:dyDescent="0.35">
      <c r="B73" s="5" t="s">
        <v>36</v>
      </c>
      <c r="C73" s="18">
        <v>83.584000000000003</v>
      </c>
    </row>
    <row r="76" spans="2:11" x14ac:dyDescent="0.35">
      <c r="B76" s="4" t="s">
        <v>37</v>
      </c>
      <c r="C76" t="s">
        <v>38</v>
      </c>
      <c r="J76" s="4" t="s">
        <v>37</v>
      </c>
      <c r="K76" t="s">
        <v>51</v>
      </c>
    </row>
    <row r="77" spans="2:11" x14ac:dyDescent="0.35">
      <c r="B77" s="8">
        <v>0.5</v>
      </c>
      <c r="C77" s="3">
        <v>71.043478260869563</v>
      </c>
      <c r="J77" s="5" t="s">
        <v>61</v>
      </c>
      <c r="K77">
        <v>3</v>
      </c>
    </row>
    <row r="78" spans="2:11" x14ac:dyDescent="0.35">
      <c r="B78" s="8">
        <v>0.7</v>
      </c>
      <c r="C78" s="3">
        <v>71.75</v>
      </c>
      <c r="J78" s="5" t="s">
        <v>60</v>
      </c>
      <c r="K78">
        <v>7</v>
      </c>
    </row>
    <row r="79" spans="2:11" x14ac:dyDescent="0.35">
      <c r="B79" s="8">
        <v>0.8</v>
      </c>
      <c r="C79" s="3">
        <v>75.666666666666671</v>
      </c>
      <c r="J79" s="5" t="s">
        <v>59</v>
      </c>
      <c r="K79">
        <v>28</v>
      </c>
    </row>
    <row r="80" spans="2:11" x14ac:dyDescent="0.35">
      <c r="B80" s="8">
        <v>0.9</v>
      </c>
      <c r="C80" s="3">
        <v>71.5</v>
      </c>
      <c r="J80" s="5" t="s">
        <v>54</v>
      </c>
      <c r="K80">
        <v>53</v>
      </c>
    </row>
    <row r="81" spans="2:11" x14ac:dyDescent="0.35">
      <c r="B81" s="8">
        <v>1</v>
      </c>
      <c r="C81" s="3">
        <v>75.75</v>
      </c>
      <c r="J81" s="5" t="s">
        <v>55</v>
      </c>
      <c r="K81">
        <v>110</v>
      </c>
    </row>
    <row r="82" spans="2:11" x14ac:dyDescent="0.35">
      <c r="B82" s="8">
        <v>1.1000000000000001</v>
      </c>
      <c r="C82" s="3">
        <v>77.111111111111114</v>
      </c>
      <c r="J82" s="5" t="s">
        <v>58</v>
      </c>
      <c r="K82">
        <v>132</v>
      </c>
    </row>
    <row r="83" spans="2:11" x14ac:dyDescent="0.35">
      <c r="B83" s="8">
        <v>1.2</v>
      </c>
      <c r="C83" s="3">
        <v>73.111111111111114</v>
      </c>
      <c r="J83" s="5" t="s">
        <v>57</v>
      </c>
      <c r="K83">
        <v>147</v>
      </c>
    </row>
    <row r="84" spans="2:11" x14ac:dyDescent="0.35">
      <c r="B84" s="8">
        <v>1.3</v>
      </c>
      <c r="C84" s="3">
        <v>75.714285714285708</v>
      </c>
      <c r="J84" s="5" t="s">
        <v>56</v>
      </c>
      <c r="K84">
        <v>167</v>
      </c>
    </row>
    <row r="85" spans="2:11" x14ac:dyDescent="0.35">
      <c r="B85" s="8">
        <v>1.4</v>
      </c>
      <c r="C85" s="3">
        <v>74.933333333333337</v>
      </c>
      <c r="J85" s="5" t="s">
        <v>53</v>
      </c>
      <c r="K85">
        <v>176</v>
      </c>
    </row>
    <row r="86" spans="2:11" x14ac:dyDescent="0.35">
      <c r="B86" s="8">
        <v>1.5</v>
      </c>
      <c r="C86" s="3">
        <v>75.36363636363636</v>
      </c>
      <c r="J86" s="5" t="s">
        <v>52</v>
      </c>
      <c r="K86">
        <v>177</v>
      </c>
    </row>
    <row r="87" spans="2:11" x14ac:dyDescent="0.35">
      <c r="B87" s="8">
        <v>1.6</v>
      </c>
      <c r="C87" s="3">
        <v>80</v>
      </c>
      <c r="J87" s="5" t="s">
        <v>36</v>
      </c>
      <c r="K87">
        <v>1000</v>
      </c>
    </row>
    <row r="88" spans="2:11" x14ac:dyDescent="0.35">
      <c r="B88" s="8">
        <v>1.7</v>
      </c>
      <c r="C88" s="3">
        <v>71.818181818181813</v>
      </c>
    </row>
    <row r="89" spans="2:11" x14ac:dyDescent="0.35">
      <c r="B89" s="8">
        <v>1.8</v>
      </c>
      <c r="C89" s="3">
        <v>81.769230769230774</v>
      </c>
    </row>
    <row r="90" spans="2:11" x14ac:dyDescent="0.35">
      <c r="B90" s="8">
        <v>1.9</v>
      </c>
      <c r="C90" s="3">
        <v>72.692307692307693</v>
      </c>
    </row>
    <row r="91" spans="2:11" x14ac:dyDescent="0.35">
      <c r="B91" s="8">
        <v>2</v>
      </c>
      <c r="C91" s="3">
        <v>77.63636363636364</v>
      </c>
    </row>
    <row r="92" spans="2:11" x14ac:dyDescent="0.35">
      <c r="B92" s="8">
        <v>2.1</v>
      </c>
      <c r="C92" s="3">
        <v>72.384615384615387</v>
      </c>
    </row>
    <row r="93" spans="2:11" x14ac:dyDescent="0.35">
      <c r="B93" s="8">
        <v>2.2000000000000002</v>
      </c>
      <c r="C93" s="3">
        <v>78</v>
      </c>
    </row>
    <row r="94" spans="2:11" x14ac:dyDescent="0.35">
      <c r="B94" s="8">
        <v>2.2999999999999998</v>
      </c>
      <c r="C94" s="3">
        <v>80.285714285714292</v>
      </c>
      <c r="E94" t="s">
        <v>62</v>
      </c>
    </row>
    <row r="95" spans="2:11" x14ac:dyDescent="0.35">
      <c r="B95" s="8">
        <v>2.4</v>
      </c>
      <c r="C95" s="3">
        <v>80.888888888888886</v>
      </c>
      <c r="E95" s="18">
        <v>500500</v>
      </c>
    </row>
    <row r="96" spans="2:11" x14ac:dyDescent="0.35">
      <c r="B96" s="8">
        <v>2.5</v>
      </c>
      <c r="C96" s="3">
        <v>77.166666666666671</v>
      </c>
    </row>
    <row r="97" spans="2:3" x14ac:dyDescent="0.35">
      <c r="B97" s="8">
        <v>2.6</v>
      </c>
      <c r="C97" s="3">
        <v>80.461538461538467</v>
      </c>
    </row>
    <row r="98" spans="2:3" x14ac:dyDescent="0.35">
      <c r="B98" s="8">
        <v>2.7</v>
      </c>
      <c r="C98" s="3">
        <v>82.333333333333329</v>
      </c>
    </row>
    <row r="99" spans="2:3" x14ac:dyDescent="0.35">
      <c r="B99" s="8">
        <v>2.8</v>
      </c>
      <c r="C99" s="3">
        <v>78.478260869565219</v>
      </c>
    </row>
    <row r="100" spans="2:3" x14ac:dyDescent="0.35">
      <c r="B100" s="8">
        <v>2.9</v>
      </c>
      <c r="C100" s="3">
        <v>78.705882352941174</v>
      </c>
    </row>
    <row r="101" spans="2:3" x14ac:dyDescent="0.35">
      <c r="B101" s="8">
        <v>3</v>
      </c>
      <c r="C101" s="3">
        <v>79.36363636363636</v>
      </c>
    </row>
    <row r="102" spans="2:3" x14ac:dyDescent="0.35">
      <c r="B102" s="8">
        <v>3.1</v>
      </c>
      <c r="C102" s="3">
        <v>82.5</v>
      </c>
    </row>
    <row r="103" spans="2:3" x14ac:dyDescent="0.35">
      <c r="B103" s="8">
        <v>3.2</v>
      </c>
      <c r="C103" s="3">
        <v>82.8</v>
      </c>
    </row>
    <row r="104" spans="2:3" x14ac:dyDescent="0.35">
      <c r="B104" s="8">
        <v>3.3</v>
      </c>
      <c r="C104" s="3">
        <v>86.82352941176471</v>
      </c>
    </row>
    <row r="105" spans="2:3" x14ac:dyDescent="0.35">
      <c r="B105" s="8">
        <v>3.4</v>
      </c>
      <c r="C105" s="3">
        <v>81.315789473684205</v>
      </c>
    </row>
    <row r="106" spans="2:3" x14ac:dyDescent="0.35">
      <c r="B106" s="8">
        <v>3.5</v>
      </c>
      <c r="C106" s="3">
        <v>83.142857142857139</v>
      </c>
    </row>
    <row r="107" spans="2:3" x14ac:dyDescent="0.35">
      <c r="B107" s="8">
        <v>3.6</v>
      </c>
      <c r="C107" s="3">
        <v>81.766666666666666</v>
      </c>
    </row>
    <row r="108" spans="2:3" x14ac:dyDescent="0.35">
      <c r="B108" s="8">
        <v>3.7</v>
      </c>
      <c r="C108" s="3">
        <v>84.916666666666671</v>
      </c>
    </row>
    <row r="109" spans="2:3" x14ac:dyDescent="0.35">
      <c r="B109" s="8">
        <v>3.8</v>
      </c>
      <c r="C109" s="3">
        <v>83.454545454545453</v>
      </c>
    </row>
    <row r="110" spans="2:3" x14ac:dyDescent="0.35">
      <c r="B110" s="8">
        <v>3.9</v>
      </c>
      <c r="C110" s="3">
        <v>84.125</v>
      </c>
    </row>
    <row r="111" spans="2:3" x14ac:dyDescent="0.35">
      <c r="B111" s="8">
        <v>4</v>
      </c>
      <c r="C111" s="3">
        <v>85.416666666666671</v>
      </c>
    </row>
    <row r="112" spans="2:3" x14ac:dyDescent="0.35">
      <c r="B112" s="8">
        <v>4.0999999999999996</v>
      </c>
      <c r="C112" s="3">
        <v>87</v>
      </c>
    </row>
    <row r="113" spans="2:8" x14ac:dyDescent="0.35">
      <c r="B113" s="8">
        <v>4.2</v>
      </c>
      <c r="C113" s="3">
        <v>86.652173913043484</v>
      </c>
    </row>
    <row r="114" spans="2:8" x14ac:dyDescent="0.35">
      <c r="B114" s="8">
        <v>4.3</v>
      </c>
      <c r="C114" s="3">
        <v>88.782608695652172</v>
      </c>
    </row>
    <row r="115" spans="2:8" x14ac:dyDescent="0.35">
      <c r="B115" s="8">
        <v>4.4000000000000004</v>
      </c>
      <c r="C115" s="3">
        <v>84.925925925925924</v>
      </c>
    </row>
    <row r="116" spans="2:8" x14ac:dyDescent="0.35">
      <c r="B116" s="8">
        <v>4.5</v>
      </c>
      <c r="C116" s="3">
        <v>86.13636363636364</v>
      </c>
    </row>
    <row r="117" spans="2:8" x14ac:dyDescent="0.35">
      <c r="B117" s="8">
        <v>4.5999999999999996</v>
      </c>
      <c r="C117" s="3">
        <v>88.5</v>
      </c>
    </row>
    <row r="118" spans="2:8" x14ac:dyDescent="0.35">
      <c r="B118" s="8">
        <v>4.7</v>
      </c>
      <c r="C118" s="3">
        <v>92.5</v>
      </c>
    </row>
    <row r="119" spans="2:8" x14ac:dyDescent="0.35">
      <c r="B119" s="8">
        <v>4.8</v>
      </c>
      <c r="C119" s="3">
        <v>90.058823529411768</v>
      </c>
    </row>
    <row r="120" spans="2:8" x14ac:dyDescent="0.35">
      <c r="B120" s="8">
        <v>4.9000000000000004</v>
      </c>
      <c r="C120" s="3">
        <v>89.8125</v>
      </c>
    </row>
    <row r="121" spans="2:8" x14ac:dyDescent="0.35">
      <c r="B121" s="8">
        <v>5</v>
      </c>
      <c r="C121" s="3">
        <v>89.8</v>
      </c>
    </row>
    <row r="122" spans="2:8" x14ac:dyDescent="0.35">
      <c r="B122" s="8">
        <v>5.0999999999999996</v>
      </c>
      <c r="C122" s="3">
        <v>86.263157894736835</v>
      </c>
      <c r="H122" t="s">
        <v>39</v>
      </c>
    </row>
    <row r="123" spans="2:8" x14ac:dyDescent="0.35">
      <c r="B123" s="8">
        <v>5.2</v>
      </c>
      <c r="C123" s="3">
        <v>90.333333333333329</v>
      </c>
    </row>
    <row r="124" spans="2:8" x14ac:dyDescent="0.35">
      <c r="B124" s="8">
        <v>5.3</v>
      </c>
      <c r="C124" s="3">
        <v>90.588235294117652</v>
      </c>
    </row>
    <row r="125" spans="2:8" x14ac:dyDescent="0.35">
      <c r="B125" s="8">
        <v>5.4</v>
      </c>
      <c r="C125" s="3">
        <v>90.5</v>
      </c>
    </row>
    <row r="126" spans="2:8" x14ac:dyDescent="0.35">
      <c r="B126" s="8">
        <v>5.5</v>
      </c>
      <c r="C126" s="3">
        <v>83.5</v>
      </c>
    </row>
    <row r="127" spans="2:8" x14ac:dyDescent="0.35">
      <c r="B127" s="8">
        <v>5.6</v>
      </c>
      <c r="C127" s="3">
        <v>93.181818181818187</v>
      </c>
    </row>
    <row r="128" spans="2:8" x14ac:dyDescent="0.35">
      <c r="B128" s="8">
        <v>5.7</v>
      </c>
      <c r="C128" s="3">
        <v>92.8</v>
      </c>
    </row>
    <row r="129" spans="2:3" x14ac:dyDescent="0.35">
      <c r="B129" s="8">
        <v>5.8</v>
      </c>
      <c r="C129" s="3">
        <v>91.272727272727266</v>
      </c>
    </row>
    <row r="130" spans="2:3" x14ac:dyDescent="0.35">
      <c r="B130" s="8">
        <v>5.9</v>
      </c>
      <c r="C130" s="3">
        <v>98.5</v>
      </c>
    </row>
    <row r="131" spans="2:3" x14ac:dyDescent="0.35">
      <c r="B131" s="8">
        <v>6</v>
      </c>
      <c r="C131" s="3">
        <v>93.166666666666671</v>
      </c>
    </row>
    <row r="132" spans="2:3" x14ac:dyDescent="0.35">
      <c r="B132" s="8">
        <v>6.1</v>
      </c>
      <c r="C132" s="3">
        <v>94.285714285714292</v>
      </c>
    </row>
    <row r="133" spans="2:3" x14ac:dyDescent="0.35">
      <c r="B133" s="8">
        <v>6.2</v>
      </c>
      <c r="C133" s="3">
        <v>92.875</v>
      </c>
    </row>
    <row r="134" spans="2:3" x14ac:dyDescent="0.35">
      <c r="B134" s="8">
        <v>6.3</v>
      </c>
      <c r="C134" s="3">
        <v>99.714285714285708</v>
      </c>
    </row>
    <row r="135" spans="2:3" x14ac:dyDescent="0.35">
      <c r="B135" s="8">
        <v>6.4</v>
      </c>
      <c r="C135" s="3">
        <v>96.333333333333329</v>
      </c>
    </row>
    <row r="136" spans="2:3" x14ac:dyDescent="0.35">
      <c r="B136" s="8">
        <v>6.5</v>
      </c>
      <c r="C136" s="3">
        <v>100</v>
      </c>
    </row>
    <row r="137" spans="2:3" x14ac:dyDescent="0.35">
      <c r="B137" s="8">
        <v>6.6</v>
      </c>
      <c r="C137" s="3">
        <v>96.8</v>
      </c>
    </row>
    <row r="138" spans="2:3" x14ac:dyDescent="0.35">
      <c r="B138" s="8">
        <v>6.7</v>
      </c>
      <c r="C138" s="3">
        <v>97.25</v>
      </c>
    </row>
    <row r="139" spans="2:3" x14ac:dyDescent="0.35">
      <c r="B139" s="8">
        <v>6.8</v>
      </c>
      <c r="C139" s="3">
        <v>80</v>
      </c>
    </row>
    <row r="140" spans="2:3" x14ac:dyDescent="0.35">
      <c r="B140" s="8">
        <v>6.9</v>
      </c>
      <c r="C140" s="3">
        <v>93.25</v>
      </c>
    </row>
    <row r="141" spans="2:3" x14ac:dyDescent="0.35">
      <c r="B141" s="8">
        <v>7</v>
      </c>
      <c r="C141" s="3">
        <v>100</v>
      </c>
    </row>
    <row r="142" spans="2:3" x14ac:dyDescent="0.35">
      <c r="B142" s="8">
        <v>7.1</v>
      </c>
      <c r="C142" s="3">
        <v>100</v>
      </c>
    </row>
    <row r="143" spans="2:3" x14ac:dyDescent="0.35">
      <c r="B143" s="8">
        <v>7.2</v>
      </c>
      <c r="C143" s="3">
        <v>97.5</v>
      </c>
    </row>
    <row r="144" spans="2:3" x14ac:dyDescent="0.35">
      <c r="B144" s="8">
        <v>7.3</v>
      </c>
      <c r="C144" s="3">
        <v>94</v>
      </c>
    </row>
    <row r="145" spans="2:3" x14ac:dyDescent="0.35">
      <c r="B145" s="8">
        <v>7.4</v>
      </c>
      <c r="C145" s="3">
        <v>99</v>
      </c>
    </row>
    <row r="146" spans="2:3" x14ac:dyDescent="0.35">
      <c r="B146" s="8">
        <v>8.1</v>
      </c>
      <c r="C146" s="3">
        <v>98</v>
      </c>
    </row>
    <row r="147" spans="2:3" x14ac:dyDescent="0.35">
      <c r="B147" s="8" t="s">
        <v>36</v>
      </c>
      <c r="C147" s="3">
        <v>83.584000000000003</v>
      </c>
    </row>
  </sheetData>
  <pageMargins left="0.7" right="0.7" top="0.75" bottom="0.75" header="0.3" footer="0.3"/>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C590D-F935-42A6-AD89-2D5DA48C0BD3}">
  <sheetPr codeName="Sheet4">
    <tabColor rgb="FF00B0F0"/>
  </sheetPr>
  <dimension ref="A3:F22"/>
  <sheetViews>
    <sheetView zoomScaleNormal="100" workbookViewId="0"/>
  </sheetViews>
  <sheetFormatPr defaultRowHeight="14.5" x14ac:dyDescent="0.35"/>
  <cols>
    <col min="1" max="1" width="6" customWidth="1"/>
    <col min="2" max="2" width="20.7265625" customWidth="1"/>
    <col min="3" max="3" width="48.81640625" customWidth="1"/>
    <col min="4" max="4" width="56.7265625" customWidth="1"/>
    <col min="5" max="5" width="19.453125" customWidth="1"/>
    <col min="6" max="6" width="43.7265625" customWidth="1"/>
  </cols>
  <sheetData>
    <row r="3" spans="1:6" x14ac:dyDescent="0.35">
      <c r="A3" s="16" t="s">
        <v>63</v>
      </c>
      <c r="B3" s="17"/>
      <c r="C3" s="17"/>
      <c r="D3" s="17"/>
      <c r="E3" s="17"/>
      <c r="F3" s="17"/>
    </row>
    <row r="4" spans="1:6" x14ac:dyDescent="0.35">
      <c r="A4" s="17"/>
      <c r="B4" s="17"/>
      <c r="C4" s="17"/>
      <c r="D4" s="17"/>
      <c r="E4" s="17"/>
      <c r="F4" s="17"/>
    </row>
    <row r="5" spans="1:6" s="9" customFormat="1" ht="18.5" x14ac:dyDescent="0.45">
      <c r="A5" s="9" t="s">
        <v>64</v>
      </c>
      <c r="B5" s="9" t="s">
        <v>42</v>
      </c>
      <c r="C5" s="9" t="s">
        <v>43</v>
      </c>
      <c r="D5" s="9" t="s">
        <v>67</v>
      </c>
      <c r="E5" s="9" t="s">
        <v>68</v>
      </c>
      <c r="F5" s="9" t="s">
        <v>69</v>
      </c>
    </row>
    <row r="6" spans="1:6" ht="43.5" x14ac:dyDescent="0.35">
      <c r="A6">
        <v>1</v>
      </c>
      <c r="B6" t="s">
        <v>44</v>
      </c>
      <c r="C6" s="10" t="s">
        <v>71</v>
      </c>
      <c r="D6" s="10" t="s">
        <v>70</v>
      </c>
      <c r="E6" t="s">
        <v>47</v>
      </c>
      <c r="F6" s="11" t="s">
        <v>80</v>
      </c>
    </row>
    <row r="7" spans="1:6" ht="43.5" x14ac:dyDescent="0.35">
      <c r="A7">
        <v>2</v>
      </c>
      <c r="B7" t="s">
        <v>45</v>
      </c>
      <c r="C7" s="10" t="s">
        <v>72</v>
      </c>
      <c r="D7" s="10" t="s">
        <v>76</v>
      </c>
      <c r="E7" t="s">
        <v>47</v>
      </c>
      <c r="F7" s="10" t="s">
        <v>81</v>
      </c>
    </row>
    <row r="8" spans="1:6" ht="58" x14ac:dyDescent="0.35">
      <c r="A8">
        <v>3</v>
      </c>
      <c r="B8" t="s">
        <v>46</v>
      </c>
      <c r="C8" s="10" t="s">
        <v>73</v>
      </c>
      <c r="D8" s="10" t="s">
        <v>77</v>
      </c>
      <c r="E8" t="s">
        <v>47</v>
      </c>
      <c r="F8" s="10" t="s">
        <v>82</v>
      </c>
    </row>
    <row r="9" spans="1:6" ht="43.5" x14ac:dyDescent="0.35">
      <c r="A9">
        <v>4</v>
      </c>
      <c r="B9" t="s">
        <v>65</v>
      </c>
      <c r="C9" s="10" t="s">
        <v>74</v>
      </c>
      <c r="D9" s="10" t="s">
        <v>78</v>
      </c>
      <c r="E9" s="6" t="s">
        <v>48</v>
      </c>
      <c r="F9" s="12" t="s">
        <v>83</v>
      </c>
    </row>
    <row r="10" spans="1:6" ht="43.5" x14ac:dyDescent="0.35">
      <c r="A10">
        <v>5</v>
      </c>
      <c r="B10" t="s">
        <v>66</v>
      </c>
      <c r="C10" s="10" t="s">
        <v>75</v>
      </c>
      <c r="D10" s="10" t="s">
        <v>79</v>
      </c>
      <c r="E10" s="6" t="s">
        <v>49</v>
      </c>
      <c r="F10" s="6" t="s">
        <v>84</v>
      </c>
    </row>
    <row r="21" spans="4:4" x14ac:dyDescent="0.35">
      <c r="D21" s="6"/>
    </row>
    <row r="22" spans="4:4" x14ac:dyDescent="0.35">
      <c r="D22" s="6"/>
    </row>
  </sheetData>
  <mergeCells count="1">
    <mergeCell ref="A3:F4"/>
  </mergeCells>
  <conditionalFormatting sqref="E6:E10">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2060"/>
  </sheetPr>
  <dimension ref="A1"/>
  <sheetViews>
    <sheetView showGridLines="0" topLeftCell="C1" zoomScale="76" zoomScaleNormal="87" workbookViewId="0">
      <selection activeCell="Z12" sqref="Z12"/>
    </sheetView>
  </sheetViews>
  <sheetFormatPr defaultRowHeight="14.5" x14ac:dyDescent="0.3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student_performance_dataset</vt:lpstr>
      <vt:lpstr>working dataset</vt:lpstr>
      <vt:lpstr>pivot tables</vt:lpstr>
      <vt:lpstr>Fidings and Recommendation</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JANET</dc:creator>
  <cp:lastModifiedBy>Jack Ogada</cp:lastModifiedBy>
  <dcterms:created xsi:type="dcterms:W3CDTF">2026-07-29T14:32:13Z</dcterms:created>
  <dcterms:modified xsi:type="dcterms:W3CDTF">2026-10-12T13:10:24Z</dcterms:modified>
</cp:coreProperties>
</file>